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sgsystems-my.sharepoint.com/personal/rafek_gorgay_csgi_com/Documents/Desktop/CABS Future/cabs/Temp/"/>
    </mc:Choice>
  </mc:AlternateContent>
  <xr:revisionPtr revIDLastSave="1" documentId="13_ncr:1_{A73D10F4-E7DD-46DA-B500-8C7AEB142960}" xr6:coauthVersionLast="46" xr6:coauthVersionMax="46" xr10:uidLastSave="{354FA1B4-4BD8-473F-9569-7E93FFE37FF0}"/>
  <bookViews>
    <workbookView xWindow="-120" yWindow="-120" windowWidth="29040" windowHeight="15840" firstSheet="5" activeTab="5" xr2:uid="{00000000-000D-0000-FFFF-FFFF00000000}"/>
  </bookViews>
  <sheets>
    <sheet name="Neutral_Tandem" sheetId="1" state="hidden" r:id="rId1"/>
    <sheet name="American_Broadband" sheetId="2" state="hidden" r:id="rId2"/>
    <sheet name="Specific Names Main" sheetId="3" state="hidden" r:id="rId3"/>
    <sheet name="MTA" sheetId="4" state="hidden" r:id="rId4"/>
    <sheet name="ONVOY" sheetId="5" state="hidden" r:id="rId5"/>
    <sheet name="Peerless_Network" sheetId="6" r:id="rId6"/>
    <sheet name="MIEAC" sheetId="7" state="hidden" r:id="rId7"/>
    <sheet name="Selectronics" sheetId="8" state="hidden" r:id="rId8"/>
    <sheet name="Sprint" sheetId="9" state="hidden" r:id="rId9"/>
    <sheet name="BendTel" sheetId="10" r:id="rId10"/>
    <sheet name="GCI" sheetId="11" state="hidden" r:id="rId11"/>
    <sheet name="Prefix" sheetId="12" state="hidden" r:id="rId12"/>
    <sheet name="mps_database" sheetId="13" state="hidden" r:id="rId13"/>
    <sheet name="Specific Names draft" sheetId="14" state="hidden" r:id="rId14"/>
    <sheet name="Patterns" sheetId="15" state="hidden" r:id="rId15"/>
    <sheet name="Draft" sheetId="16" state="hidden" r:id="rId16"/>
    <sheet name="mps_database1" sheetId="17" r:id="rId17"/>
  </sheets>
  <definedNames>
    <definedName name="mps_database">mps_database1!$A$1:$E$284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90" i="16" l="1"/>
  <c r="B2389" i="16"/>
  <c r="B2388" i="16"/>
  <c r="B2387" i="16"/>
  <c r="B2386" i="16"/>
  <c r="B2385" i="16"/>
  <c r="B2384" i="16"/>
  <c r="B2383" i="16"/>
  <c r="B2382" i="16"/>
  <c r="B2381" i="16"/>
  <c r="B2380" i="16"/>
  <c r="B2379" i="16"/>
  <c r="B2378" i="16"/>
  <c r="B2377" i="16"/>
  <c r="B2376" i="16"/>
  <c r="B2375" i="16"/>
  <c r="B2374" i="16"/>
  <c r="B2373" i="16"/>
  <c r="B2372" i="16"/>
  <c r="B2371" i="16"/>
  <c r="B2370" i="16"/>
  <c r="B2369" i="16"/>
  <c r="B2368" i="16"/>
  <c r="B2367" i="16"/>
  <c r="B2366" i="16"/>
  <c r="B2365" i="16"/>
  <c r="B2364" i="16"/>
  <c r="B2363" i="16"/>
  <c r="B2362" i="16"/>
  <c r="B2361" i="16"/>
  <c r="B2360" i="16"/>
  <c r="B2359" i="16"/>
  <c r="B2358" i="16"/>
  <c r="B2357" i="16"/>
  <c r="B2356" i="16"/>
  <c r="B2355" i="16"/>
  <c r="B2354" i="16"/>
  <c r="B2353" i="16"/>
  <c r="B2352" i="16"/>
  <c r="B2351" i="16"/>
  <c r="B2350" i="16"/>
  <c r="B2349" i="16"/>
  <c r="B2348" i="16"/>
  <c r="B2347" i="16"/>
  <c r="B2346" i="16"/>
  <c r="B2345" i="16"/>
  <c r="B2344" i="16"/>
  <c r="B2343" i="16"/>
  <c r="B2342" i="16"/>
  <c r="B2341" i="16"/>
  <c r="B2340" i="16"/>
  <c r="B2339" i="16"/>
  <c r="B2338" i="16"/>
  <c r="B2337" i="16"/>
  <c r="B2336" i="16"/>
  <c r="B2335" i="16"/>
  <c r="B2334" i="16"/>
  <c r="B2333" i="16"/>
  <c r="B2332" i="16"/>
  <c r="B2331" i="16"/>
  <c r="B2330" i="16"/>
  <c r="B2329" i="16"/>
  <c r="B2328" i="16"/>
  <c r="B2327" i="16"/>
  <c r="B2326" i="16"/>
  <c r="B2325" i="16"/>
  <c r="B2324" i="16"/>
  <c r="B2323" i="16"/>
  <c r="B2322" i="16"/>
  <c r="B2321" i="16"/>
  <c r="B2320" i="16"/>
  <c r="B2319" i="16"/>
  <c r="B2318" i="16"/>
  <c r="B2317" i="16"/>
  <c r="B2316" i="16"/>
  <c r="B2315" i="16"/>
  <c r="B2314" i="16"/>
  <c r="B2313" i="16"/>
  <c r="B2312" i="16"/>
  <c r="B2311" i="16"/>
  <c r="B2310" i="16"/>
  <c r="B2309" i="16"/>
  <c r="B2308" i="16"/>
  <c r="B2307" i="16"/>
  <c r="B2306" i="16"/>
  <c r="B2305" i="16"/>
  <c r="B2304" i="16"/>
  <c r="B2303" i="16"/>
  <c r="B2302" i="16"/>
  <c r="B2301" i="16"/>
  <c r="B2300" i="16"/>
  <c r="B2299" i="16"/>
  <c r="B2298" i="16"/>
  <c r="B2297" i="16"/>
  <c r="B2296" i="16"/>
  <c r="B2295" i="16"/>
  <c r="B2294" i="16"/>
  <c r="B2293" i="16"/>
  <c r="B2292" i="16"/>
  <c r="B2291" i="16"/>
  <c r="B2290" i="16"/>
  <c r="B2289" i="16"/>
  <c r="B2288" i="16"/>
  <c r="B2287" i="16"/>
  <c r="B2286" i="16"/>
  <c r="B2285" i="16"/>
  <c r="B2284" i="16"/>
  <c r="B2283" i="16"/>
  <c r="B2282" i="16"/>
  <c r="B2281" i="16"/>
  <c r="B2279" i="16"/>
  <c r="B2278" i="16"/>
  <c r="B2277" i="16"/>
  <c r="B2276" i="16"/>
  <c r="B2275" i="16"/>
  <c r="B2274" i="16"/>
  <c r="B2273" i="16"/>
  <c r="B2272" i="16"/>
  <c r="B2271" i="16"/>
  <c r="B2270" i="16"/>
  <c r="B2269" i="16"/>
  <c r="B2268" i="16"/>
  <c r="B2267" i="16"/>
  <c r="B2266" i="16"/>
  <c r="B2265" i="16"/>
  <c r="B2264" i="16"/>
  <c r="B2263" i="16"/>
  <c r="B2262" i="16"/>
  <c r="B2261" i="16"/>
  <c r="B2260" i="16"/>
  <c r="B2259" i="16"/>
  <c r="B2258" i="16"/>
  <c r="B2257" i="16"/>
  <c r="B2256" i="16"/>
  <c r="B2255" i="16"/>
  <c r="B2254" i="16"/>
  <c r="B2253" i="16"/>
  <c r="B2252" i="16"/>
  <c r="B2251" i="16"/>
  <c r="B2250" i="16"/>
  <c r="B2249" i="16"/>
  <c r="B2248" i="16"/>
  <c r="B2247" i="16"/>
  <c r="B2246" i="16"/>
  <c r="B2245" i="16"/>
  <c r="B2244" i="16"/>
  <c r="B2243" i="16"/>
  <c r="B2242" i="16"/>
  <c r="B2241" i="16"/>
  <c r="B2240" i="16"/>
  <c r="B2239" i="16"/>
  <c r="B2238" i="16"/>
  <c r="B2237" i="16"/>
  <c r="B2236" i="16"/>
  <c r="B2235" i="16"/>
  <c r="B2234" i="16"/>
  <c r="B2233" i="16"/>
  <c r="B2232" i="16"/>
  <c r="B2231" i="16"/>
  <c r="B2230" i="16"/>
  <c r="B2229" i="16"/>
  <c r="B2228" i="16"/>
  <c r="B2227" i="16"/>
  <c r="B2226" i="16"/>
  <c r="B2225" i="16"/>
  <c r="B2224" i="16"/>
  <c r="B2223" i="16"/>
  <c r="B2222" i="16"/>
  <c r="B2221" i="16"/>
  <c r="B2220" i="16"/>
  <c r="B2219" i="16"/>
  <c r="B2218" i="16"/>
  <c r="B2217" i="16"/>
  <c r="B2216" i="16"/>
  <c r="B2215" i="16"/>
  <c r="B2214" i="16"/>
  <c r="B2213" i="16"/>
  <c r="B2212" i="16"/>
  <c r="B2211" i="16"/>
  <c r="B2210" i="16"/>
  <c r="B2209" i="16"/>
  <c r="B2208" i="16"/>
  <c r="B2207" i="16"/>
  <c r="B2206" i="16"/>
  <c r="B2205" i="16"/>
  <c r="B2204" i="16"/>
  <c r="B2203" i="16"/>
  <c r="B2202" i="16"/>
  <c r="B2201" i="16"/>
  <c r="B2200" i="16"/>
  <c r="B2199" i="16"/>
  <c r="B2198" i="16"/>
  <c r="B2197" i="16"/>
  <c r="B2196" i="16"/>
  <c r="B2195" i="16"/>
  <c r="B2194" i="16"/>
  <c r="B2193" i="16"/>
  <c r="B2192" i="16"/>
  <c r="B2191" i="16"/>
  <c r="B2190" i="16"/>
  <c r="B2189" i="16"/>
  <c r="B2188" i="16"/>
  <c r="B2187" i="16"/>
  <c r="B2186" i="16"/>
  <c r="B2185" i="16"/>
  <c r="B2184" i="16"/>
  <c r="B2183" i="16"/>
  <c r="B2182" i="16"/>
  <c r="B2181" i="16"/>
  <c r="B2180" i="16"/>
  <c r="B2179" i="16"/>
  <c r="B2178" i="16"/>
  <c r="B2177" i="16"/>
  <c r="B2176" i="16"/>
  <c r="B2175" i="16"/>
  <c r="B2174" i="16"/>
  <c r="B2173" i="16"/>
  <c r="B2172" i="16"/>
  <c r="B2171" i="16"/>
  <c r="B2170" i="16"/>
  <c r="B2169" i="16"/>
  <c r="B2168" i="16"/>
  <c r="B2167" i="16"/>
  <c r="B2166" i="16"/>
  <c r="B2165" i="16"/>
  <c r="B2164" i="16"/>
  <c r="B2163" i="16"/>
  <c r="B2162" i="16"/>
  <c r="B2161" i="16"/>
  <c r="B2160" i="16"/>
  <c r="B2159" i="16"/>
  <c r="B2158" i="16"/>
  <c r="B2157" i="16"/>
  <c r="B2156" i="16"/>
  <c r="B2155" i="16"/>
  <c r="B2154" i="16"/>
  <c r="B2153" i="16"/>
  <c r="B2152" i="16"/>
  <c r="B2151" i="16"/>
  <c r="B2150" i="16"/>
  <c r="B2149" i="16"/>
  <c r="B2148" i="16"/>
  <c r="B2147" i="16"/>
  <c r="B2146" i="16"/>
  <c r="B2145" i="16"/>
  <c r="B2144" i="16"/>
  <c r="B2143" i="16"/>
  <c r="B2142" i="16"/>
  <c r="B2141" i="16"/>
  <c r="B2140" i="16"/>
  <c r="B2139" i="16"/>
  <c r="B2138" i="16"/>
  <c r="B2137" i="16"/>
  <c r="B2136" i="16"/>
  <c r="B2135" i="16"/>
  <c r="B2134" i="16"/>
  <c r="B2133" i="16"/>
  <c r="B2132" i="16"/>
  <c r="B2131" i="16"/>
  <c r="B2130" i="16"/>
  <c r="B2129" i="16"/>
  <c r="B2128" i="16"/>
  <c r="B2127" i="16"/>
  <c r="B2126" i="16"/>
  <c r="B2125" i="16"/>
  <c r="B2124" i="16"/>
  <c r="B2123" i="16"/>
  <c r="B2122" i="16"/>
  <c r="B2121" i="16"/>
  <c r="B2120" i="16"/>
  <c r="B2119" i="16"/>
  <c r="B2118" i="16"/>
  <c r="B2117" i="16"/>
  <c r="B2116" i="16"/>
  <c r="B2115" i="16"/>
  <c r="B2114" i="16"/>
  <c r="B2113" i="16"/>
  <c r="B2112" i="16"/>
  <c r="B2111" i="16"/>
  <c r="B2110" i="16"/>
  <c r="B2109" i="16"/>
  <c r="B2097" i="16"/>
  <c r="B2096" i="16"/>
  <c r="B2094" i="16"/>
  <c r="B2093" i="16"/>
  <c r="B2092" i="16"/>
  <c r="B2090" i="16"/>
  <c r="B2089" i="16"/>
  <c r="B2088" i="16"/>
  <c r="B2087" i="16"/>
  <c r="B2086" i="16"/>
  <c r="B2085" i="16"/>
  <c r="B2084" i="16"/>
  <c r="B2083" i="16"/>
  <c r="B2082" i="16"/>
  <c r="B2081" i="16"/>
  <c r="B2080" i="16"/>
  <c r="B2079" i="16"/>
  <c r="B2078" i="16"/>
  <c r="B2077" i="16"/>
  <c r="B2076" i="16"/>
  <c r="B2075" i="16"/>
  <c r="B2074" i="16"/>
  <c r="B2073" i="16"/>
  <c r="B2072" i="16"/>
  <c r="B2071" i="16"/>
  <c r="B2070" i="16"/>
  <c r="B2069" i="16"/>
  <c r="B2068" i="16"/>
  <c r="B2067" i="16"/>
  <c r="B2066" i="16"/>
  <c r="B2065" i="16"/>
  <c r="B2064" i="16"/>
  <c r="B2063" i="16"/>
  <c r="B2062" i="16"/>
  <c r="B2061" i="16"/>
  <c r="B2060" i="16"/>
  <c r="B2059" i="16"/>
  <c r="B2058" i="16"/>
  <c r="B2057" i="16"/>
  <c r="B2056" i="16"/>
  <c r="B2055" i="16"/>
  <c r="B2054" i="16"/>
  <c r="B2053" i="16"/>
  <c r="B2052" i="16"/>
  <c r="B2051" i="16"/>
  <c r="B2050" i="16"/>
  <c r="B2049" i="16"/>
  <c r="B2048" i="16"/>
  <c r="B2047" i="16"/>
  <c r="B2046" i="16"/>
  <c r="B2045" i="16"/>
  <c r="B2044" i="16"/>
  <c r="B2043" i="16"/>
  <c r="B2042" i="16"/>
  <c r="B2041" i="16"/>
  <c r="B2040" i="16"/>
  <c r="B2039" i="16"/>
  <c r="B2038" i="16"/>
  <c r="B2037" i="16"/>
  <c r="B2036" i="16"/>
  <c r="B2035" i="16"/>
  <c r="B2034" i="16"/>
  <c r="B2033" i="16"/>
  <c r="B2032" i="16"/>
  <c r="B2031" i="16"/>
  <c r="B2030" i="16"/>
  <c r="B2029" i="16"/>
  <c r="B2028" i="16"/>
  <c r="B2027" i="16"/>
  <c r="B2026" i="16"/>
  <c r="B2025" i="16"/>
  <c r="B2024" i="16"/>
  <c r="B2023" i="16"/>
  <c r="B2022" i="16"/>
  <c r="B2021" i="16"/>
  <c r="B2020" i="16"/>
  <c r="B2019" i="16"/>
  <c r="B2018" i="16"/>
  <c r="B2017" i="16"/>
  <c r="B2016" i="16"/>
  <c r="B2015" i="16"/>
  <c r="B2014" i="16"/>
  <c r="B2013" i="16"/>
  <c r="B2012" i="16"/>
  <c r="B2011" i="16"/>
  <c r="B2010" i="16"/>
  <c r="B2009" i="16"/>
  <c r="B2008" i="16"/>
  <c r="B2007" i="16"/>
  <c r="B2006" i="16"/>
  <c r="B2005" i="16"/>
  <c r="B2004" i="16"/>
  <c r="B2003" i="16"/>
  <c r="B2002" i="16"/>
  <c r="B2001" i="16"/>
  <c r="B2000" i="16"/>
  <c r="B1999" i="16"/>
  <c r="B1998" i="16"/>
  <c r="B1997" i="16"/>
  <c r="B1996" i="16"/>
  <c r="B1995" i="16"/>
  <c r="B1994" i="16"/>
  <c r="B1993" i="16"/>
  <c r="B1992" i="16"/>
  <c r="B1991" i="16"/>
  <c r="B1990" i="16"/>
  <c r="B1989" i="16"/>
  <c r="B1988" i="16"/>
  <c r="B1987" i="16"/>
  <c r="B1986" i="16"/>
  <c r="B1985" i="16"/>
  <c r="B1984" i="16"/>
  <c r="B1983" i="16"/>
  <c r="B1981" i="16"/>
  <c r="B1980" i="16"/>
  <c r="B1979" i="16"/>
  <c r="B1978" i="16"/>
  <c r="B1977" i="16"/>
  <c r="B1976" i="16"/>
  <c r="B1975" i="16"/>
  <c r="B1974" i="16"/>
  <c r="B1973" i="16"/>
  <c r="B1972" i="16"/>
  <c r="B1971" i="16"/>
  <c r="B1970" i="16"/>
  <c r="B1969" i="16"/>
  <c r="B1968" i="16"/>
  <c r="B1967" i="16"/>
  <c r="B1966" i="16"/>
  <c r="B1965" i="16"/>
  <c r="B1964" i="16"/>
  <c r="B1963" i="16"/>
  <c r="B1958" i="16"/>
  <c r="B1957" i="16"/>
  <c r="B1956" i="16"/>
  <c r="B1954" i="16"/>
  <c r="B1947" i="16"/>
  <c r="B1945" i="16"/>
  <c r="B1944" i="16"/>
  <c r="B1943" i="16"/>
  <c r="B1942" i="16"/>
  <c r="B1941" i="16"/>
  <c r="B1940" i="16"/>
  <c r="B1939" i="16"/>
  <c r="B1938" i="16"/>
  <c r="B1934" i="16"/>
  <c r="B1933" i="16"/>
  <c r="B1931" i="16"/>
  <c r="B1930" i="16"/>
  <c r="B1929" i="16"/>
  <c r="B1928" i="16"/>
  <c r="B1927" i="16"/>
  <c r="B1926" i="16"/>
  <c r="B1925" i="16"/>
  <c r="B1924" i="16"/>
  <c r="B1923" i="16"/>
  <c r="B1922" i="16"/>
  <c r="B1921" i="16"/>
  <c r="B1920" i="16"/>
  <c r="B1919" i="16"/>
  <c r="B1918" i="16"/>
  <c r="B1917" i="16"/>
  <c r="B1916" i="16"/>
  <c r="B1915" i="16"/>
  <c r="B1914" i="16"/>
  <c r="B1913" i="16"/>
  <c r="B1912" i="16"/>
  <c r="B1911" i="16"/>
  <c r="B1910" i="16"/>
  <c r="B1909" i="16"/>
  <c r="B1908" i="16"/>
  <c r="B1907" i="16"/>
  <c r="B1906" i="16"/>
  <c r="B1905" i="16"/>
  <c r="B1904" i="16"/>
  <c r="B1903" i="16"/>
  <c r="B1902" i="16"/>
  <c r="B1901" i="16"/>
  <c r="B1900" i="16"/>
  <c r="B1899" i="16"/>
  <c r="B1898" i="16"/>
  <c r="B1897" i="16"/>
  <c r="B1896" i="16"/>
  <c r="B1895" i="16"/>
  <c r="B1894" i="16"/>
  <c r="B1893" i="16"/>
  <c r="B1892" i="16"/>
  <c r="B1891" i="16"/>
  <c r="B1890" i="16"/>
  <c r="B1889" i="16"/>
  <c r="B1888" i="16"/>
  <c r="B1887" i="16"/>
  <c r="B1886" i="16"/>
  <c r="B1885" i="16"/>
  <c r="B1884" i="16"/>
  <c r="B1883" i="16"/>
  <c r="B1882" i="16"/>
  <c r="B1881" i="16"/>
  <c r="B1880" i="16"/>
  <c r="B1879" i="16"/>
  <c r="B1878" i="16"/>
  <c r="B1877" i="16"/>
  <c r="B1876" i="16"/>
  <c r="B1875" i="16"/>
  <c r="B1874" i="16"/>
  <c r="B1873" i="16"/>
  <c r="B1872" i="16"/>
  <c r="B1871" i="16"/>
  <c r="B1870" i="16"/>
  <c r="B1869" i="16"/>
  <c r="B1868" i="16"/>
  <c r="B1867" i="16"/>
  <c r="B1866" i="16"/>
  <c r="B1865" i="16"/>
  <c r="B1864" i="16"/>
  <c r="B1863" i="16"/>
  <c r="B1862" i="16"/>
  <c r="B1861" i="16"/>
  <c r="B1860" i="16"/>
  <c r="B1859" i="16"/>
  <c r="B1858" i="16"/>
  <c r="B1857" i="16"/>
  <c r="B1856" i="16"/>
  <c r="B1855" i="16"/>
  <c r="B1854" i="16"/>
  <c r="B1853" i="16"/>
  <c r="B1852" i="16"/>
  <c r="B1851" i="16"/>
  <c r="B1850" i="16"/>
  <c r="B1849" i="16"/>
  <c r="B1848" i="16"/>
  <c r="B1847" i="16"/>
  <c r="B1846" i="16"/>
  <c r="B1845" i="16"/>
  <c r="B1844" i="16"/>
  <c r="B1843" i="16"/>
  <c r="B1842" i="16"/>
  <c r="B1841" i="16"/>
  <c r="B1840" i="16"/>
  <c r="B1839" i="16"/>
  <c r="B1838" i="16"/>
  <c r="B1837" i="16"/>
  <c r="B1836" i="16"/>
  <c r="B1835" i="16"/>
  <c r="B1834" i="16"/>
  <c r="B1833" i="16"/>
  <c r="B1832" i="16"/>
  <c r="B1831" i="16"/>
  <c r="B1830" i="16"/>
  <c r="B1829" i="16"/>
  <c r="B1828" i="16"/>
  <c r="B1827" i="16"/>
  <c r="B1826" i="16"/>
  <c r="B1825" i="16"/>
  <c r="B1824" i="16"/>
  <c r="B1823" i="16"/>
  <c r="B1822" i="16"/>
  <c r="B1821" i="16"/>
  <c r="B1820" i="16"/>
  <c r="B1819" i="16"/>
  <c r="B1818" i="16"/>
  <c r="B1817" i="16"/>
  <c r="B1816" i="16"/>
  <c r="B1815" i="16"/>
  <c r="B1814" i="16"/>
  <c r="B1813" i="16"/>
  <c r="B1812" i="16"/>
  <c r="B1811" i="16"/>
  <c r="B1810" i="16"/>
  <c r="B1809" i="16"/>
  <c r="B1808" i="16"/>
  <c r="B1807" i="16"/>
  <c r="B1806" i="16"/>
  <c r="B1805" i="16"/>
  <c r="B1804" i="16"/>
  <c r="B1803" i="16"/>
  <c r="B1802" i="16"/>
  <c r="B1800" i="16"/>
  <c r="B1799" i="16"/>
  <c r="B1798" i="16"/>
  <c r="B1794" i="16"/>
  <c r="B1793" i="16"/>
  <c r="B1783" i="16"/>
  <c r="B1782" i="16"/>
  <c r="B1780" i="16"/>
  <c r="B1779" i="16"/>
  <c r="B1777" i="16"/>
  <c r="B1776" i="16"/>
  <c r="B1773" i="16"/>
  <c r="B1772" i="16"/>
  <c r="B1771" i="16"/>
  <c r="B1769" i="16"/>
  <c r="B1768" i="16"/>
  <c r="B1766" i="16"/>
  <c r="B1765" i="16"/>
  <c r="B1764" i="16"/>
  <c r="B1763" i="16"/>
  <c r="B1762" i="16"/>
  <c r="B1761" i="16"/>
  <c r="B1760" i="16"/>
  <c r="B1759" i="16"/>
  <c r="B1758" i="16"/>
  <c r="B1757" i="16"/>
  <c r="B1756" i="16"/>
  <c r="B1755" i="16"/>
  <c r="B1754" i="16"/>
  <c r="B1753" i="16"/>
  <c r="B1752" i="16"/>
  <c r="B1751" i="16"/>
  <c r="B1750" i="16"/>
  <c r="B1749" i="16"/>
  <c r="B1748" i="16"/>
  <c r="B1747" i="16"/>
  <c r="B1746" i="16"/>
  <c r="B1745" i="16"/>
  <c r="B1744" i="16"/>
  <c r="B1743" i="16"/>
  <c r="B1742" i="16"/>
  <c r="B1741" i="16"/>
  <c r="B1740" i="16"/>
  <c r="B1739" i="16"/>
  <c r="B1738" i="16"/>
  <c r="B1737" i="16"/>
  <c r="B1736" i="16"/>
  <c r="B1735" i="16"/>
  <c r="B1734" i="16"/>
  <c r="B1733" i="16"/>
  <c r="B1732" i="16"/>
  <c r="B1731" i="16"/>
  <c r="B1730" i="16"/>
  <c r="B1729" i="16"/>
  <c r="B1728" i="16"/>
  <c r="B1727" i="16"/>
  <c r="B1726" i="16"/>
  <c r="B1725" i="16"/>
  <c r="B1724" i="16"/>
  <c r="B1723" i="16"/>
  <c r="B1722" i="16"/>
  <c r="B1721" i="16"/>
  <c r="B1720" i="16"/>
  <c r="B1719" i="16"/>
  <c r="B1718" i="16"/>
  <c r="B1717" i="16"/>
  <c r="B1716" i="16"/>
  <c r="B1715" i="16"/>
  <c r="B1714" i="16"/>
  <c r="B1713" i="16"/>
  <c r="B1712" i="16"/>
  <c r="B1711" i="16"/>
  <c r="B1710" i="16"/>
  <c r="B1709" i="16"/>
  <c r="B1708" i="16"/>
  <c r="B1707" i="16"/>
  <c r="B1706" i="16"/>
  <c r="B1705" i="16"/>
  <c r="B1704" i="16"/>
  <c r="B1703" i="16"/>
  <c r="B1702" i="16"/>
  <c r="B1701" i="16"/>
  <c r="B1700" i="16"/>
  <c r="B1699" i="16"/>
  <c r="B1698" i="16"/>
  <c r="B1697" i="16"/>
  <c r="B1696" i="16"/>
  <c r="B1695" i="16"/>
  <c r="B1694" i="16"/>
  <c r="B1693" i="16"/>
  <c r="B1692" i="16"/>
  <c r="B1691" i="16"/>
  <c r="B1690" i="16"/>
  <c r="B1689" i="16"/>
  <c r="B1688" i="16"/>
  <c r="B1687" i="16"/>
  <c r="B1686" i="16"/>
  <c r="B1685" i="16"/>
  <c r="B1684" i="16"/>
  <c r="B1683" i="16"/>
  <c r="B1682" i="16"/>
  <c r="B1681" i="16"/>
  <c r="B1680" i="16"/>
  <c r="B1679" i="16"/>
  <c r="B1678" i="16"/>
  <c r="B1677" i="16"/>
  <c r="B1676" i="16"/>
  <c r="B1675" i="16"/>
  <c r="B1674" i="16"/>
  <c r="B1673" i="16"/>
  <c r="B1672" i="16"/>
  <c r="B1671" i="16"/>
  <c r="B1670" i="16"/>
  <c r="B1669" i="16"/>
  <c r="B1668" i="16"/>
  <c r="B1667" i="16"/>
  <c r="B1666" i="16"/>
  <c r="B1665" i="16"/>
  <c r="B1664" i="16"/>
  <c r="B1663" i="16"/>
  <c r="B1662" i="16"/>
  <c r="B1661" i="16"/>
  <c r="B1660" i="16"/>
  <c r="B1659" i="16"/>
  <c r="B1658" i="16"/>
  <c r="B1657" i="16"/>
  <c r="B1656" i="16"/>
  <c r="B1655" i="16"/>
  <c r="B1654" i="16"/>
  <c r="B1653" i="16"/>
  <c r="B1652" i="16"/>
  <c r="B1651" i="16"/>
  <c r="B1650" i="16"/>
  <c r="B1649" i="16"/>
  <c r="B1648" i="16"/>
  <c r="B1647" i="16"/>
  <c r="B1646" i="16"/>
  <c r="B1645" i="16"/>
  <c r="B1644" i="16"/>
  <c r="B1636" i="16"/>
  <c r="B1633" i="16"/>
  <c r="B1632" i="16"/>
  <c r="B1631" i="16"/>
  <c r="B1630" i="16"/>
  <c r="B1627" i="16"/>
  <c r="B1620" i="16"/>
  <c r="B1619" i="16"/>
  <c r="B1618" i="16"/>
  <c r="B1617" i="16"/>
  <c r="B1616" i="16"/>
  <c r="B1614" i="16"/>
  <c r="B1613" i="16"/>
  <c r="B1612" i="16"/>
  <c r="B1611" i="16"/>
  <c r="B1610" i="16"/>
  <c r="B1609" i="16"/>
  <c r="B1608" i="16"/>
  <c r="B1607" i="16"/>
  <c r="B1606" i="16"/>
  <c r="B1605" i="16"/>
  <c r="B1604" i="16"/>
  <c r="B1603" i="16"/>
  <c r="B1602" i="16"/>
  <c r="B1601" i="16"/>
  <c r="B1600" i="16"/>
  <c r="B1599" i="16"/>
  <c r="B1598" i="16"/>
  <c r="B1597" i="16"/>
  <c r="B1596" i="16"/>
  <c r="B1595" i="16"/>
  <c r="B1594" i="16"/>
  <c r="B1593" i="16"/>
  <c r="B1592" i="16"/>
  <c r="B1590" i="16"/>
  <c r="B1589" i="16"/>
  <c r="B1588" i="16"/>
  <c r="B1587" i="16"/>
  <c r="B1586" i="16"/>
  <c r="B1585" i="16"/>
  <c r="B1584" i="16"/>
  <c r="B1583" i="16"/>
  <c r="B1582" i="16"/>
  <c r="B1581" i="16"/>
  <c r="B1580" i="16"/>
  <c r="B1579" i="16"/>
  <c r="B1578" i="16"/>
  <c r="B1577" i="16"/>
  <c r="B1576" i="16"/>
  <c r="B1575" i="16"/>
  <c r="B1574" i="16"/>
  <c r="B1573" i="16"/>
  <c r="B1572" i="16"/>
  <c r="B1571" i="16"/>
  <c r="B1570" i="16"/>
  <c r="B1569" i="16"/>
  <c r="B1568" i="16"/>
  <c r="B1567" i="16"/>
  <c r="B1566" i="16"/>
  <c r="B1565" i="16"/>
  <c r="B1564" i="16"/>
  <c r="B1563" i="16"/>
  <c r="B1562" i="16"/>
  <c r="B1561" i="16"/>
  <c r="B1560" i="16"/>
  <c r="B1559" i="16"/>
  <c r="B1558" i="16"/>
  <c r="B1557" i="16"/>
  <c r="B1556" i="16"/>
  <c r="B1555" i="16"/>
  <c r="B1554" i="16"/>
  <c r="B1553" i="16"/>
  <c r="B1552" i="16"/>
  <c r="B1551" i="16"/>
  <c r="B1550" i="16"/>
  <c r="B1549" i="16"/>
  <c r="B1548" i="16"/>
  <c r="B1547" i="16"/>
  <c r="B1546" i="16"/>
  <c r="B1545" i="16"/>
  <c r="B1544" i="16"/>
  <c r="B1543" i="16"/>
  <c r="B1542" i="16"/>
  <c r="B1541" i="16"/>
  <c r="B1540" i="16"/>
  <c r="B1539" i="16"/>
  <c r="B1538" i="16"/>
  <c r="B1537" i="16"/>
  <c r="B1536" i="16"/>
  <c r="B1535" i="16"/>
  <c r="B1534" i="16"/>
  <c r="B1533" i="16"/>
  <c r="B1532" i="16"/>
  <c r="B1531" i="16"/>
  <c r="B1530" i="16"/>
  <c r="B1529" i="16"/>
  <c r="B1528" i="16"/>
  <c r="B1527" i="16"/>
  <c r="B1526" i="16"/>
  <c r="B1525" i="16"/>
  <c r="B1524" i="16"/>
  <c r="B1523" i="16"/>
  <c r="B1522" i="16"/>
  <c r="B1521" i="16"/>
  <c r="B1520" i="16"/>
  <c r="B1519" i="16"/>
  <c r="B1518" i="16"/>
  <c r="B1517" i="16"/>
  <c r="B1516" i="16"/>
  <c r="B1515" i="16"/>
  <c r="B1514" i="16"/>
  <c r="B1513" i="16"/>
  <c r="B1512" i="16"/>
  <c r="B1511" i="16"/>
  <c r="B1510" i="16"/>
  <c r="B1509" i="16"/>
  <c r="B1508" i="16"/>
  <c r="B1507" i="16"/>
  <c r="B1506" i="16"/>
  <c r="B1505" i="16"/>
  <c r="B1504" i="16"/>
  <c r="B1503" i="16"/>
  <c r="B1502" i="16"/>
  <c r="B1501" i="16"/>
  <c r="B1500" i="16"/>
  <c r="B1499" i="16"/>
  <c r="B1498" i="16"/>
  <c r="B1497" i="16"/>
  <c r="B1496" i="16"/>
  <c r="B1495" i="16"/>
  <c r="B1494" i="16"/>
  <c r="B1493" i="16"/>
  <c r="B1492" i="16"/>
  <c r="B1491" i="16"/>
  <c r="B1490" i="16"/>
  <c r="B1488" i="16"/>
  <c r="B1487" i="16"/>
  <c r="B1486" i="16"/>
  <c r="B1485" i="16"/>
  <c r="B1484" i="16"/>
  <c r="B1483" i="16"/>
  <c r="B1482" i="16"/>
  <c r="B1481" i="16"/>
  <c r="B1480" i="16"/>
  <c r="B1479" i="16"/>
  <c r="B1471" i="16"/>
  <c r="B1463" i="16"/>
  <c r="B1462" i="16"/>
  <c r="B1460" i="16"/>
  <c r="B1459" i="16"/>
  <c r="B1457" i="16"/>
  <c r="B1455" i="16"/>
  <c r="B1454" i="16"/>
  <c r="B1453" i="16"/>
  <c r="B1452" i="16"/>
  <c r="B1451" i="16"/>
  <c r="B1450" i="16"/>
  <c r="B1449" i="16"/>
  <c r="B1448" i="16"/>
  <c r="B1447" i="16"/>
  <c r="B1446" i="16"/>
  <c r="B1445" i="16"/>
  <c r="B1444" i="16"/>
  <c r="B1443" i="16"/>
  <c r="B1442" i="16"/>
  <c r="B1441" i="16"/>
  <c r="B1440" i="16"/>
  <c r="B1439" i="16"/>
  <c r="B1438" i="16"/>
  <c r="B1437" i="16"/>
  <c r="B1436" i="16"/>
  <c r="B1435" i="16"/>
  <c r="B1433" i="16"/>
  <c r="B1432" i="16"/>
  <c r="B1431" i="16"/>
  <c r="B1430" i="16"/>
  <c r="B1429" i="16"/>
  <c r="B1428" i="16"/>
  <c r="B1427" i="16"/>
  <c r="B1426" i="16"/>
  <c r="B1425" i="16"/>
  <c r="B1424" i="16"/>
  <c r="B1423" i="16"/>
  <c r="B1422" i="16"/>
  <c r="B1421" i="16"/>
  <c r="B1420" i="16"/>
  <c r="B1419" i="16"/>
  <c r="B1418" i="16"/>
  <c r="B1417" i="16"/>
  <c r="B1416" i="16"/>
  <c r="B1415" i="16"/>
  <c r="B1414" i="16"/>
  <c r="B1413" i="16"/>
  <c r="B1412" i="16"/>
  <c r="B1411" i="16"/>
  <c r="B1410" i="16"/>
  <c r="B1409" i="16"/>
  <c r="B1408" i="16"/>
  <c r="B1407" i="16"/>
  <c r="B1406" i="16"/>
  <c r="B1405" i="16"/>
  <c r="B1404" i="16"/>
  <c r="B1403" i="16"/>
  <c r="B1402" i="16"/>
  <c r="B1401" i="16"/>
  <c r="B1400" i="16"/>
  <c r="B1399" i="16"/>
  <c r="B1398" i="16"/>
  <c r="B1397" i="16"/>
  <c r="B1396" i="16"/>
  <c r="B1395" i="16"/>
  <c r="B1393" i="16"/>
  <c r="B1392" i="16"/>
  <c r="B1391" i="16"/>
  <c r="B1390" i="16"/>
  <c r="B1389" i="16"/>
  <c r="B1388" i="16"/>
  <c r="B1387" i="16"/>
  <c r="B1386" i="16"/>
  <c r="B1385" i="16"/>
  <c r="B1384" i="16"/>
  <c r="B1383" i="16"/>
  <c r="B1382" i="16"/>
  <c r="B1381" i="16"/>
  <c r="B1380" i="16"/>
  <c r="B1379" i="16"/>
  <c r="B1378" i="16"/>
  <c r="B1377" i="16"/>
  <c r="B1376" i="16"/>
  <c r="B1375" i="16"/>
  <c r="B1373" i="16"/>
  <c r="B1371" i="16"/>
  <c r="B1369" i="16"/>
  <c r="B1368" i="16"/>
  <c r="B1367" i="16"/>
  <c r="B1366" i="16"/>
  <c r="B1365" i="16"/>
  <c r="B1364" i="16"/>
  <c r="B1363" i="16"/>
  <c r="B1362" i="16"/>
  <c r="B1360" i="16"/>
  <c r="B1358" i="16"/>
  <c r="B1357" i="16"/>
  <c r="B1356" i="16"/>
  <c r="B1355" i="16"/>
  <c r="B1354" i="16"/>
  <c r="B1353" i="16"/>
  <c r="B1352" i="16"/>
  <c r="B1351" i="16"/>
  <c r="B1350" i="16"/>
  <c r="B1349" i="16"/>
  <c r="B1348" i="16"/>
  <c r="B1346" i="16"/>
  <c r="B1345" i="16"/>
  <c r="B1344" i="16"/>
  <c r="B1343" i="16"/>
  <c r="B1342" i="16"/>
  <c r="B1341" i="16"/>
  <c r="B1340" i="16"/>
  <c r="B1339" i="16"/>
  <c r="B1338" i="16"/>
  <c r="B1337" i="16"/>
  <c r="B1336" i="16"/>
  <c r="B1335" i="16"/>
  <c r="B1334" i="16"/>
  <c r="B1332" i="16"/>
  <c r="B1331" i="16"/>
  <c r="B1330" i="16"/>
  <c r="B1329" i="16"/>
  <c r="B1328" i="16"/>
  <c r="B1324" i="16"/>
  <c r="B1323" i="16"/>
  <c r="B1307" i="16"/>
  <c r="B1306" i="16"/>
  <c r="B1305" i="16"/>
  <c r="B1304" i="16"/>
  <c r="B1303" i="16"/>
  <c r="B1302" i="16"/>
  <c r="B1301" i="16"/>
  <c r="B1300" i="16"/>
  <c r="B1299" i="16"/>
  <c r="B1298" i="16"/>
  <c r="B1297" i="16"/>
  <c r="B1296" i="16"/>
  <c r="B1295" i="16"/>
  <c r="B1294" i="16"/>
  <c r="B1293" i="16"/>
  <c r="B1292" i="16"/>
  <c r="B1291" i="16"/>
  <c r="B1290" i="16"/>
  <c r="B1289" i="16"/>
  <c r="B1288" i="16"/>
  <c r="B1287" i="16"/>
  <c r="B1286" i="16"/>
  <c r="B1285" i="16"/>
  <c r="B1284" i="16"/>
  <c r="B1283" i="16"/>
  <c r="B1282" i="16"/>
  <c r="B1281" i="16"/>
  <c r="B1280" i="16"/>
  <c r="B1279" i="16"/>
  <c r="B1278" i="16"/>
  <c r="B1277" i="16"/>
  <c r="B1276" i="16"/>
  <c r="B1275" i="16"/>
  <c r="B1274" i="16"/>
  <c r="B1273" i="16"/>
  <c r="B1272" i="16"/>
  <c r="B1271" i="16"/>
  <c r="B1270" i="16"/>
  <c r="B1269" i="16"/>
  <c r="B1268" i="16"/>
  <c r="B1267" i="16"/>
  <c r="B1266" i="16"/>
  <c r="B1265" i="16"/>
  <c r="B1264" i="16"/>
  <c r="B1263" i="16"/>
  <c r="B1262" i="16"/>
  <c r="B1261" i="16"/>
  <c r="B1260" i="16"/>
  <c r="B1259" i="16"/>
  <c r="B1258" i="16"/>
  <c r="B1257" i="16"/>
  <c r="B1256" i="16"/>
  <c r="B1255" i="16"/>
  <c r="B1254" i="16"/>
  <c r="B1253" i="16"/>
  <c r="B1252" i="16"/>
  <c r="B1251" i="16"/>
  <c r="B1250" i="16"/>
  <c r="B1249" i="16"/>
  <c r="B1248" i="16"/>
  <c r="B1247" i="16"/>
  <c r="B1246" i="16"/>
  <c r="B1245" i="16"/>
  <c r="B1244" i="16"/>
  <c r="B1243" i="16"/>
  <c r="B1242" i="16"/>
  <c r="B1241" i="16"/>
  <c r="B1240" i="16"/>
  <c r="B1239" i="16"/>
  <c r="B1238" i="16"/>
  <c r="B1237" i="16"/>
  <c r="B1236" i="16"/>
  <c r="B1235" i="16"/>
  <c r="B1234" i="16"/>
  <c r="B1233" i="16"/>
  <c r="B1232" i="16"/>
  <c r="B1231" i="16"/>
  <c r="B1230" i="16"/>
  <c r="B1229" i="16"/>
  <c r="B1228" i="16"/>
  <c r="B1227" i="16"/>
  <c r="B1226" i="16"/>
  <c r="B1225" i="16"/>
  <c r="B1224" i="16"/>
  <c r="B1223" i="16"/>
  <c r="B1222" i="16"/>
  <c r="B1221" i="16"/>
  <c r="B1220" i="16"/>
  <c r="B1219" i="16"/>
  <c r="B1218" i="16"/>
  <c r="B1217" i="16"/>
  <c r="B1216" i="16"/>
  <c r="B1215" i="16"/>
  <c r="B1214" i="16"/>
  <c r="B1213" i="16"/>
  <c r="B1212" i="16"/>
  <c r="B1211" i="16"/>
  <c r="B1210" i="16"/>
  <c r="B1209" i="16"/>
  <c r="B1208" i="16"/>
  <c r="B1207" i="16"/>
  <c r="B1206" i="16"/>
  <c r="B1205" i="16"/>
  <c r="B1204" i="16"/>
  <c r="B1203" i="16"/>
  <c r="B1202" i="16"/>
  <c r="B1201" i="16"/>
  <c r="B1200" i="16"/>
  <c r="B1199" i="16"/>
  <c r="B1198" i="16"/>
  <c r="B1197" i="16"/>
  <c r="B1196" i="16"/>
  <c r="B1195" i="16"/>
  <c r="B1194" i="16"/>
  <c r="B1193" i="16"/>
  <c r="B1192" i="16"/>
  <c r="B1191" i="16"/>
  <c r="B1190" i="16"/>
  <c r="B1189" i="16"/>
  <c r="B1188" i="16"/>
  <c r="B1187" i="16"/>
  <c r="B1186" i="16"/>
  <c r="B1185" i="16"/>
  <c r="B1183" i="16"/>
  <c r="B1182" i="16"/>
  <c r="B1175" i="16"/>
  <c r="B1173" i="16"/>
  <c r="B1172" i="16"/>
  <c r="B1171" i="16"/>
  <c r="B1170" i="16"/>
  <c r="B1169" i="16"/>
  <c r="B1166" i="16"/>
  <c r="B1160" i="16"/>
  <c r="B1158" i="16"/>
  <c r="B1157" i="16"/>
  <c r="B1156" i="16"/>
  <c r="B1155" i="16"/>
  <c r="B1154" i="16"/>
  <c r="B1153" i="16"/>
  <c r="B1152" i="16"/>
  <c r="B1151" i="16"/>
  <c r="B1150" i="16"/>
  <c r="B1149" i="16"/>
  <c r="B1148" i="16"/>
  <c r="B1147" i="16"/>
  <c r="B1146" i="16"/>
  <c r="B1145" i="16"/>
  <c r="B1144" i="16"/>
  <c r="B1143" i="16"/>
  <c r="B1142" i="16"/>
  <c r="B1141" i="16"/>
  <c r="B1140" i="16"/>
  <c r="B1139" i="16"/>
  <c r="B1138" i="16"/>
  <c r="B1137" i="16"/>
  <c r="B1136" i="16"/>
  <c r="B1135" i="16"/>
  <c r="B1134" i="16"/>
  <c r="B1133" i="16"/>
  <c r="B1132" i="16"/>
  <c r="B1131" i="16"/>
  <c r="B1130" i="16"/>
  <c r="B1129" i="16"/>
  <c r="B1128" i="16"/>
  <c r="B1127" i="16"/>
  <c r="B1126" i="16"/>
  <c r="B1125" i="16"/>
  <c r="B1124" i="16"/>
  <c r="B1123" i="16"/>
  <c r="B1122" i="16"/>
  <c r="B1121" i="16"/>
  <c r="B1120" i="16"/>
  <c r="B1119" i="16"/>
  <c r="B1118" i="16"/>
  <c r="B1117" i="16"/>
  <c r="B1116" i="16"/>
  <c r="B1115" i="16"/>
  <c r="B1114" i="16"/>
  <c r="B1113" i="16"/>
  <c r="B1112" i="16"/>
  <c r="B1111" i="16"/>
  <c r="B1110" i="16"/>
  <c r="B1109" i="16"/>
  <c r="B1108" i="16"/>
  <c r="B1107" i="16"/>
  <c r="B1106" i="16"/>
  <c r="B1105" i="16"/>
  <c r="B1104" i="16"/>
  <c r="B1103" i="16"/>
  <c r="B1102" i="16"/>
  <c r="B1101" i="16"/>
  <c r="B1100" i="16"/>
  <c r="B1099" i="16"/>
  <c r="B1098" i="16"/>
  <c r="B1097" i="16"/>
  <c r="B1096" i="16"/>
  <c r="B1095" i="16"/>
  <c r="B1094" i="16"/>
  <c r="B1093" i="16"/>
  <c r="B1092" i="16"/>
  <c r="B1091" i="16"/>
  <c r="B1090" i="16"/>
  <c r="B1089" i="16"/>
  <c r="B1088" i="16"/>
  <c r="B1087" i="16"/>
  <c r="B1086" i="16"/>
  <c r="B1085" i="16"/>
  <c r="B1084" i="16"/>
  <c r="B1083" i="16"/>
  <c r="B1082" i="16"/>
  <c r="B1081" i="16"/>
  <c r="B1080" i="16"/>
  <c r="B1079" i="16"/>
  <c r="B1078" i="16"/>
  <c r="B1077" i="16"/>
  <c r="B1076" i="16"/>
  <c r="B1075" i="16"/>
  <c r="B1074" i="16"/>
  <c r="B1073" i="16"/>
  <c r="B1072" i="16"/>
  <c r="B1071" i="16"/>
  <c r="B1070" i="16"/>
  <c r="B1069" i="16"/>
  <c r="B1068" i="16"/>
  <c r="B1067" i="16"/>
  <c r="B1066" i="16"/>
  <c r="B1065" i="16"/>
  <c r="B1064" i="16"/>
  <c r="B1063" i="16"/>
  <c r="B1062" i="16"/>
  <c r="B1061" i="16"/>
  <c r="B1060" i="16"/>
  <c r="B1059" i="16"/>
  <c r="B1058" i="16"/>
  <c r="B1057" i="16"/>
  <c r="B1056" i="16"/>
  <c r="B1055" i="16"/>
  <c r="B1054" i="16"/>
  <c r="B1053" i="16"/>
  <c r="B1052" i="16"/>
  <c r="B1051" i="16"/>
  <c r="B1050" i="16"/>
  <c r="B1049" i="16"/>
  <c r="B1048" i="16"/>
  <c r="B1047" i="16"/>
  <c r="B1046" i="16"/>
  <c r="B1045" i="16"/>
  <c r="B1044" i="16"/>
  <c r="B1043" i="16"/>
  <c r="B1042" i="16"/>
  <c r="B1041" i="16"/>
  <c r="B1040" i="16"/>
  <c r="B1039" i="16"/>
  <c r="B1038" i="16"/>
  <c r="B1037" i="16"/>
  <c r="B1036" i="16"/>
  <c r="B1035" i="16"/>
  <c r="B1034" i="16"/>
  <c r="B1033" i="16"/>
  <c r="B1032" i="16"/>
  <c r="B1031" i="16"/>
  <c r="B1030" i="16"/>
  <c r="B1029" i="16"/>
  <c r="B1028" i="16"/>
  <c r="B1027" i="16"/>
  <c r="B1026" i="16"/>
  <c r="B1025" i="16"/>
  <c r="B1024" i="16"/>
  <c r="B1023" i="16"/>
  <c r="B1022" i="16"/>
  <c r="B1021" i="16"/>
  <c r="B1020" i="16"/>
  <c r="B1019" i="16"/>
  <c r="B1018" i="16"/>
  <c r="B1017" i="16"/>
  <c r="B1016" i="16"/>
  <c r="B1015" i="16"/>
  <c r="B1014" i="16"/>
  <c r="B1013" i="16"/>
  <c r="B1012" i="16"/>
  <c r="B1011" i="16"/>
  <c r="B1010" i="16"/>
  <c r="B1009" i="16"/>
  <c r="B1008" i="16"/>
  <c r="B1007" i="16"/>
  <c r="B1006" i="16"/>
  <c r="B1005" i="16"/>
  <c r="B1004" i="16"/>
  <c r="B1003" i="16"/>
  <c r="B1002" i="16"/>
  <c r="B1001" i="16"/>
  <c r="B1000" i="16"/>
  <c r="B999" i="16"/>
  <c r="B998" i="16"/>
  <c r="B997" i="16"/>
  <c r="B996" i="16"/>
  <c r="B995" i="16"/>
  <c r="B994" i="16"/>
  <c r="B993" i="16"/>
  <c r="B992" i="16"/>
  <c r="B991" i="16"/>
  <c r="B990" i="16"/>
  <c r="B989" i="16"/>
  <c r="B988" i="16"/>
  <c r="B987" i="16"/>
  <c r="B986" i="16"/>
  <c r="B985" i="16"/>
  <c r="B984" i="16"/>
  <c r="B983" i="16"/>
  <c r="B982" i="16"/>
  <c r="B981" i="16"/>
  <c r="B980" i="16"/>
  <c r="B979" i="16"/>
  <c r="B978" i="16"/>
  <c r="B977" i="16"/>
  <c r="B976" i="16"/>
  <c r="B975" i="16"/>
  <c r="B974" i="16"/>
  <c r="B973" i="16"/>
  <c r="B972" i="16"/>
  <c r="B971" i="16"/>
  <c r="B970" i="16"/>
  <c r="B969" i="16"/>
  <c r="B968" i="16"/>
  <c r="B967" i="16"/>
  <c r="B966" i="16"/>
  <c r="B965" i="16"/>
  <c r="B964" i="16"/>
  <c r="B963" i="16"/>
  <c r="B962" i="16"/>
  <c r="B961" i="16"/>
  <c r="B960" i="16"/>
  <c r="B959" i="16"/>
  <c r="B958" i="16"/>
  <c r="B957" i="16"/>
  <c r="B956" i="16"/>
  <c r="B955" i="16"/>
  <c r="B954" i="16"/>
  <c r="B953" i="16"/>
  <c r="B952" i="16"/>
  <c r="B951" i="16"/>
  <c r="B950" i="16"/>
  <c r="B948" i="16"/>
  <c r="B944" i="16"/>
  <c r="B939" i="16"/>
  <c r="B938" i="16"/>
  <c r="B937" i="16"/>
  <c r="B936" i="16"/>
  <c r="B935" i="16"/>
  <c r="B934" i="16"/>
  <c r="B933" i="16"/>
  <c r="B931" i="16"/>
  <c r="B930" i="16"/>
  <c r="B929" i="16"/>
  <c r="B928" i="16"/>
  <c r="B927" i="16"/>
  <c r="B926" i="16"/>
  <c r="B923" i="16"/>
  <c r="B922" i="16"/>
  <c r="B921" i="16"/>
  <c r="B920" i="16"/>
  <c r="B919" i="16"/>
  <c r="B918" i="16"/>
  <c r="B917" i="16"/>
  <c r="B916" i="16"/>
  <c r="B915" i="16"/>
  <c r="B914" i="16"/>
  <c r="B913" i="16"/>
  <c r="B912" i="16"/>
  <c r="B911" i="16"/>
  <c r="B910" i="16"/>
  <c r="B909" i="16"/>
  <c r="B908" i="16"/>
  <c r="B907" i="16"/>
  <c r="B906" i="16"/>
  <c r="B905" i="16"/>
  <c r="B904" i="16"/>
  <c r="B903" i="16"/>
  <c r="B902" i="16"/>
  <c r="B901" i="16"/>
  <c r="B900" i="16"/>
  <c r="B899" i="16"/>
  <c r="B898" i="16"/>
  <c r="B897" i="16"/>
  <c r="B896" i="16"/>
  <c r="B895" i="16"/>
  <c r="B894" i="16"/>
  <c r="B893" i="16"/>
  <c r="B892" i="16"/>
  <c r="B891" i="16"/>
  <c r="B890" i="16"/>
  <c r="B889" i="16"/>
  <c r="B888" i="16"/>
  <c r="B887" i="16"/>
  <c r="B886" i="16"/>
  <c r="B885" i="16"/>
  <c r="B884" i="16"/>
  <c r="B883" i="16"/>
  <c r="B882" i="16"/>
  <c r="B881" i="16"/>
  <c r="B880" i="16"/>
  <c r="B879" i="16"/>
  <c r="B878" i="16"/>
  <c r="B877" i="16"/>
  <c r="B876" i="16"/>
  <c r="B875" i="16"/>
  <c r="B874" i="16"/>
  <c r="B873" i="16"/>
  <c r="B872" i="16"/>
  <c r="B871" i="16"/>
  <c r="B870" i="16"/>
  <c r="B869" i="16"/>
  <c r="B868" i="16"/>
  <c r="B867" i="16"/>
  <c r="B866" i="16"/>
  <c r="B865" i="16"/>
  <c r="B864" i="16"/>
  <c r="B863" i="16"/>
  <c r="B862" i="16"/>
  <c r="B861" i="16"/>
  <c r="B860" i="16"/>
  <c r="B859" i="16"/>
  <c r="B858" i="16"/>
  <c r="B857" i="16"/>
  <c r="B856" i="16"/>
  <c r="B855" i="16"/>
  <c r="B854" i="16"/>
  <c r="B853" i="16"/>
  <c r="B852" i="16"/>
  <c r="B851" i="16"/>
  <c r="B850" i="16"/>
  <c r="B849" i="16"/>
  <c r="B848" i="16"/>
  <c r="B847" i="16"/>
  <c r="B846" i="16"/>
  <c r="B845" i="16"/>
  <c r="B844" i="16"/>
  <c r="B843" i="16"/>
  <c r="B842" i="16"/>
  <c r="B841" i="16"/>
  <c r="B840" i="16"/>
  <c r="B839" i="16"/>
  <c r="B838" i="16"/>
  <c r="B837" i="16"/>
  <c r="B836" i="16"/>
  <c r="B835" i="16"/>
  <c r="B834" i="16"/>
  <c r="B833" i="16"/>
  <c r="B832" i="16"/>
  <c r="B831" i="16"/>
  <c r="B830" i="16"/>
  <c r="B829" i="16"/>
  <c r="B828" i="16"/>
  <c r="B827" i="16"/>
  <c r="B826" i="16"/>
  <c r="B825" i="16"/>
  <c r="B824" i="16"/>
  <c r="B823" i="16"/>
  <c r="B822" i="16"/>
  <c r="B821" i="16"/>
  <c r="B820" i="16"/>
  <c r="B819" i="16"/>
  <c r="B818" i="16"/>
  <c r="B817" i="16"/>
  <c r="B816" i="16"/>
  <c r="B815" i="16"/>
  <c r="B814" i="16"/>
  <c r="B813" i="16"/>
  <c r="B812" i="16"/>
  <c r="B811" i="16"/>
  <c r="B810" i="16"/>
  <c r="B809" i="16"/>
  <c r="B808" i="16"/>
  <c r="B807" i="16"/>
  <c r="B806" i="16"/>
  <c r="B805" i="16"/>
  <c r="B804" i="16"/>
  <c r="B803" i="16"/>
  <c r="B802" i="16"/>
  <c r="B801" i="16"/>
  <c r="B800" i="16"/>
  <c r="B799" i="16"/>
  <c r="B798" i="16"/>
  <c r="B797" i="16"/>
  <c r="B796" i="16"/>
  <c r="B795" i="16"/>
  <c r="B794" i="16"/>
  <c r="B793" i="16"/>
  <c r="B792" i="16"/>
  <c r="B791" i="16"/>
  <c r="B790" i="16"/>
  <c r="B787" i="16"/>
  <c r="B786" i="16"/>
  <c r="B784" i="16"/>
  <c r="B781" i="16"/>
  <c r="B780" i="16"/>
  <c r="B779" i="16"/>
  <c r="B778" i="16"/>
  <c r="B777" i="16"/>
  <c r="B776" i="16"/>
  <c r="B774" i="16"/>
  <c r="B773" i="16"/>
  <c r="B771" i="16"/>
  <c r="B770" i="16"/>
  <c r="B769" i="16"/>
  <c r="B768" i="16"/>
  <c r="B767" i="16"/>
  <c r="B766" i="16"/>
  <c r="B764" i="16"/>
  <c r="B763" i="16"/>
  <c r="B762" i="16"/>
  <c r="B761" i="16"/>
  <c r="B760" i="16"/>
  <c r="B759" i="16"/>
  <c r="B758" i="16"/>
  <c r="B757" i="16"/>
  <c r="B756" i="16"/>
  <c r="B755" i="16"/>
  <c r="B754" i="16"/>
  <c r="B753" i="16"/>
  <c r="B752" i="16"/>
  <c r="B751" i="16"/>
  <c r="B750" i="16"/>
  <c r="B749" i="16"/>
  <c r="B748" i="16"/>
  <c r="B747" i="16"/>
  <c r="B746" i="16"/>
  <c r="B745" i="16"/>
  <c r="B744" i="16"/>
  <c r="B743" i="16"/>
  <c r="B742" i="16"/>
  <c r="B741" i="16"/>
  <c r="B740" i="16"/>
  <c r="B739" i="16"/>
  <c r="B738" i="16"/>
  <c r="B737" i="16"/>
  <c r="B736" i="16"/>
  <c r="B735" i="16"/>
  <c r="B734" i="16"/>
  <c r="B733" i="16"/>
  <c r="B732" i="16"/>
  <c r="B731" i="16"/>
  <c r="B730" i="16"/>
  <c r="B729" i="16"/>
  <c r="B728" i="16"/>
  <c r="B727" i="16"/>
  <c r="B726" i="16"/>
  <c r="B725" i="16"/>
  <c r="B724" i="16"/>
  <c r="B723" i="16"/>
  <c r="B722" i="16"/>
  <c r="B721" i="16"/>
  <c r="B720" i="16"/>
  <c r="B719" i="16"/>
  <c r="B718" i="16"/>
  <c r="B717" i="16"/>
  <c r="B716" i="16"/>
  <c r="B715" i="16"/>
  <c r="B714" i="16"/>
  <c r="B713" i="16"/>
  <c r="B712" i="16"/>
  <c r="B711" i="16"/>
  <c r="B710" i="16"/>
  <c r="B709" i="16"/>
  <c r="B708" i="16"/>
  <c r="B707" i="16"/>
  <c r="B706" i="16"/>
  <c r="B705" i="16"/>
  <c r="B704" i="16"/>
  <c r="B703" i="16"/>
  <c r="B702" i="16"/>
  <c r="B701" i="16"/>
  <c r="B700" i="16"/>
  <c r="B699" i="16"/>
  <c r="B698" i="16"/>
  <c r="B697" i="16"/>
  <c r="B696" i="16"/>
  <c r="B695" i="16"/>
  <c r="B694" i="16"/>
  <c r="B693" i="16"/>
  <c r="B692" i="16"/>
  <c r="B691" i="16"/>
  <c r="B690" i="16"/>
  <c r="B689" i="16"/>
  <c r="B688" i="16"/>
  <c r="B687" i="16"/>
  <c r="B686" i="16"/>
  <c r="B685" i="16"/>
  <c r="B684" i="16"/>
  <c r="B683" i="16"/>
  <c r="B682" i="16"/>
  <c r="B681" i="16"/>
  <c r="B680" i="16"/>
  <c r="B679" i="16"/>
  <c r="B678" i="16"/>
  <c r="B677" i="16"/>
  <c r="B676" i="16"/>
  <c r="B675" i="16"/>
  <c r="B674" i="16"/>
  <c r="B673" i="16"/>
  <c r="B672" i="16"/>
  <c r="B671" i="16"/>
  <c r="B670" i="16"/>
  <c r="B669" i="16"/>
  <c r="B668" i="16"/>
  <c r="B667" i="16"/>
  <c r="B666" i="16"/>
  <c r="B665" i="16"/>
  <c r="B664" i="16"/>
  <c r="B663" i="16"/>
  <c r="B662" i="16"/>
  <c r="B661" i="16"/>
  <c r="B660" i="16"/>
  <c r="B659" i="16"/>
  <c r="B658" i="16"/>
  <c r="B657" i="16"/>
  <c r="B656" i="16"/>
  <c r="B655" i="16"/>
  <c r="B654" i="16"/>
  <c r="B653" i="16"/>
  <c r="B652" i="16"/>
  <c r="B651" i="16"/>
  <c r="B650" i="16"/>
  <c r="B649" i="16"/>
  <c r="B648" i="16"/>
  <c r="B647" i="16"/>
  <c r="B645" i="16"/>
  <c r="B641" i="16"/>
  <c r="B640" i="16"/>
  <c r="B639" i="16"/>
  <c r="B638" i="16"/>
  <c r="B637" i="16"/>
  <c r="B636" i="16"/>
  <c r="B634" i="16"/>
  <c r="B633" i="16"/>
  <c r="B632" i="16"/>
  <c r="B630" i="16"/>
  <c r="B629" i="16"/>
  <c r="B628" i="16"/>
  <c r="B627" i="16"/>
  <c r="B626" i="16"/>
  <c r="B625" i="16"/>
  <c r="B623" i="16"/>
  <c r="B622" i="16"/>
  <c r="B621" i="16"/>
  <c r="B620" i="16"/>
  <c r="B619" i="16"/>
  <c r="B618" i="16"/>
  <c r="B617" i="16"/>
  <c r="B616" i="16"/>
  <c r="B615" i="16"/>
  <c r="B614" i="16"/>
  <c r="B613" i="16"/>
  <c r="B612" i="16"/>
  <c r="B611" i="16"/>
  <c r="B610" i="16"/>
  <c r="B609" i="16"/>
  <c r="B608" i="16"/>
  <c r="B607" i="16"/>
  <c r="B606" i="16"/>
  <c r="B605" i="16"/>
  <c r="B604" i="16"/>
  <c r="B603" i="16"/>
  <c r="B602" i="16"/>
  <c r="B601" i="16"/>
  <c r="B600" i="16"/>
  <c r="B599" i="16"/>
  <c r="B598" i="16"/>
  <c r="B597" i="16"/>
  <c r="B596" i="16"/>
  <c r="B595" i="16"/>
  <c r="B594" i="16"/>
  <c r="B593" i="16"/>
  <c r="B592" i="16"/>
  <c r="B591" i="16"/>
  <c r="B590" i="16"/>
  <c r="B589" i="16"/>
  <c r="B588" i="16"/>
  <c r="B587" i="16"/>
  <c r="B586" i="16"/>
  <c r="B585" i="16"/>
  <c r="B584" i="16"/>
  <c r="B583" i="16"/>
  <c r="B582" i="16"/>
  <c r="B581" i="16"/>
  <c r="B580" i="16"/>
  <c r="B579" i="16"/>
  <c r="B578" i="16"/>
  <c r="B577" i="16"/>
  <c r="B576" i="16"/>
  <c r="B575" i="16"/>
  <c r="B574" i="16"/>
  <c r="B573" i="16"/>
  <c r="B572" i="16"/>
  <c r="B571" i="16"/>
  <c r="B570" i="16"/>
  <c r="B569" i="16"/>
  <c r="B568" i="16"/>
  <c r="B567" i="16"/>
  <c r="B566" i="16"/>
  <c r="B565" i="16"/>
  <c r="B564" i="16"/>
  <c r="B563" i="16"/>
  <c r="B562" i="16"/>
  <c r="B561" i="16"/>
  <c r="B560" i="16"/>
  <c r="B559" i="16"/>
  <c r="B558" i="16"/>
  <c r="B557" i="16"/>
  <c r="B556" i="16"/>
  <c r="B555" i="16"/>
  <c r="B554" i="16"/>
  <c r="B553" i="16"/>
  <c r="B552" i="16"/>
  <c r="B551" i="16"/>
  <c r="B550" i="16"/>
  <c r="B549" i="16"/>
  <c r="B548" i="16"/>
  <c r="B547" i="16"/>
  <c r="B546" i="16"/>
  <c r="B545" i="16"/>
  <c r="B544" i="16"/>
  <c r="B543" i="16"/>
  <c r="B542" i="16"/>
  <c r="B541" i="16"/>
  <c r="B540" i="16"/>
  <c r="B539" i="16"/>
  <c r="B538" i="16"/>
  <c r="B537" i="16"/>
  <c r="B536" i="16"/>
  <c r="B535" i="16"/>
  <c r="B534" i="16"/>
  <c r="B533" i="16"/>
  <c r="B532" i="16"/>
  <c r="B531" i="16"/>
  <c r="B530" i="16"/>
  <c r="B529" i="16"/>
  <c r="B528" i="16"/>
  <c r="B527" i="16"/>
  <c r="B526" i="16"/>
  <c r="B525" i="16"/>
  <c r="B524" i="16"/>
  <c r="B523" i="16"/>
  <c r="B522" i="16"/>
  <c r="B521" i="16"/>
  <c r="B520" i="16"/>
  <c r="B519" i="16"/>
  <c r="B518" i="16"/>
  <c r="B517" i="16"/>
  <c r="B516" i="16"/>
  <c r="B515" i="16"/>
  <c r="B514" i="16"/>
  <c r="B513" i="16"/>
  <c r="B512" i="16"/>
  <c r="B511" i="16"/>
  <c r="B510" i="16"/>
  <c r="B509" i="16"/>
  <c r="B508" i="16"/>
  <c r="B507" i="16"/>
  <c r="B506" i="16"/>
  <c r="B505" i="16"/>
  <c r="B504" i="16"/>
  <c r="B503" i="16"/>
  <c r="B502" i="16"/>
  <c r="B501" i="16"/>
  <c r="B500" i="16"/>
  <c r="B499" i="16"/>
  <c r="B498" i="16"/>
  <c r="B497" i="16"/>
  <c r="B496" i="16"/>
  <c r="B495" i="16"/>
  <c r="B494" i="16"/>
  <c r="B493" i="16"/>
  <c r="B492" i="16"/>
  <c r="B491" i="16"/>
  <c r="B490" i="16"/>
  <c r="B489" i="16"/>
  <c r="B488" i="16"/>
  <c r="B487" i="16"/>
  <c r="B486" i="16"/>
  <c r="B485" i="16"/>
  <c r="B484" i="16"/>
  <c r="B483" i="16"/>
  <c r="B475" i="16"/>
  <c r="B474" i="16"/>
  <c r="B466" i="16"/>
  <c r="B465" i="16"/>
  <c r="B464" i="16"/>
  <c r="B463" i="16"/>
  <c r="B462" i="16"/>
  <c r="B461" i="16"/>
  <c r="B460" i="16"/>
  <c r="B459" i="16"/>
  <c r="B458" i="16"/>
  <c r="B457" i="16"/>
  <c r="B456" i="16"/>
  <c r="B455" i="16"/>
  <c r="B454" i="16"/>
  <c r="B453" i="16"/>
  <c r="B452" i="16"/>
  <c r="B451" i="16"/>
  <c r="B450" i="16"/>
  <c r="B449" i="16"/>
  <c r="B448" i="16"/>
  <c r="B447" i="16"/>
  <c r="B446" i="16"/>
  <c r="B445" i="16"/>
  <c r="B444" i="16"/>
  <c r="B443" i="16"/>
  <c r="B442" i="16"/>
  <c r="B441" i="16"/>
  <c r="B440" i="16"/>
  <c r="B439" i="16"/>
  <c r="B438" i="16"/>
  <c r="B437" i="16"/>
  <c r="B436" i="16"/>
  <c r="B435" i="16"/>
  <c r="B434" i="16"/>
  <c r="B433" i="16"/>
  <c r="B432" i="16"/>
  <c r="B431" i="16"/>
  <c r="B430" i="16"/>
  <c r="B429" i="16"/>
  <c r="B428" i="16"/>
  <c r="B427" i="16"/>
  <c r="B426" i="16"/>
  <c r="B425" i="16"/>
  <c r="B424" i="16"/>
  <c r="B423" i="16"/>
  <c r="B422" i="16"/>
  <c r="B421" i="16"/>
  <c r="B420" i="16"/>
  <c r="B419" i="16"/>
  <c r="B418" i="16"/>
  <c r="B417" i="16"/>
  <c r="B416" i="16"/>
  <c r="B415" i="16"/>
  <c r="B414" i="16"/>
  <c r="B413" i="16"/>
  <c r="B412" i="16"/>
  <c r="B411" i="16"/>
  <c r="B410" i="16"/>
  <c r="B409" i="16"/>
  <c r="B408" i="16"/>
  <c r="B407" i="16"/>
  <c r="B406" i="16"/>
  <c r="B405" i="16"/>
  <c r="B404" i="16"/>
  <c r="B403" i="16"/>
  <c r="B402" i="16"/>
  <c r="B401" i="16"/>
  <c r="B400" i="16"/>
  <c r="B399" i="16"/>
  <c r="B398" i="16"/>
  <c r="B397" i="16"/>
  <c r="B396" i="16"/>
  <c r="B395" i="16"/>
  <c r="B394" i="16"/>
  <c r="B393" i="16"/>
  <c r="B392" i="16"/>
  <c r="B391" i="16"/>
  <c r="B390" i="16"/>
  <c r="B389" i="16"/>
  <c r="B388" i="16"/>
  <c r="B387" i="16"/>
  <c r="B386" i="16"/>
  <c r="B385" i="16"/>
  <c r="B384" i="16"/>
  <c r="B383" i="16"/>
  <c r="B382" i="16"/>
  <c r="B381" i="16"/>
  <c r="B380" i="16"/>
  <c r="B379" i="16"/>
  <c r="B378" i="16"/>
  <c r="B377" i="16"/>
  <c r="B376" i="16"/>
  <c r="B375" i="16"/>
  <c r="B374" i="16"/>
  <c r="B373" i="16"/>
  <c r="B372" i="16"/>
  <c r="B371" i="16"/>
  <c r="B370" i="16"/>
  <c r="B369" i="16"/>
  <c r="B368" i="16"/>
  <c r="B367" i="16"/>
  <c r="B366" i="16"/>
  <c r="B365" i="16"/>
  <c r="B364" i="16"/>
  <c r="B363" i="16"/>
  <c r="B362" i="16"/>
  <c r="B361" i="16"/>
  <c r="B360" i="16"/>
  <c r="B359" i="16"/>
  <c r="B358" i="16"/>
  <c r="B357" i="16"/>
  <c r="B356" i="16"/>
  <c r="B355" i="16"/>
  <c r="B354" i="16"/>
  <c r="B353" i="16"/>
  <c r="B352" i="16"/>
  <c r="B351" i="16"/>
  <c r="B350" i="16"/>
  <c r="B349" i="16"/>
  <c r="B348" i="16"/>
  <c r="B347" i="16"/>
  <c r="B346" i="16"/>
  <c r="B345" i="16"/>
  <c r="B344" i="16"/>
  <c r="B343" i="16"/>
  <c r="B342" i="16"/>
  <c r="B341" i="16"/>
  <c r="B340" i="16"/>
  <c r="B339" i="16"/>
  <c r="B338" i="16"/>
  <c r="B316" i="16"/>
  <c r="B314" i="16"/>
  <c r="B313" i="16"/>
  <c r="B312" i="16"/>
  <c r="B311" i="16"/>
  <c r="B310" i="16"/>
  <c r="B309" i="16"/>
  <c r="B308" i="16"/>
  <c r="B307" i="16"/>
  <c r="B306" i="16"/>
  <c r="B305" i="16"/>
  <c r="B304" i="16"/>
  <c r="B303" i="16"/>
  <c r="B302" i="16"/>
  <c r="B301" i="16"/>
  <c r="B300" i="16"/>
  <c r="B299" i="16"/>
  <c r="B298" i="16"/>
  <c r="B297" i="16"/>
  <c r="B296" i="16"/>
  <c r="B295" i="16"/>
  <c r="B294" i="16"/>
  <c r="B293" i="16"/>
  <c r="B292" i="16"/>
  <c r="B291" i="16"/>
  <c r="B290" i="16"/>
  <c r="B289" i="16"/>
  <c r="B288" i="16"/>
  <c r="B287" i="16"/>
  <c r="B286" i="16"/>
  <c r="B285" i="16"/>
  <c r="B284" i="16"/>
  <c r="B283" i="16"/>
  <c r="B282" i="16"/>
  <c r="B281" i="16"/>
  <c r="B280" i="16"/>
  <c r="B279" i="16"/>
  <c r="B278" i="16"/>
  <c r="B277" i="16"/>
  <c r="B276" i="16"/>
  <c r="B275" i="16"/>
  <c r="B274" i="16"/>
  <c r="B273" i="16"/>
  <c r="B272" i="16"/>
  <c r="B271" i="16"/>
  <c r="B270" i="16"/>
  <c r="B269" i="16"/>
  <c r="B268" i="16"/>
  <c r="B267" i="16"/>
  <c r="B266" i="16"/>
  <c r="B265" i="16"/>
  <c r="B264" i="16"/>
  <c r="B263" i="16"/>
  <c r="B262" i="16"/>
  <c r="B261" i="16"/>
  <c r="B260" i="16"/>
  <c r="B259" i="16"/>
  <c r="B258" i="16"/>
  <c r="B257" i="16"/>
  <c r="B256" i="16"/>
  <c r="B255" i="16"/>
  <c r="B254" i="16"/>
  <c r="B253" i="16"/>
  <c r="B252" i="16"/>
  <c r="B251" i="16"/>
  <c r="B250" i="16"/>
  <c r="B249" i="16"/>
  <c r="B248" i="16"/>
  <c r="B247" i="16"/>
  <c r="B246" i="16"/>
  <c r="B245" i="16"/>
  <c r="B244" i="16"/>
  <c r="B243" i="16"/>
  <c r="B242" i="16"/>
  <c r="B241" i="16"/>
  <c r="B240" i="16"/>
  <c r="B239" i="16"/>
  <c r="B238" i="16"/>
  <c r="B237" i="16"/>
  <c r="B236" i="16"/>
  <c r="B235" i="16"/>
  <c r="B234" i="16"/>
  <c r="B233" i="16"/>
  <c r="B232" i="16"/>
  <c r="B231" i="16"/>
  <c r="B230" i="16"/>
  <c r="B229" i="16"/>
  <c r="B228" i="16"/>
  <c r="B227" i="16"/>
  <c r="B226" i="16"/>
  <c r="B225" i="16"/>
  <c r="B224" i="16"/>
  <c r="B223" i="16"/>
  <c r="B222" i="16"/>
  <c r="B221" i="16"/>
  <c r="B220" i="16"/>
  <c r="B219" i="16"/>
  <c r="B218" i="16"/>
  <c r="B217" i="16"/>
  <c r="B216" i="16"/>
  <c r="B215" i="16"/>
  <c r="B214" i="16"/>
  <c r="B213" i="16"/>
  <c r="B212" i="16"/>
  <c r="B211" i="16"/>
  <c r="B210" i="16"/>
  <c r="B209" i="16"/>
  <c r="B208" i="16"/>
  <c r="B207" i="16"/>
  <c r="B206" i="16"/>
  <c r="B205" i="16"/>
  <c r="B204" i="16"/>
  <c r="B203" i="16"/>
  <c r="B202" i="16"/>
  <c r="B201" i="16"/>
  <c r="B200" i="16"/>
  <c r="B199" i="16"/>
  <c r="B198" i="16"/>
  <c r="B197" i="16"/>
  <c r="B196" i="16"/>
  <c r="B195" i="16"/>
  <c r="B194" i="16"/>
  <c r="B193" i="16"/>
  <c r="B192" i="16"/>
  <c r="B191" i="16"/>
  <c r="B190" i="16"/>
  <c r="B189" i="16"/>
  <c r="B188" i="16"/>
  <c r="B187" i="16"/>
  <c r="B186" i="16"/>
  <c r="B185" i="16"/>
  <c r="B184" i="16"/>
  <c r="B183" i="16"/>
  <c r="B161" i="16"/>
  <c r="B159" i="16"/>
  <c r="B158" i="16"/>
  <c r="B157" i="16"/>
  <c r="B156" i="16"/>
  <c r="B155" i="16"/>
  <c r="B154" i="16"/>
  <c r="B153" i="16"/>
  <c r="B152" i="16"/>
  <c r="B151" i="16"/>
  <c r="B150" i="16"/>
  <c r="B149" i="16"/>
  <c r="B148" i="16"/>
  <c r="B147" i="16"/>
  <c r="B146" i="16"/>
  <c r="B145" i="16"/>
  <c r="B144" i="16"/>
  <c r="B143" i="16"/>
  <c r="B142" i="16"/>
  <c r="B141" i="16"/>
  <c r="B140" i="16"/>
  <c r="B139" i="16"/>
  <c r="B138" i="16"/>
  <c r="B137" i="16"/>
  <c r="B136" i="16"/>
  <c r="B135" i="16"/>
  <c r="B134" i="16"/>
  <c r="B133" i="16"/>
  <c r="B132" i="16"/>
  <c r="B131" i="16"/>
  <c r="B130" i="16"/>
  <c r="B129" i="16"/>
  <c r="B128" i="16"/>
  <c r="B127" i="16"/>
  <c r="B126" i="16"/>
  <c r="B125" i="16"/>
  <c r="B124" i="16"/>
  <c r="B123" i="16"/>
  <c r="B122" i="16"/>
  <c r="B121" i="16"/>
  <c r="B120" i="16"/>
  <c r="B119" i="16"/>
  <c r="B118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1" i="16"/>
  <c r="B19" i="16"/>
  <c r="B18" i="16"/>
  <c r="B17" i="16"/>
  <c r="B16" i="16"/>
  <c r="B15" i="16"/>
  <c r="B14" i="16"/>
  <c r="B12" i="16"/>
  <c r="B8" i="16"/>
  <c r="B7" i="16"/>
  <c r="B5" i="16"/>
  <c r="B4" i="16"/>
  <c r="B3" i="16"/>
  <c r="B2" i="16"/>
  <c r="B353" i="14"/>
  <c r="B341" i="14"/>
  <c r="B340" i="14"/>
  <c r="B338" i="14"/>
  <c r="B337" i="14"/>
  <c r="B336" i="14"/>
  <c r="B334" i="14"/>
  <c r="B333" i="14"/>
  <c r="B332" i="14"/>
  <c r="B331" i="14"/>
  <c r="B330" i="14"/>
  <c r="B329" i="14"/>
  <c r="B328" i="14"/>
  <c r="B327" i="14"/>
  <c r="B322" i="14"/>
  <c r="B321" i="14"/>
  <c r="B320" i="14"/>
  <c r="B318" i="14"/>
  <c r="B311" i="14"/>
  <c r="B309" i="14"/>
  <c r="B308" i="14"/>
  <c r="B307" i="14"/>
  <c r="B306" i="14"/>
  <c r="B305" i="14"/>
  <c r="B304" i="14"/>
  <c r="B303" i="14"/>
  <c r="B302" i="14"/>
  <c r="B298" i="14"/>
  <c r="B297" i="14"/>
  <c r="B295" i="14"/>
  <c r="B294" i="14"/>
  <c r="B293" i="14"/>
  <c r="B291" i="14"/>
  <c r="B290" i="14"/>
  <c r="B289" i="14"/>
  <c r="B285" i="14"/>
  <c r="B284" i="14"/>
  <c r="B274" i="14"/>
  <c r="B273" i="14"/>
  <c r="B271" i="14"/>
  <c r="B270" i="14"/>
  <c r="B268" i="14"/>
  <c r="B267" i="14"/>
  <c r="B264" i="14"/>
  <c r="B263" i="14"/>
  <c r="B262" i="14"/>
  <c r="B260" i="14"/>
  <c r="B259" i="14"/>
  <c r="B257" i="14"/>
  <c r="B256" i="14"/>
  <c r="B248" i="14"/>
  <c r="B245" i="14"/>
  <c r="B244" i="14"/>
  <c r="B243" i="14"/>
  <c r="B242" i="14"/>
  <c r="B239" i="14"/>
  <c r="B232" i="14"/>
  <c r="B231" i="14"/>
  <c r="B230" i="14"/>
  <c r="B229" i="14"/>
  <c r="B228" i="14"/>
  <c r="B225" i="14"/>
  <c r="B224" i="14"/>
  <c r="B223" i="14"/>
  <c r="B222" i="14"/>
  <c r="B221" i="14"/>
  <c r="B220" i="14"/>
  <c r="B219" i="14"/>
  <c r="B218" i="14"/>
  <c r="B217" i="14"/>
  <c r="B216" i="14"/>
  <c r="B208" i="14"/>
  <c r="B200" i="14"/>
  <c r="B199" i="14"/>
  <c r="B196" i="14"/>
  <c r="B195" i="14"/>
  <c r="B178" i="14"/>
  <c r="B177" i="14"/>
  <c r="B170" i="14"/>
  <c r="B168" i="14"/>
  <c r="B167" i="14"/>
  <c r="B166" i="14"/>
  <c r="B165" i="14"/>
  <c r="B164" i="14"/>
  <c r="B161" i="14"/>
  <c r="B155" i="14"/>
  <c r="B153" i="14"/>
  <c r="B152" i="14"/>
  <c r="B151" i="14"/>
  <c r="B149" i="14"/>
  <c r="B145" i="14"/>
  <c r="B140" i="14"/>
  <c r="B139" i="14"/>
  <c r="B138" i="14"/>
  <c r="B137" i="14"/>
  <c r="B136" i="14"/>
  <c r="B135" i="14"/>
  <c r="B134" i="14"/>
  <c r="B132" i="14"/>
  <c r="B131" i="14"/>
  <c r="B130" i="14"/>
  <c r="B129" i="14"/>
  <c r="B128" i="14"/>
  <c r="B127" i="14"/>
  <c r="B122" i="14"/>
  <c r="B121" i="14"/>
  <c r="B119" i="14"/>
  <c r="B116" i="14"/>
  <c r="B115" i="14"/>
  <c r="B114" i="14"/>
  <c r="B113" i="14"/>
  <c r="B112" i="14"/>
  <c r="B111" i="14"/>
  <c r="B109" i="14"/>
  <c r="B108" i="14"/>
  <c r="B106" i="14"/>
  <c r="B105" i="14"/>
  <c r="B104" i="14"/>
  <c r="B103" i="14"/>
  <c r="B102" i="14"/>
  <c r="B101" i="14"/>
  <c r="B99" i="14"/>
  <c r="B98" i="14"/>
  <c r="B97" i="14"/>
  <c r="B96" i="14"/>
  <c r="B95" i="14"/>
  <c r="B93" i="14"/>
  <c r="B89" i="14"/>
  <c r="B88" i="14"/>
  <c r="B87" i="14"/>
  <c r="B86" i="14"/>
  <c r="B85" i="14"/>
  <c r="B84" i="14"/>
  <c r="B82" i="14"/>
  <c r="B81" i="14"/>
  <c r="B80" i="14"/>
  <c r="B78" i="14"/>
  <c r="B77" i="14"/>
  <c r="B76" i="14"/>
  <c r="B75" i="14"/>
  <c r="B74" i="14"/>
  <c r="B73" i="14"/>
  <c r="B71" i="14"/>
  <c r="B70" i="14"/>
  <c r="B63" i="14"/>
  <c r="B62" i="14"/>
  <c r="B33" i="14"/>
  <c r="B31" i="14"/>
  <c r="B30" i="14"/>
  <c r="B29" i="14"/>
  <c r="E500" i="9"/>
  <c r="D500" i="9"/>
  <c r="C500" i="9"/>
  <c r="B500" i="9"/>
  <c r="A500" i="9"/>
  <c r="E499" i="9"/>
  <c r="D499" i="9"/>
  <c r="C499" i="9"/>
  <c r="B499" i="9"/>
  <c r="A499" i="9"/>
  <c r="E498" i="9"/>
  <c r="D498" i="9"/>
  <c r="C498" i="9"/>
  <c r="B498" i="9"/>
  <c r="A498" i="9"/>
  <c r="E497" i="9"/>
  <c r="D497" i="9"/>
  <c r="C497" i="9"/>
  <c r="B497" i="9"/>
  <c r="A497" i="9"/>
  <c r="E496" i="9"/>
  <c r="D496" i="9"/>
  <c r="C496" i="9"/>
  <c r="B496" i="9"/>
  <c r="A496" i="9"/>
  <c r="E495" i="9"/>
  <c r="D495" i="9"/>
  <c r="C495" i="9"/>
  <c r="B495" i="9"/>
  <c r="A495" i="9"/>
  <c r="E494" i="9"/>
  <c r="D494" i="9"/>
  <c r="C494" i="9"/>
  <c r="B494" i="9"/>
  <c r="A494" i="9"/>
  <c r="E493" i="9"/>
  <c r="D493" i="9"/>
  <c r="C493" i="9"/>
  <c r="B493" i="9"/>
  <c r="A493" i="9"/>
  <c r="E492" i="9"/>
  <c r="D492" i="9"/>
  <c r="C492" i="9"/>
  <c r="B492" i="9"/>
  <c r="A492" i="9"/>
  <c r="E491" i="9"/>
  <c r="D491" i="9"/>
  <c r="C491" i="9"/>
  <c r="B491" i="9"/>
  <c r="A491" i="9"/>
  <c r="E490" i="9"/>
  <c r="D490" i="9"/>
  <c r="C490" i="9"/>
  <c r="B490" i="9"/>
  <c r="A490" i="9"/>
  <c r="E489" i="9"/>
  <c r="D489" i="9"/>
  <c r="C489" i="9"/>
  <c r="B489" i="9"/>
  <c r="A489" i="9"/>
  <c r="E488" i="9"/>
  <c r="D488" i="9"/>
  <c r="C488" i="9"/>
  <c r="B488" i="9"/>
  <c r="A488" i="9"/>
  <c r="E487" i="9"/>
  <c r="D487" i="9"/>
  <c r="C487" i="9"/>
  <c r="B487" i="9"/>
  <c r="A487" i="9"/>
  <c r="E486" i="9"/>
  <c r="D486" i="9"/>
  <c r="C486" i="9"/>
  <c r="B486" i="9"/>
  <c r="A486" i="9"/>
  <c r="E485" i="9"/>
  <c r="D485" i="9"/>
  <c r="C485" i="9"/>
  <c r="B485" i="9"/>
  <c r="A485" i="9"/>
  <c r="E484" i="9"/>
  <c r="D484" i="9"/>
  <c r="C484" i="9"/>
  <c r="B484" i="9"/>
  <c r="A484" i="9"/>
  <c r="E483" i="9"/>
  <c r="D483" i="9"/>
  <c r="C483" i="9"/>
  <c r="B483" i="9"/>
  <c r="A483" i="9"/>
  <c r="E482" i="9"/>
  <c r="D482" i="9"/>
  <c r="C482" i="9"/>
  <c r="B482" i="9"/>
  <c r="A482" i="9"/>
  <c r="E481" i="9"/>
  <c r="D481" i="9"/>
  <c r="C481" i="9"/>
  <c r="B481" i="9"/>
  <c r="A481" i="9"/>
  <c r="E480" i="9"/>
  <c r="D480" i="9"/>
  <c r="C480" i="9"/>
  <c r="B480" i="9"/>
  <c r="A480" i="9"/>
  <c r="E479" i="9"/>
  <c r="D479" i="9"/>
  <c r="C479" i="9"/>
  <c r="B479" i="9"/>
  <c r="A479" i="9"/>
  <c r="E478" i="9"/>
  <c r="D478" i="9"/>
  <c r="C478" i="9"/>
  <c r="B478" i="9"/>
  <c r="A478" i="9"/>
  <c r="E477" i="9"/>
  <c r="D477" i="9"/>
  <c r="C477" i="9"/>
  <c r="B477" i="9"/>
  <c r="A477" i="9"/>
  <c r="E476" i="9"/>
  <c r="D476" i="9"/>
  <c r="C476" i="9"/>
  <c r="B476" i="9"/>
  <c r="A476" i="9"/>
  <c r="E475" i="9"/>
  <c r="D475" i="9"/>
  <c r="C475" i="9"/>
  <c r="B475" i="9"/>
  <c r="A475" i="9"/>
  <c r="E474" i="9"/>
  <c r="D474" i="9"/>
  <c r="C474" i="9"/>
  <c r="B474" i="9"/>
  <c r="A474" i="9"/>
  <c r="E473" i="9"/>
  <c r="D473" i="9"/>
  <c r="C473" i="9"/>
  <c r="B473" i="9"/>
  <c r="A473" i="9"/>
  <c r="E472" i="9"/>
  <c r="D472" i="9"/>
  <c r="C472" i="9"/>
  <c r="B472" i="9"/>
  <c r="A472" i="9"/>
  <c r="E471" i="9"/>
  <c r="D471" i="9"/>
  <c r="C471" i="9"/>
  <c r="B471" i="9"/>
  <c r="A471" i="9"/>
  <c r="E470" i="9"/>
  <c r="D470" i="9"/>
  <c r="C470" i="9"/>
  <c r="B470" i="9"/>
  <c r="A470" i="9"/>
  <c r="E469" i="9"/>
  <c r="D469" i="9"/>
  <c r="C469" i="9"/>
  <c r="B469" i="9"/>
  <c r="A469" i="9"/>
  <c r="E468" i="9"/>
  <c r="D468" i="9"/>
  <c r="C468" i="9"/>
  <c r="B468" i="9"/>
  <c r="A468" i="9"/>
  <c r="E467" i="9"/>
  <c r="D467" i="9"/>
  <c r="C467" i="9"/>
  <c r="B467" i="9"/>
  <c r="A467" i="9"/>
  <c r="E466" i="9"/>
  <c r="D466" i="9"/>
  <c r="C466" i="9"/>
  <c r="B466" i="9"/>
  <c r="A466" i="9"/>
  <c r="E465" i="9"/>
  <c r="D465" i="9"/>
  <c r="C465" i="9"/>
  <c r="B465" i="9"/>
  <c r="A465" i="9"/>
  <c r="E464" i="9"/>
  <c r="D464" i="9"/>
  <c r="C464" i="9"/>
  <c r="B464" i="9"/>
  <c r="A464" i="9"/>
  <c r="E463" i="9"/>
  <c r="D463" i="9"/>
  <c r="C463" i="9"/>
  <c r="B463" i="9"/>
  <c r="A463" i="9"/>
  <c r="E462" i="9"/>
  <c r="D462" i="9"/>
  <c r="C462" i="9"/>
  <c r="B462" i="9"/>
  <c r="A462" i="9"/>
  <c r="E461" i="9"/>
  <c r="D461" i="9"/>
  <c r="C461" i="9"/>
  <c r="B461" i="9"/>
  <c r="A461" i="9"/>
  <c r="E460" i="9"/>
  <c r="D460" i="9"/>
  <c r="C460" i="9"/>
  <c r="B460" i="9"/>
  <c r="A460" i="9"/>
  <c r="E459" i="9"/>
  <c r="D459" i="9"/>
  <c r="C459" i="9"/>
  <c r="B459" i="9"/>
  <c r="A459" i="9"/>
  <c r="E458" i="9"/>
  <c r="D458" i="9"/>
  <c r="C458" i="9"/>
  <c r="B458" i="9"/>
  <c r="A458" i="9"/>
  <c r="E457" i="9"/>
  <c r="D457" i="9"/>
  <c r="C457" i="9"/>
  <c r="B457" i="9"/>
  <c r="A457" i="9"/>
  <c r="E456" i="9"/>
  <c r="D456" i="9"/>
  <c r="C456" i="9"/>
  <c r="B456" i="9"/>
  <c r="A456" i="9"/>
  <c r="E455" i="9"/>
  <c r="D455" i="9"/>
  <c r="C455" i="9"/>
  <c r="B455" i="9"/>
  <c r="A455" i="9"/>
  <c r="E454" i="9"/>
  <c r="D454" i="9"/>
  <c r="C454" i="9"/>
  <c r="B454" i="9"/>
  <c r="A454" i="9"/>
  <c r="E453" i="9"/>
  <c r="D453" i="9"/>
  <c r="C453" i="9"/>
  <c r="B453" i="9"/>
  <c r="A453" i="9"/>
  <c r="E452" i="9"/>
  <c r="D452" i="9"/>
  <c r="C452" i="9"/>
  <c r="B452" i="9"/>
  <c r="A452" i="9"/>
  <c r="E451" i="9"/>
  <c r="D451" i="9"/>
  <c r="C451" i="9"/>
  <c r="B451" i="9"/>
  <c r="A451" i="9"/>
  <c r="E450" i="9"/>
  <c r="D450" i="9"/>
  <c r="C450" i="9"/>
  <c r="B450" i="9"/>
  <c r="A450" i="9"/>
  <c r="E449" i="9"/>
  <c r="D449" i="9"/>
  <c r="C449" i="9"/>
  <c r="B449" i="9"/>
  <c r="A449" i="9"/>
  <c r="E448" i="9"/>
  <c r="D448" i="9"/>
  <c r="C448" i="9"/>
  <c r="B448" i="9"/>
  <c r="A448" i="9"/>
  <c r="E447" i="9"/>
  <c r="D447" i="9"/>
  <c r="C447" i="9"/>
  <c r="B447" i="9"/>
  <c r="A447" i="9"/>
  <c r="E446" i="9"/>
  <c r="D446" i="9"/>
  <c r="C446" i="9"/>
  <c r="B446" i="9"/>
  <c r="A446" i="9"/>
  <c r="E445" i="9"/>
  <c r="D445" i="9"/>
  <c r="C445" i="9"/>
  <c r="B445" i="9"/>
  <c r="A445" i="9"/>
  <c r="E444" i="9"/>
  <c r="D444" i="9"/>
  <c r="C444" i="9"/>
  <c r="B444" i="9"/>
  <c r="A444" i="9"/>
  <c r="E443" i="9"/>
  <c r="D443" i="9"/>
  <c r="C443" i="9"/>
  <c r="B443" i="9"/>
  <c r="A443" i="9"/>
  <c r="E442" i="9"/>
  <c r="D442" i="9"/>
  <c r="C442" i="9"/>
  <c r="B442" i="9"/>
  <c r="A442" i="9"/>
  <c r="E441" i="9"/>
  <c r="D441" i="9"/>
  <c r="C441" i="9"/>
  <c r="B441" i="9"/>
  <c r="A441" i="9"/>
  <c r="E440" i="9"/>
  <c r="D440" i="9"/>
  <c r="C440" i="9"/>
  <c r="B440" i="9"/>
  <c r="A440" i="9"/>
  <c r="E439" i="9"/>
  <c r="D439" i="9"/>
  <c r="C439" i="9"/>
  <c r="B439" i="9"/>
  <c r="A439" i="9"/>
  <c r="E438" i="9"/>
  <c r="D438" i="9"/>
  <c r="C438" i="9"/>
  <c r="B438" i="9"/>
  <c r="A438" i="9"/>
  <c r="E437" i="9"/>
  <c r="D437" i="9"/>
  <c r="C437" i="9"/>
  <c r="B437" i="9"/>
  <c r="A437" i="9"/>
  <c r="E436" i="9"/>
  <c r="D436" i="9"/>
  <c r="C436" i="9"/>
  <c r="B436" i="9"/>
  <c r="A436" i="9"/>
  <c r="E435" i="9"/>
  <c r="D435" i="9"/>
  <c r="C435" i="9"/>
  <c r="B435" i="9"/>
  <c r="A435" i="9"/>
  <c r="E434" i="9"/>
  <c r="D434" i="9"/>
  <c r="C434" i="9"/>
  <c r="B434" i="9"/>
  <c r="A434" i="9"/>
  <c r="E433" i="9"/>
  <c r="D433" i="9"/>
  <c r="C433" i="9"/>
  <c r="B433" i="9"/>
  <c r="A433" i="9"/>
  <c r="E432" i="9"/>
  <c r="D432" i="9"/>
  <c r="C432" i="9"/>
  <c r="B432" i="9"/>
  <c r="A432" i="9"/>
  <c r="E431" i="9"/>
  <c r="D431" i="9"/>
  <c r="C431" i="9"/>
  <c r="B431" i="9"/>
  <c r="A431" i="9"/>
  <c r="E430" i="9"/>
  <c r="D430" i="9"/>
  <c r="C430" i="9"/>
  <c r="B430" i="9"/>
  <c r="A430" i="9"/>
  <c r="E429" i="9"/>
  <c r="D429" i="9"/>
  <c r="C429" i="9"/>
  <c r="B429" i="9"/>
  <c r="A429" i="9"/>
  <c r="E428" i="9"/>
  <c r="D428" i="9"/>
  <c r="C428" i="9"/>
  <c r="B428" i="9"/>
  <c r="A428" i="9"/>
  <c r="E427" i="9"/>
  <c r="D427" i="9"/>
  <c r="C427" i="9"/>
  <c r="B427" i="9"/>
  <c r="A427" i="9"/>
  <c r="E426" i="9"/>
  <c r="D426" i="9"/>
  <c r="C426" i="9"/>
  <c r="B426" i="9"/>
  <c r="A426" i="9"/>
  <c r="E425" i="9"/>
  <c r="D425" i="9"/>
  <c r="C425" i="9"/>
  <c r="B425" i="9"/>
  <c r="A425" i="9"/>
  <c r="E424" i="9"/>
  <c r="D424" i="9"/>
  <c r="C424" i="9"/>
  <c r="B424" i="9"/>
  <c r="A424" i="9"/>
  <c r="E423" i="9"/>
  <c r="D423" i="9"/>
  <c r="C423" i="9"/>
  <c r="B423" i="9"/>
  <c r="A423" i="9"/>
  <c r="E422" i="9"/>
  <c r="D422" i="9"/>
  <c r="C422" i="9"/>
  <c r="B422" i="9"/>
  <c r="A422" i="9"/>
  <c r="E421" i="9"/>
  <c r="D421" i="9"/>
  <c r="C421" i="9"/>
  <c r="B421" i="9"/>
  <c r="A421" i="9"/>
  <c r="E420" i="9"/>
  <c r="D420" i="9"/>
  <c r="C420" i="9"/>
  <c r="B420" i="9"/>
  <c r="A420" i="9"/>
  <c r="E419" i="9"/>
  <c r="D419" i="9"/>
  <c r="C419" i="9"/>
  <c r="B419" i="9"/>
  <c r="A419" i="9"/>
  <c r="E418" i="9"/>
  <c r="D418" i="9"/>
  <c r="C418" i="9"/>
  <c r="B418" i="9"/>
  <c r="A418" i="9"/>
  <c r="E417" i="9"/>
  <c r="D417" i="9"/>
  <c r="C417" i="9"/>
  <c r="B417" i="9"/>
  <c r="A417" i="9"/>
  <c r="E416" i="9"/>
  <c r="D416" i="9"/>
  <c r="C416" i="9"/>
  <c r="B416" i="9"/>
  <c r="A416" i="9"/>
  <c r="E415" i="9"/>
  <c r="D415" i="9"/>
  <c r="C415" i="9"/>
  <c r="B415" i="9"/>
  <c r="A415" i="9"/>
  <c r="E414" i="9"/>
  <c r="D414" i="9"/>
  <c r="C414" i="9"/>
  <c r="B414" i="9"/>
  <c r="A414" i="9"/>
  <c r="E413" i="9"/>
  <c r="D413" i="9"/>
  <c r="C413" i="9"/>
  <c r="B413" i="9"/>
  <c r="A413" i="9"/>
  <c r="E412" i="9"/>
  <c r="D412" i="9"/>
  <c r="C412" i="9"/>
  <c r="B412" i="9"/>
  <c r="A412" i="9"/>
  <c r="E411" i="9"/>
  <c r="D411" i="9"/>
  <c r="C411" i="9"/>
  <c r="B411" i="9"/>
  <c r="A411" i="9"/>
  <c r="E410" i="9"/>
  <c r="D410" i="9"/>
  <c r="C410" i="9"/>
  <c r="B410" i="9"/>
  <c r="A410" i="9"/>
  <c r="E409" i="9"/>
  <c r="D409" i="9"/>
  <c r="C409" i="9"/>
  <c r="B409" i="9"/>
  <c r="A409" i="9"/>
  <c r="E408" i="9"/>
  <c r="D408" i="9"/>
  <c r="C408" i="9"/>
  <c r="B408" i="9"/>
  <c r="A408" i="9"/>
  <c r="E407" i="9"/>
  <c r="D407" i="9"/>
  <c r="C407" i="9"/>
  <c r="B407" i="9"/>
  <c r="A407" i="9"/>
  <c r="E406" i="9"/>
  <c r="D406" i="9"/>
  <c r="C406" i="9"/>
  <c r="B406" i="9"/>
  <c r="A406" i="9"/>
  <c r="E405" i="9"/>
  <c r="D405" i="9"/>
  <c r="C405" i="9"/>
  <c r="B405" i="9"/>
  <c r="A405" i="9"/>
  <c r="E404" i="9"/>
  <c r="D404" i="9"/>
  <c r="C404" i="9"/>
  <c r="B404" i="9"/>
  <c r="A404" i="9"/>
  <c r="E403" i="9"/>
  <c r="D403" i="9"/>
  <c r="C403" i="9"/>
  <c r="B403" i="9"/>
  <c r="A403" i="9"/>
  <c r="E402" i="9"/>
  <c r="D402" i="9"/>
  <c r="C402" i="9"/>
  <c r="B402" i="9"/>
  <c r="A402" i="9"/>
  <c r="E401" i="9"/>
  <c r="D401" i="9"/>
  <c r="C401" i="9"/>
  <c r="B401" i="9"/>
  <c r="A401" i="9"/>
  <c r="E400" i="9"/>
  <c r="D400" i="9"/>
  <c r="C400" i="9"/>
  <c r="B400" i="9"/>
  <c r="A400" i="9"/>
  <c r="E399" i="9"/>
  <c r="D399" i="9"/>
  <c r="C399" i="9"/>
  <c r="B399" i="9"/>
  <c r="A399" i="9"/>
  <c r="E398" i="9"/>
  <c r="D398" i="9"/>
  <c r="C398" i="9"/>
  <c r="B398" i="9"/>
  <c r="A398" i="9"/>
  <c r="E397" i="9"/>
  <c r="D397" i="9"/>
  <c r="C397" i="9"/>
  <c r="B397" i="9"/>
  <c r="A397" i="9"/>
  <c r="E396" i="9"/>
  <c r="D396" i="9"/>
  <c r="C396" i="9"/>
  <c r="B396" i="9"/>
  <c r="A396" i="9"/>
  <c r="E395" i="9"/>
  <c r="D395" i="9"/>
  <c r="C395" i="9"/>
  <c r="B395" i="9"/>
  <c r="A395" i="9"/>
  <c r="E394" i="9"/>
  <c r="D394" i="9"/>
  <c r="C394" i="9"/>
  <c r="B394" i="9"/>
  <c r="A394" i="9"/>
  <c r="E393" i="9"/>
  <c r="D393" i="9"/>
  <c r="C393" i="9"/>
  <c r="B393" i="9"/>
  <c r="A393" i="9"/>
  <c r="E392" i="9"/>
  <c r="D392" i="9"/>
  <c r="C392" i="9"/>
  <c r="B392" i="9"/>
  <c r="A392" i="9"/>
  <c r="E391" i="9"/>
  <c r="D391" i="9"/>
  <c r="C391" i="9"/>
  <c r="B391" i="9"/>
  <c r="A391" i="9"/>
  <c r="E390" i="9"/>
  <c r="D390" i="9"/>
  <c r="C390" i="9"/>
  <c r="B390" i="9"/>
  <c r="A390" i="9"/>
  <c r="E389" i="9"/>
  <c r="D389" i="9"/>
  <c r="C389" i="9"/>
  <c r="B389" i="9"/>
  <c r="A389" i="9"/>
  <c r="E388" i="9"/>
  <c r="D388" i="9"/>
  <c r="C388" i="9"/>
  <c r="B388" i="9"/>
  <c r="A388" i="9"/>
  <c r="E387" i="9"/>
  <c r="D387" i="9"/>
  <c r="C387" i="9"/>
  <c r="B387" i="9"/>
  <c r="A387" i="9"/>
  <c r="E386" i="9"/>
  <c r="D386" i="9"/>
  <c r="C386" i="9"/>
  <c r="B386" i="9"/>
  <c r="A386" i="9"/>
  <c r="E385" i="9"/>
  <c r="D385" i="9"/>
  <c r="C385" i="9"/>
  <c r="B385" i="9"/>
  <c r="A385" i="9"/>
  <c r="E384" i="9"/>
  <c r="D384" i="9"/>
  <c r="C384" i="9"/>
  <c r="B384" i="9"/>
  <c r="A384" i="9"/>
  <c r="E383" i="9"/>
  <c r="D383" i="9"/>
  <c r="C383" i="9"/>
  <c r="B383" i="9"/>
  <c r="A383" i="9"/>
  <c r="E382" i="9"/>
  <c r="D382" i="9"/>
  <c r="C382" i="9"/>
  <c r="B382" i="9"/>
  <c r="A382" i="9"/>
  <c r="E381" i="9"/>
  <c r="D381" i="9"/>
  <c r="C381" i="9"/>
  <c r="B381" i="9"/>
  <c r="A381" i="9"/>
  <c r="E380" i="9"/>
  <c r="D380" i="9"/>
  <c r="C380" i="9"/>
  <c r="B380" i="9"/>
  <c r="A380" i="9"/>
  <c r="E379" i="9"/>
  <c r="D379" i="9"/>
  <c r="C379" i="9"/>
  <c r="B379" i="9"/>
  <c r="A379" i="9"/>
  <c r="E378" i="9"/>
  <c r="D378" i="9"/>
  <c r="C378" i="9"/>
  <c r="B378" i="9"/>
  <c r="A378" i="9"/>
  <c r="E377" i="9"/>
  <c r="D377" i="9"/>
  <c r="C377" i="9"/>
  <c r="B377" i="9"/>
  <c r="A377" i="9"/>
  <c r="E376" i="9"/>
  <c r="D376" i="9"/>
  <c r="C376" i="9"/>
  <c r="B376" i="9"/>
  <c r="A376" i="9"/>
  <c r="E375" i="9"/>
  <c r="D375" i="9"/>
  <c r="C375" i="9"/>
  <c r="B375" i="9"/>
  <c r="A375" i="9"/>
  <c r="E374" i="9"/>
  <c r="D374" i="9"/>
  <c r="C374" i="9"/>
  <c r="B374" i="9"/>
  <c r="A374" i="9"/>
  <c r="E373" i="9"/>
  <c r="D373" i="9"/>
  <c r="C373" i="9"/>
  <c r="B373" i="9"/>
  <c r="A373" i="9"/>
  <c r="E372" i="9"/>
  <c r="D372" i="9"/>
  <c r="C372" i="9"/>
  <c r="B372" i="9"/>
  <c r="A372" i="9"/>
  <c r="E371" i="9"/>
  <c r="D371" i="9"/>
  <c r="C371" i="9"/>
  <c r="B371" i="9"/>
  <c r="A371" i="9"/>
  <c r="E370" i="9"/>
  <c r="D370" i="9"/>
  <c r="C370" i="9"/>
  <c r="B370" i="9"/>
  <c r="A370" i="9"/>
  <c r="E369" i="9"/>
  <c r="D369" i="9"/>
  <c r="C369" i="9"/>
  <c r="B369" i="9"/>
  <c r="A369" i="9"/>
  <c r="E368" i="9"/>
  <c r="D368" i="9"/>
  <c r="C368" i="9"/>
  <c r="B368" i="9"/>
  <c r="A368" i="9"/>
  <c r="E367" i="9"/>
  <c r="D367" i="9"/>
  <c r="C367" i="9"/>
  <c r="B367" i="9"/>
  <c r="A367" i="9"/>
  <c r="E366" i="9"/>
  <c r="D366" i="9"/>
  <c r="C366" i="9"/>
  <c r="B366" i="9"/>
  <c r="A366" i="9"/>
  <c r="E365" i="9"/>
  <c r="D365" i="9"/>
  <c r="C365" i="9"/>
  <c r="B365" i="9"/>
  <c r="A365" i="9"/>
  <c r="E364" i="9"/>
  <c r="D364" i="9"/>
  <c r="C364" i="9"/>
  <c r="B364" i="9"/>
  <c r="A364" i="9"/>
  <c r="E363" i="9"/>
  <c r="D363" i="9"/>
  <c r="C363" i="9"/>
  <c r="B363" i="9"/>
  <c r="A363" i="9"/>
  <c r="E362" i="9"/>
  <c r="D362" i="9"/>
  <c r="C362" i="9"/>
  <c r="B362" i="9"/>
  <c r="A362" i="9"/>
  <c r="E361" i="9"/>
  <c r="D361" i="9"/>
  <c r="C361" i="9"/>
  <c r="B361" i="9"/>
  <c r="A361" i="9"/>
  <c r="E360" i="9"/>
  <c r="D360" i="9"/>
  <c r="C360" i="9"/>
  <c r="B360" i="9"/>
  <c r="A360" i="9"/>
  <c r="E359" i="9"/>
  <c r="D359" i="9"/>
  <c r="C359" i="9"/>
  <c r="B359" i="9"/>
  <c r="A359" i="9"/>
  <c r="E358" i="9"/>
  <c r="D358" i="9"/>
  <c r="C358" i="9"/>
  <c r="B358" i="9"/>
  <c r="A358" i="9"/>
  <c r="E357" i="9"/>
  <c r="D357" i="9"/>
  <c r="C357" i="9"/>
  <c r="B357" i="9"/>
  <c r="A357" i="9"/>
  <c r="E356" i="9"/>
  <c r="D356" i="9"/>
  <c r="C356" i="9"/>
  <c r="B356" i="9"/>
  <c r="A356" i="9"/>
  <c r="E355" i="9"/>
  <c r="D355" i="9"/>
  <c r="C355" i="9"/>
  <c r="B355" i="9"/>
  <c r="A355" i="9"/>
  <c r="E354" i="9"/>
  <c r="D354" i="9"/>
  <c r="C354" i="9"/>
  <c r="B354" i="9"/>
  <c r="A354" i="9"/>
  <c r="E353" i="9"/>
  <c r="D353" i="9"/>
  <c r="C353" i="9"/>
  <c r="B353" i="9"/>
  <c r="A353" i="9"/>
  <c r="E352" i="9"/>
  <c r="D352" i="9"/>
  <c r="C352" i="9"/>
  <c r="B352" i="9"/>
  <c r="A352" i="9"/>
  <c r="E351" i="9"/>
  <c r="D351" i="9"/>
  <c r="C351" i="9"/>
  <c r="B351" i="9"/>
  <c r="A351" i="9"/>
  <c r="E350" i="9"/>
  <c r="D350" i="9"/>
  <c r="C350" i="9"/>
  <c r="B350" i="9"/>
  <c r="A350" i="9"/>
  <c r="E349" i="9"/>
  <c r="D349" i="9"/>
  <c r="C349" i="9"/>
  <c r="B349" i="9"/>
  <c r="A349" i="9"/>
  <c r="E348" i="9"/>
  <c r="D348" i="9"/>
  <c r="C348" i="9"/>
  <c r="B348" i="9"/>
  <c r="A348" i="9"/>
  <c r="E347" i="9"/>
  <c r="D347" i="9"/>
  <c r="C347" i="9"/>
  <c r="B347" i="9"/>
  <c r="A347" i="9"/>
  <c r="E346" i="9"/>
  <c r="D346" i="9"/>
  <c r="C346" i="9"/>
  <c r="B346" i="9"/>
  <c r="A346" i="9"/>
  <c r="E345" i="9"/>
  <c r="D345" i="9"/>
  <c r="C345" i="9"/>
  <c r="B345" i="9"/>
  <c r="A345" i="9"/>
  <c r="E344" i="9"/>
  <c r="D344" i="9"/>
  <c r="C344" i="9"/>
  <c r="B344" i="9"/>
  <c r="A344" i="9"/>
  <c r="E343" i="9"/>
  <c r="D343" i="9"/>
  <c r="C343" i="9"/>
  <c r="B343" i="9"/>
  <c r="A343" i="9"/>
  <c r="E342" i="9"/>
  <c r="D342" i="9"/>
  <c r="C342" i="9"/>
  <c r="B342" i="9"/>
  <c r="A342" i="9"/>
  <c r="E341" i="9"/>
  <c r="D341" i="9"/>
  <c r="C341" i="9"/>
  <c r="B341" i="9"/>
  <c r="A341" i="9"/>
  <c r="E340" i="9"/>
  <c r="D340" i="9"/>
  <c r="C340" i="9"/>
  <c r="B340" i="9"/>
  <c r="A340" i="9"/>
  <c r="E339" i="9"/>
  <c r="D339" i="9"/>
  <c r="C339" i="9"/>
  <c r="B339" i="9"/>
  <c r="A339" i="9"/>
  <c r="E338" i="9"/>
  <c r="D338" i="9"/>
  <c r="C338" i="9"/>
  <c r="B338" i="9"/>
  <c r="A338" i="9"/>
  <c r="E337" i="9"/>
  <c r="D337" i="9"/>
  <c r="C337" i="9"/>
  <c r="B337" i="9"/>
  <c r="A337" i="9"/>
  <c r="E336" i="9"/>
  <c r="D336" i="9"/>
  <c r="C336" i="9"/>
  <c r="B336" i="9"/>
  <c r="A336" i="9"/>
  <c r="E335" i="9"/>
  <c r="D335" i="9"/>
  <c r="C335" i="9"/>
  <c r="B335" i="9"/>
  <c r="A335" i="9"/>
  <c r="E334" i="9"/>
  <c r="D334" i="9"/>
  <c r="C334" i="9"/>
  <c r="B334" i="9"/>
  <c r="A334" i="9"/>
  <c r="E333" i="9"/>
  <c r="D333" i="9"/>
  <c r="C333" i="9"/>
  <c r="B333" i="9"/>
  <c r="A333" i="9"/>
  <c r="E332" i="9"/>
  <c r="D332" i="9"/>
  <c r="C332" i="9"/>
  <c r="B332" i="9"/>
  <c r="A332" i="9"/>
  <c r="E331" i="9"/>
  <c r="D331" i="9"/>
  <c r="C331" i="9"/>
  <c r="B331" i="9"/>
  <c r="A331" i="9"/>
  <c r="E330" i="9"/>
  <c r="D330" i="9"/>
  <c r="C330" i="9"/>
  <c r="B330" i="9"/>
  <c r="A330" i="9"/>
  <c r="E329" i="9"/>
  <c r="D329" i="9"/>
  <c r="C329" i="9"/>
  <c r="B329" i="9"/>
  <c r="A329" i="9"/>
  <c r="E328" i="9"/>
  <c r="D328" i="9"/>
  <c r="C328" i="9"/>
  <c r="B328" i="9"/>
  <c r="A328" i="9"/>
  <c r="E327" i="9"/>
  <c r="D327" i="9"/>
  <c r="C327" i="9"/>
  <c r="B327" i="9"/>
  <c r="A327" i="9"/>
  <c r="E326" i="9"/>
  <c r="D326" i="9"/>
  <c r="C326" i="9"/>
  <c r="B326" i="9"/>
  <c r="A326" i="9"/>
  <c r="E325" i="9"/>
  <c r="D325" i="9"/>
  <c r="C325" i="9"/>
  <c r="B325" i="9"/>
  <c r="A325" i="9"/>
  <c r="E324" i="9"/>
  <c r="D324" i="9"/>
  <c r="C324" i="9"/>
  <c r="B324" i="9"/>
  <c r="A324" i="9"/>
  <c r="E323" i="9"/>
  <c r="D323" i="9"/>
  <c r="C323" i="9"/>
  <c r="B323" i="9"/>
  <c r="A323" i="9"/>
  <c r="E322" i="9"/>
  <c r="D322" i="9"/>
  <c r="C322" i="9"/>
  <c r="B322" i="9"/>
  <c r="A322" i="9"/>
  <c r="E321" i="9"/>
  <c r="D321" i="9"/>
  <c r="C321" i="9"/>
  <c r="B321" i="9"/>
  <c r="A321" i="9"/>
  <c r="E320" i="9"/>
  <c r="D320" i="9"/>
  <c r="C320" i="9"/>
  <c r="B320" i="9"/>
  <c r="A320" i="9"/>
  <c r="E319" i="9"/>
  <c r="D319" i="9"/>
  <c r="C319" i="9"/>
  <c r="B319" i="9"/>
  <c r="A319" i="9"/>
  <c r="E318" i="9"/>
  <c r="D318" i="9"/>
  <c r="C318" i="9"/>
  <c r="B318" i="9"/>
  <c r="A318" i="9"/>
  <c r="E317" i="9"/>
  <c r="D317" i="9"/>
  <c r="C317" i="9"/>
  <c r="B317" i="9"/>
  <c r="A317" i="9"/>
  <c r="E316" i="9"/>
  <c r="D316" i="9"/>
  <c r="C316" i="9"/>
  <c r="B316" i="9"/>
  <c r="A316" i="9"/>
  <c r="E315" i="9"/>
  <c r="D315" i="9"/>
  <c r="C315" i="9"/>
  <c r="B315" i="9"/>
  <c r="A315" i="9"/>
  <c r="E314" i="9"/>
  <c r="D314" i="9"/>
  <c r="C314" i="9"/>
  <c r="B314" i="9"/>
  <c r="A314" i="9"/>
  <c r="E313" i="9"/>
  <c r="D313" i="9"/>
  <c r="C313" i="9"/>
  <c r="B313" i="9"/>
  <c r="A313" i="9"/>
  <c r="E312" i="9"/>
  <c r="D312" i="9"/>
  <c r="C312" i="9"/>
  <c r="B312" i="9"/>
  <c r="A312" i="9"/>
  <c r="E311" i="9"/>
  <c r="D311" i="9"/>
  <c r="C311" i="9"/>
  <c r="B311" i="9"/>
  <c r="A311" i="9"/>
  <c r="E310" i="9"/>
  <c r="D310" i="9"/>
  <c r="C310" i="9"/>
  <c r="B310" i="9"/>
  <c r="A310" i="9"/>
  <c r="E309" i="9"/>
  <c r="D309" i="9"/>
  <c r="C309" i="9"/>
  <c r="B309" i="9"/>
  <c r="A309" i="9"/>
  <c r="E308" i="9"/>
  <c r="D308" i="9"/>
  <c r="C308" i="9"/>
  <c r="B308" i="9"/>
  <c r="A308" i="9"/>
  <c r="E307" i="9"/>
  <c r="D307" i="9"/>
  <c r="C307" i="9"/>
  <c r="B307" i="9"/>
  <c r="A307" i="9"/>
  <c r="E306" i="9"/>
  <c r="D306" i="9"/>
  <c r="C306" i="9"/>
  <c r="B306" i="9"/>
  <c r="A306" i="9"/>
  <c r="E305" i="9"/>
  <c r="D305" i="9"/>
  <c r="C305" i="9"/>
  <c r="B305" i="9"/>
  <c r="A305" i="9"/>
  <c r="E304" i="9"/>
  <c r="D304" i="9"/>
  <c r="C304" i="9"/>
  <c r="B304" i="9"/>
  <c r="A304" i="9"/>
  <c r="E303" i="9"/>
  <c r="D303" i="9"/>
  <c r="C303" i="9"/>
  <c r="B303" i="9"/>
  <c r="A303" i="9"/>
  <c r="E302" i="9"/>
  <c r="D302" i="9"/>
  <c r="C302" i="9"/>
  <c r="B302" i="9"/>
  <c r="A302" i="9"/>
  <c r="E301" i="9"/>
  <c r="D301" i="9"/>
  <c r="C301" i="9"/>
  <c r="B301" i="9"/>
  <c r="A301" i="9"/>
  <c r="E300" i="9"/>
  <c r="D300" i="9"/>
  <c r="C300" i="9"/>
  <c r="B300" i="9"/>
  <c r="A300" i="9"/>
  <c r="E299" i="9"/>
  <c r="D299" i="9"/>
  <c r="C299" i="9"/>
  <c r="B299" i="9"/>
  <c r="A299" i="9"/>
  <c r="E298" i="9"/>
  <c r="D298" i="9"/>
  <c r="C298" i="9"/>
  <c r="B298" i="9"/>
  <c r="A298" i="9"/>
  <c r="E297" i="9"/>
  <c r="D297" i="9"/>
  <c r="C297" i="9"/>
  <c r="B297" i="9"/>
  <c r="A297" i="9"/>
  <c r="E296" i="9"/>
  <c r="D296" i="9"/>
  <c r="C296" i="9"/>
  <c r="B296" i="9"/>
  <c r="A296" i="9"/>
  <c r="E295" i="9"/>
  <c r="D295" i="9"/>
  <c r="C295" i="9"/>
  <c r="B295" i="9"/>
  <c r="A295" i="9"/>
  <c r="E294" i="9"/>
  <c r="D294" i="9"/>
  <c r="C294" i="9"/>
  <c r="B294" i="9"/>
  <c r="A294" i="9"/>
  <c r="E293" i="9"/>
  <c r="D293" i="9"/>
  <c r="C293" i="9"/>
  <c r="B293" i="9"/>
  <c r="A293" i="9"/>
  <c r="E292" i="9"/>
  <c r="D292" i="9"/>
  <c r="C292" i="9"/>
  <c r="B292" i="9"/>
  <c r="A292" i="9"/>
  <c r="E291" i="9"/>
  <c r="D291" i="9"/>
  <c r="C291" i="9"/>
  <c r="B291" i="9"/>
  <c r="A291" i="9"/>
  <c r="E290" i="9"/>
  <c r="D290" i="9"/>
  <c r="C290" i="9"/>
  <c r="B290" i="9"/>
  <c r="A290" i="9"/>
  <c r="E289" i="9"/>
  <c r="D289" i="9"/>
  <c r="C289" i="9"/>
  <c r="B289" i="9"/>
  <c r="A289" i="9"/>
  <c r="E288" i="9"/>
  <c r="D288" i="9"/>
  <c r="C288" i="9"/>
  <c r="B288" i="9"/>
  <c r="A288" i="9"/>
  <c r="E287" i="9"/>
  <c r="D287" i="9"/>
  <c r="C287" i="9"/>
  <c r="B287" i="9"/>
  <c r="A287" i="9"/>
  <c r="E286" i="9"/>
  <c r="D286" i="9"/>
  <c r="C286" i="9"/>
  <c r="B286" i="9"/>
  <c r="A286" i="9"/>
  <c r="E285" i="9"/>
  <c r="D285" i="9"/>
  <c r="C285" i="9"/>
  <c r="B285" i="9"/>
  <c r="A285" i="9"/>
  <c r="E284" i="9"/>
  <c r="D284" i="9"/>
  <c r="C284" i="9"/>
  <c r="B284" i="9"/>
  <c r="A284" i="9"/>
  <c r="E283" i="9"/>
  <c r="D283" i="9"/>
  <c r="C283" i="9"/>
  <c r="B283" i="9"/>
  <c r="A283" i="9"/>
  <c r="E282" i="9"/>
  <c r="D282" i="9"/>
  <c r="C282" i="9"/>
  <c r="B282" i="9"/>
  <c r="A282" i="9"/>
  <c r="E281" i="9"/>
  <c r="D281" i="9"/>
  <c r="C281" i="9"/>
  <c r="B281" i="9"/>
  <c r="A281" i="9"/>
  <c r="E280" i="9"/>
  <c r="D280" i="9"/>
  <c r="C280" i="9"/>
  <c r="B280" i="9"/>
  <c r="A280" i="9"/>
  <c r="E279" i="9"/>
  <c r="D279" i="9"/>
  <c r="C279" i="9"/>
  <c r="B279" i="9"/>
  <c r="A279" i="9"/>
  <c r="E278" i="9"/>
  <c r="D278" i="9"/>
  <c r="C278" i="9"/>
  <c r="B278" i="9"/>
  <c r="A278" i="9"/>
  <c r="E277" i="9"/>
  <c r="D277" i="9"/>
  <c r="C277" i="9"/>
  <c r="B277" i="9"/>
  <c r="A277" i="9"/>
  <c r="E276" i="9"/>
  <c r="D276" i="9"/>
  <c r="C276" i="9"/>
  <c r="B276" i="9"/>
  <c r="A276" i="9"/>
  <c r="E275" i="9"/>
  <c r="D275" i="9"/>
  <c r="C275" i="9"/>
  <c r="B275" i="9"/>
  <c r="A275" i="9"/>
  <c r="E274" i="9"/>
  <c r="D274" i="9"/>
  <c r="C274" i="9"/>
  <c r="B274" i="9"/>
  <c r="A274" i="9"/>
  <c r="E273" i="9"/>
  <c r="D273" i="9"/>
  <c r="C273" i="9"/>
  <c r="B273" i="9"/>
  <c r="A273" i="9"/>
  <c r="E272" i="9"/>
  <c r="D272" i="9"/>
  <c r="C272" i="9"/>
  <c r="B272" i="9"/>
  <c r="A272" i="9"/>
  <c r="E271" i="9"/>
  <c r="D271" i="9"/>
  <c r="C271" i="9"/>
  <c r="B271" i="9"/>
  <c r="A271" i="9"/>
  <c r="E270" i="9"/>
  <c r="D270" i="9"/>
  <c r="C270" i="9"/>
  <c r="B270" i="9"/>
  <c r="A270" i="9"/>
  <c r="E269" i="9"/>
  <c r="D269" i="9"/>
  <c r="C269" i="9"/>
  <c r="B269" i="9"/>
  <c r="A269" i="9"/>
  <c r="E268" i="9"/>
  <c r="D268" i="9"/>
  <c r="C268" i="9"/>
  <c r="B268" i="9"/>
  <c r="A268" i="9"/>
  <c r="E267" i="9"/>
  <c r="D267" i="9"/>
  <c r="C267" i="9"/>
  <c r="B267" i="9"/>
  <c r="A267" i="9"/>
  <c r="E266" i="9"/>
  <c r="D266" i="9"/>
  <c r="C266" i="9"/>
  <c r="B266" i="9"/>
  <c r="A266" i="9"/>
  <c r="E265" i="9"/>
  <c r="D265" i="9"/>
  <c r="C265" i="9"/>
  <c r="B265" i="9"/>
  <c r="A265" i="9"/>
  <c r="E264" i="9"/>
  <c r="D264" i="9"/>
  <c r="C264" i="9"/>
  <c r="B264" i="9"/>
  <c r="A264" i="9"/>
  <c r="E263" i="9"/>
  <c r="D263" i="9"/>
  <c r="C263" i="9"/>
  <c r="B263" i="9"/>
  <c r="A263" i="9"/>
  <c r="E262" i="9"/>
  <c r="D262" i="9"/>
  <c r="C262" i="9"/>
  <c r="B262" i="9"/>
  <c r="A262" i="9"/>
  <c r="E261" i="9"/>
  <c r="D261" i="9"/>
  <c r="C261" i="9"/>
  <c r="B261" i="9"/>
  <c r="A261" i="9"/>
  <c r="E260" i="9"/>
  <c r="D260" i="9"/>
  <c r="C260" i="9"/>
  <c r="B260" i="9"/>
  <c r="A260" i="9"/>
  <c r="E259" i="9"/>
  <c r="D259" i="9"/>
  <c r="C259" i="9"/>
  <c r="B259" i="9"/>
  <c r="A259" i="9"/>
  <c r="E258" i="9"/>
  <c r="D258" i="9"/>
  <c r="C258" i="9"/>
  <c r="B258" i="9"/>
  <c r="A258" i="9"/>
  <c r="E257" i="9"/>
  <c r="D257" i="9"/>
  <c r="C257" i="9"/>
  <c r="B257" i="9"/>
  <c r="A257" i="9"/>
  <c r="E256" i="9"/>
  <c r="D256" i="9"/>
  <c r="C256" i="9"/>
  <c r="B256" i="9"/>
  <c r="A256" i="9"/>
  <c r="E255" i="9"/>
  <c r="D255" i="9"/>
  <c r="C255" i="9"/>
  <c r="B255" i="9"/>
  <c r="A255" i="9"/>
  <c r="E254" i="9"/>
  <c r="D254" i="9"/>
  <c r="C254" i="9"/>
  <c r="B254" i="9"/>
  <c r="A254" i="9"/>
  <c r="E253" i="9"/>
  <c r="D253" i="9"/>
  <c r="C253" i="9"/>
  <c r="B253" i="9"/>
  <c r="A253" i="9"/>
  <c r="E252" i="9"/>
  <c r="D252" i="9"/>
  <c r="C252" i="9"/>
  <c r="B252" i="9"/>
  <c r="A252" i="9"/>
  <c r="E251" i="9"/>
  <c r="D251" i="9"/>
  <c r="C251" i="9"/>
  <c r="B251" i="9"/>
  <c r="A251" i="9"/>
  <c r="E250" i="9"/>
  <c r="D250" i="9"/>
  <c r="C250" i="9"/>
  <c r="B250" i="9"/>
  <c r="A250" i="9"/>
  <c r="E249" i="9"/>
  <c r="D249" i="9"/>
  <c r="C249" i="9"/>
  <c r="B249" i="9"/>
  <c r="A249" i="9"/>
  <c r="E248" i="9"/>
  <c r="D248" i="9"/>
  <c r="C248" i="9"/>
  <c r="B248" i="9"/>
  <c r="A248" i="9"/>
  <c r="E247" i="9"/>
  <c r="D247" i="9"/>
  <c r="C247" i="9"/>
  <c r="B247" i="9"/>
  <c r="A247" i="9"/>
  <c r="E246" i="9"/>
  <c r="D246" i="9"/>
  <c r="C246" i="9"/>
  <c r="B246" i="9"/>
  <c r="A246" i="9"/>
  <c r="E245" i="9"/>
  <c r="D245" i="9"/>
  <c r="C245" i="9"/>
  <c r="B245" i="9"/>
  <c r="A245" i="9"/>
  <c r="E244" i="9"/>
  <c r="D244" i="9"/>
  <c r="C244" i="9"/>
  <c r="B244" i="9"/>
  <c r="A244" i="9"/>
  <c r="E243" i="9"/>
  <c r="D243" i="9"/>
  <c r="C243" i="9"/>
  <c r="B243" i="9"/>
  <c r="A243" i="9"/>
  <c r="E242" i="9"/>
  <c r="D242" i="9"/>
  <c r="C242" i="9"/>
  <c r="B242" i="9"/>
  <c r="A242" i="9"/>
  <c r="E241" i="9"/>
  <c r="D241" i="9"/>
  <c r="C241" i="9"/>
  <c r="B241" i="9"/>
  <c r="A241" i="9"/>
  <c r="E240" i="9"/>
  <c r="D240" i="9"/>
  <c r="C240" i="9"/>
  <c r="B240" i="9"/>
  <c r="A240" i="9"/>
  <c r="E239" i="9"/>
  <c r="D239" i="9"/>
  <c r="C239" i="9"/>
  <c r="B239" i="9"/>
  <c r="A239" i="9"/>
  <c r="E238" i="9"/>
  <c r="D238" i="9"/>
  <c r="C238" i="9"/>
  <c r="B238" i="9"/>
  <c r="A238" i="9"/>
  <c r="E237" i="9"/>
  <c r="D237" i="9"/>
  <c r="C237" i="9"/>
  <c r="B237" i="9"/>
  <c r="A237" i="9"/>
  <c r="E236" i="9"/>
  <c r="D236" i="9"/>
  <c r="C236" i="9"/>
  <c r="B236" i="9"/>
  <c r="A236" i="9"/>
  <c r="E235" i="9"/>
  <c r="D235" i="9"/>
  <c r="C235" i="9"/>
  <c r="B235" i="9"/>
  <c r="A235" i="9"/>
  <c r="E234" i="9"/>
  <c r="D234" i="9"/>
  <c r="C234" i="9"/>
  <c r="B234" i="9"/>
  <c r="A234" i="9"/>
  <c r="E233" i="9"/>
  <c r="D233" i="9"/>
  <c r="C233" i="9"/>
  <c r="B233" i="9"/>
  <c r="A233" i="9"/>
  <c r="E232" i="9"/>
  <c r="D232" i="9"/>
  <c r="C232" i="9"/>
  <c r="B232" i="9"/>
  <c r="A232" i="9"/>
  <c r="E231" i="9"/>
  <c r="D231" i="9"/>
  <c r="C231" i="9"/>
  <c r="B231" i="9"/>
  <c r="A231" i="9"/>
  <c r="E230" i="9"/>
  <c r="D230" i="9"/>
  <c r="C230" i="9"/>
  <c r="B230" i="9"/>
  <c r="A230" i="9"/>
  <c r="E229" i="9"/>
  <c r="D229" i="9"/>
  <c r="C229" i="9"/>
  <c r="B229" i="9"/>
  <c r="A229" i="9"/>
  <c r="E228" i="9"/>
  <c r="D228" i="9"/>
  <c r="C228" i="9"/>
  <c r="B228" i="9"/>
  <c r="A228" i="9"/>
  <c r="E227" i="9"/>
  <c r="D227" i="9"/>
  <c r="C227" i="9"/>
  <c r="B227" i="9"/>
  <c r="A227" i="9"/>
  <c r="E226" i="9"/>
  <c r="D226" i="9"/>
  <c r="C226" i="9"/>
  <c r="B226" i="9"/>
  <c r="A226" i="9"/>
  <c r="E225" i="9"/>
  <c r="D225" i="9"/>
  <c r="C225" i="9"/>
  <c r="B225" i="9"/>
  <c r="A225" i="9"/>
  <c r="E224" i="9"/>
  <c r="D224" i="9"/>
  <c r="C224" i="9"/>
  <c r="B224" i="9"/>
  <c r="A224" i="9"/>
  <c r="E223" i="9"/>
  <c r="D223" i="9"/>
  <c r="C223" i="9"/>
  <c r="B223" i="9"/>
  <c r="A223" i="9"/>
  <c r="E222" i="9"/>
  <c r="D222" i="9"/>
  <c r="C222" i="9"/>
  <c r="B222" i="9"/>
  <c r="A222" i="9"/>
  <c r="E221" i="9"/>
  <c r="D221" i="9"/>
  <c r="C221" i="9"/>
  <c r="B221" i="9"/>
  <c r="A221" i="9"/>
  <c r="E220" i="9"/>
  <c r="D220" i="9"/>
  <c r="C220" i="9"/>
  <c r="B220" i="9"/>
  <c r="A220" i="9"/>
  <c r="E219" i="9"/>
  <c r="D219" i="9"/>
  <c r="C219" i="9"/>
  <c r="B219" i="9"/>
  <c r="A219" i="9"/>
  <c r="E218" i="9"/>
  <c r="D218" i="9"/>
  <c r="C218" i="9"/>
  <c r="B218" i="9"/>
  <c r="A218" i="9"/>
  <c r="E217" i="9"/>
  <c r="D217" i="9"/>
  <c r="C217" i="9"/>
  <c r="B217" i="9"/>
  <c r="A217" i="9"/>
  <c r="E216" i="9"/>
  <c r="D216" i="9"/>
  <c r="C216" i="9"/>
  <c r="B216" i="9"/>
  <c r="A216" i="9"/>
  <c r="E215" i="9"/>
  <c r="D215" i="9"/>
  <c r="C215" i="9"/>
  <c r="B215" i="9"/>
  <c r="A215" i="9"/>
  <c r="E214" i="9"/>
  <c r="D214" i="9"/>
  <c r="C214" i="9"/>
  <c r="B214" i="9"/>
  <c r="A214" i="9"/>
  <c r="E213" i="9"/>
  <c r="D213" i="9"/>
  <c r="C213" i="9"/>
  <c r="B213" i="9"/>
  <c r="A213" i="9"/>
  <c r="E212" i="9"/>
  <c r="D212" i="9"/>
  <c r="C212" i="9"/>
  <c r="B212" i="9"/>
  <c r="A212" i="9"/>
  <c r="E211" i="9"/>
  <c r="D211" i="9"/>
  <c r="C211" i="9"/>
  <c r="B211" i="9"/>
  <c r="A211" i="9"/>
  <c r="E210" i="9"/>
  <c r="D210" i="9"/>
  <c r="C210" i="9"/>
  <c r="B210" i="9"/>
  <c r="A210" i="9"/>
  <c r="E209" i="9"/>
  <c r="D209" i="9"/>
  <c r="C209" i="9"/>
  <c r="B209" i="9"/>
  <c r="A209" i="9"/>
  <c r="E208" i="9"/>
  <c r="D208" i="9"/>
  <c r="C208" i="9"/>
  <c r="B208" i="9"/>
  <c r="A208" i="9"/>
  <c r="E207" i="9"/>
  <c r="D207" i="9"/>
  <c r="C207" i="9"/>
  <c r="B207" i="9"/>
  <c r="A207" i="9"/>
  <c r="E206" i="9"/>
  <c r="D206" i="9"/>
  <c r="C206" i="9"/>
  <c r="B206" i="9"/>
  <c r="A206" i="9"/>
  <c r="E205" i="9"/>
  <c r="D205" i="9"/>
  <c r="C205" i="9"/>
  <c r="B205" i="9"/>
  <c r="A205" i="9"/>
  <c r="E204" i="9"/>
  <c r="D204" i="9"/>
  <c r="C204" i="9"/>
  <c r="B204" i="9"/>
  <c r="A204" i="9"/>
  <c r="E203" i="9"/>
  <c r="D203" i="9"/>
  <c r="C203" i="9"/>
  <c r="B203" i="9"/>
  <c r="A203" i="9"/>
  <c r="E202" i="9"/>
  <c r="D202" i="9"/>
  <c r="C202" i="9"/>
  <c r="B202" i="9"/>
  <c r="A202" i="9"/>
  <c r="E201" i="9"/>
  <c r="D201" i="9"/>
  <c r="C201" i="9"/>
  <c r="B201" i="9"/>
  <c r="A201" i="9"/>
  <c r="E200" i="9"/>
  <c r="D200" i="9"/>
  <c r="C200" i="9"/>
  <c r="B200" i="9"/>
  <c r="A200" i="9"/>
  <c r="E199" i="9"/>
  <c r="D199" i="9"/>
  <c r="C199" i="9"/>
  <c r="B199" i="9"/>
  <c r="A199" i="9"/>
  <c r="E198" i="9"/>
  <c r="D198" i="9"/>
  <c r="C198" i="9"/>
  <c r="B198" i="9"/>
  <c r="A198" i="9"/>
  <c r="E197" i="9"/>
  <c r="D197" i="9"/>
  <c r="C197" i="9"/>
  <c r="B197" i="9"/>
  <c r="A197" i="9"/>
  <c r="E196" i="9"/>
  <c r="D196" i="9"/>
  <c r="C196" i="9"/>
  <c r="B196" i="9"/>
  <c r="A196" i="9"/>
  <c r="E195" i="9"/>
  <c r="D195" i="9"/>
  <c r="C195" i="9"/>
  <c r="B195" i="9"/>
  <c r="A195" i="9"/>
  <c r="E194" i="9"/>
  <c r="D194" i="9"/>
  <c r="C194" i="9"/>
  <c r="B194" i="9"/>
  <c r="A194" i="9"/>
  <c r="E193" i="9"/>
  <c r="D193" i="9"/>
  <c r="C193" i="9"/>
  <c r="B193" i="9"/>
  <c r="A193" i="9"/>
  <c r="E192" i="9"/>
  <c r="D192" i="9"/>
  <c r="C192" i="9"/>
  <c r="B192" i="9"/>
  <c r="A192" i="9"/>
  <c r="E191" i="9"/>
  <c r="D191" i="9"/>
  <c r="C191" i="9"/>
  <c r="B191" i="9"/>
  <c r="A191" i="9"/>
  <c r="E190" i="9"/>
  <c r="D190" i="9"/>
  <c r="C190" i="9"/>
  <c r="B190" i="9"/>
  <c r="A190" i="9"/>
  <c r="E189" i="9"/>
  <c r="D189" i="9"/>
  <c r="C189" i="9"/>
  <c r="B189" i="9"/>
  <c r="A189" i="9"/>
  <c r="E188" i="9"/>
  <c r="D188" i="9"/>
  <c r="C188" i="9"/>
  <c r="B188" i="9"/>
  <c r="A188" i="9"/>
  <c r="E187" i="9"/>
  <c r="D187" i="9"/>
  <c r="C187" i="9"/>
  <c r="B187" i="9"/>
  <c r="A187" i="9"/>
  <c r="E186" i="9"/>
  <c r="D186" i="9"/>
  <c r="C186" i="9"/>
  <c r="B186" i="9"/>
  <c r="A186" i="9"/>
  <c r="E185" i="9"/>
  <c r="D185" i="9"/>
  <c r="C185" i="9"/>
  <c r="B185" i="9"/>
  <c r="A185" i="9"/>
  <c r="E184" i="9"/>
  <c r="D184" i="9"/>
  <c r="C184" i="9"/>
  <c r="B184" i="9"/>
  <c r="A184" i="9"/>
  <c r="E183" i="9"/>
  <c r="D183" i="9"/>
  <c r="C183" i="9"/>
  <c r="B183" i="9"/>
  <c r="A183" i="9"/>
  <c r="E182" i="9"/>
  <c r="D182" i="9"/>
  <c r="C182" i="9"/>
  <c r="B182" i="9"/>
  <c r="A182" i="9"/>
  <c r="E181" i="9"/>
  <c r="D181" i="9"/>
  <c r="C181" i="9"/>
  <c r="B181" i="9"/>
  <c r="A181" i="9"/>
  <c r="E180" i="9"/>
  <c r="D180" i="9"/>
  <c r="C180" i="9"/>
  <c r="B180" i="9"/>
  <c r="A180" i="9"/>
  <c r="E179" i="9"/>
  <c r="D179" i="9"/>
  <c r="C179" i="9"/>
  <c r="B179" i="9"/>
  <c r="A179" i="9"/>
  <c r="E178" i="9"/>
  <c r="D178" i="9"/>
  <c r="C178" i="9"/>
  <c r="B178" i="9"/>
  <c r="A178" i="9"/>
  <c r="E177" i="9"/>
  <c r="D177" i="9"/>
  <c r="C177" i="9"/>
  <c r="B177" i="9"/>
  <c r="A177" i="9"/>
  <c r="E176" i="9"/>
  <c r="D176" i="9"/>
  <c r="C176" i="9"/>
  <c r="B176" i="9"/>
  <c r="A176" i="9"/>
  <c r="E175" i="9"/>
  <c r="D175" i="9"/>
  <c r="C175" i="9"/>
  <c r="B175" i="9"/>
  <c r="A175" i="9"/>
  <c r="E174" i="9"/>
  <c r="D174" i="9"/>
  <c r="C174" i="9"/>
  <c r="B174" i="9"/>
  <c r="A174" i="9"/>
  <c r="E173" i="9"/>
  <c r="D173" i="9"/>
  <c r="C173" i="9"/>
  <c r="B173" i="9"/>
  <c r="A173" i="9"/>
  <c r="E172" i="9"/>
  <c r="D172" i="9"/>
  <c r="C172" i="9"/>
  <c r="B172" i="9"/>
  <c r="A172" i="9"/>
  <c r="E171" i="9"/>
  <c r="D171" i="9"/>
  <c r="C171" i="9"/>
  <c r="B171" i="9"/>
  <c r="A171" i="9"/>
  <c r="E170" i="9"/>
  <c r="D170" i="9"/>
  <c r="C170" i="9"/>
  <c r="B170" i="9"/>
  <c r="A170" i="9"/>
  <c r="E169" i="9"/>
  <c r="D169" i="9"/>
  <c r="C169" i="9"/>
  <c r="B169" i="9"/>
  <c r="A169" i="9"/>
  <c r="E168" i="9"/>
  <c r="D168" i="9"/>
  <c r="C168" i="9"/>
  <c r="B168" i="9"/>
  <c r="A168" i="9"/>
  <c r="E167" i="9"/>
  <c r="D167" i="9"/>
  <c r="C167" i="9"/>
  <c r="B167" i="9"/>
  <c r="A167" i="9"/>
  <c r="E166" i="9"/>
  <c r="D166" i="9"/>
  <c r="C166" i="9"/>
  <c r="B166" i="9"/>
  <c r="A166" i="9"/>
  <c r="E165" i="9"/>
  <c r="D165" i="9"/>
  <c r="C165" i="9"/>
  <c r="B165" i="9"/>
  <c r="A165" i="9"/>
  <c r="E164" i="9"/>
  <c r="D164" i="9"/>
  <c r="C164" i="9"/>
  <c r="B164" i="9"/>
  <c r="A164" i="9"/>
  <c r="E163" i="9"/>
  <c r="D163" i="9"/>
  <c r="C163" i="9"/>
  <c r="B163" i="9"/>
  <c r="A163" i="9"/>
  <c r="E162" i="9"/>
  <c r="D162" i="9"/>
  <c r="C162" i="9"/>
  <c r="B162" i="9"/>
  <c r="A162" i="9"/>
  <c r="E161" i="9"/>
  <c r="D161" i="9"/>
  <c r="C161" i="9"/>
  <c r="B161" i="9"/>
  <c r="A161" i="9"/>
  <c r="E160" i="9"/>
  <c r="D160" i="9"/>
  <c r="C160" i="9"/>
  <c r="B160" i="9"/>
  <c r="A160" i="9"/>
  <c r="E159" i="9"/>
  <c r="D159" i="9"/>
  <c r="C159" i="9"/>
  <c r="B159" i="9"/>
  <c r="A159" i="9"/>
  <c r="E158" i="9"/>
  <c r="D158" i="9"/>
  <c r="C158" i="9"/>
  <c r="B158" i="9"/>
  <c r="A158" i="9"/>
  <c r="E157" i="9"/>
  <c r="D157" i="9"/>
  <c r="C157" i="9"/>
  <c r="B157" i="9"/>
  <c r="A157" i="9"/>
  <c r="E156" i="9"/>
  <c r="D156" i="9"/>
  <c r="C156" i="9"/>
  <c r="B156" i="9"/>
  <c r="A156" i="9"/>
  <c r="E155" i="9"/>
  <c r="D155" i="9"/>
  <c r="C155" i="9"/>
  <c r="B155" i="9"/>
  <c r="A155" i="9"/>
  <c r="E154" i="9"/>
  <c r="D154" i="9"/>
  <c r="C154" i="9"/>
  <c r="B154" i="9"/>
  <c r="A154" i="9"/>
  <c r="E153" i="9"/>
  <c r="D153" i="9"/>
  <c r="C153" i="9"/>
  <c r="B153" i="9"/>
  <c r="A153" i="9"/>
  <c r="E152" i="9"/>
  <c r="D152" i="9"/>
  <c r="C152" i="9"/>
  <c r="B152" i="9"/>
  <c r="A152" i="9"/>
  <c r="E151" i="9"/>
  <c r="D151" i="9"/>
  <c r="C151" i="9"/>
  <c r="B151" i="9"/>
  <c r="A151" i="9"/>
  <c r="E150" i="9"/>
  <c r="D150" i="9"/>
  <c r="C150" i="9"/>
  <c r="B150" i="9"/>
  <c r="A150" i="9"/>
  <c r="E149" i="9"/>
  <c r="D149" i="9"/>
  <c r="C149" i="9"/>
  <c r="B149" i="9"/>
  <c r="A149" i="9"/>
  <c r="E148" i="9"/>
  <c r="D148" i="9"/>
  <c r="C148" i="9"/>
  <c r="B148" i="9"/>
  <c r="A148" i="9"/>
  <c r="E147" i="9"/>
  <c r="D147" i="9"/>
  <c r="C147" i="9"/>
  <c r="B147" i="9"/>
  <c r="A147" i="9"/>
  <c r="E146" i="9"/>
  <c r="D146" i="9"/>
  <c r="C146" i="9"/>
  <c r="B146" i="9"/>
  <c r="A146" i="9"/>
  <c r="E145" i="9"/>
  <c r="D145" i="9"/>
  <c r="C145" i="9"/>
  <c r="B145" i="9"/>
  <c r="A145" i="9"/>
  <c r="E144" i="9"/>
  <c r="D144" i="9"/>
  <c r="C144" i="9"/>
  <c r="B144" i="9"/>
  <c r="A144" i="9"/>
  <c r="E143" i="9"/>
  <c r="D143" i="9"/>
  <c r="C143" i="9"/>
  <c r="B143" i="9"/>
  <c r="A143" i="9"/>
  <c r="E142" i="9"/>
  <c r="D142" i="9"/>
  <c r="C142" i="9"/>
  <c r="B142" i="9"/>
  <c r="A142" i="9"/>
  <c r="E141" i="9"/>
  <c r="D141" i="9"/>
  <c r="C141" i="9"/>
  <c r="B141" i="9"/>
  <c r="A141" i="9"/>
  <c r="E140" i="9"/>
  <c r="D140" i="9"/>
  <c r="C140" i="9"/>
  <c r="B140" i="9"/>
  <c r="A140" i="9"/>
  <c r="E139" i="9"/>
  <c r="D139" i="9"/>
  <c r="C139" i="9"/>
  <c r="B139" i="9"/>
  <c r="A139" i="9"/>
  <c r="E138" i="9"/>
  <c r="D138" i="9"/>
  <c r="C138" i="9"/>
  <c r="B138" i="9"/>
  <c r="A138" i="9"/>
  <c r="E137" i="9"/>
  <c r="D137" i="9"/>
  <c r="C137" i="9"/>
  <c r="B137" i="9"/>
  <c r="A137" i="9"/>
  <c r="E136" i="9"/>
  <c r="D136" i="9"/>
  <c r="C136" i="9"/>
  <c r="B136" i="9"/>
  <c r="A136" i="9"/>
  <c r="E135" i="9"/>
  <c r="D135" i="9"/>
  <c r="C135" i="9"/>
  <c r="B135" i="9"/>
  <c r="A135" i="9"/>
  <c r="E134" i="9"/>
  <c r="D134" i="9"/>
  <c r="C134" i="9"/>
  <c r="B134" i="9"/>
  <c r="A134" i="9"/>
  <c r="E133" i="9"/>
  <c r="D133" i="9"/>
  <c r="C133" i="9"/>
  <c r="B133" i="9"/>
  <c r="A133" i="9"/>
  <c r="E132" i="9"/>
  <c r="D132" i="9"/>
  <c r="C132" i="9"/>
  <c r="B132" i="9"/>
  <c r="A132" i="9"/>
  <c r="E131" i="9"/>
  <c r="D131" i="9"/>
  <c r="C131" i="9"/>
  <c r="B131" i="9"/>
  <c r="A131" i="9"/>
  <c r="E130" i="9"/>
  <c r="D130" i="9"/>
  <c r="C130" i="9"/>
  <c r="B130" i="9"/>
  <c r="A130" i="9"/>
  <c r="E129" i="9"/>
  <c r="D129" i="9"/>
  <c r="C129" i="9"/>
  <c r="B129" i="9"/>
  <c r="A129" i="9"/>
  <c r="E128" i="9"/>
  <c r="D128" i="9"/>
  <c r="C128" i="9"/>
  <c r="B128" i="9"/>
  <c r="A128" i="9"/>
  <c r="E127" i="9"/>
  <c r="D127" i="9"/>
  <c r="C127" i="9"/>
  <c r="B127" i="9"/>
  <c r="A127" i="9"/>
  <c r="E126" i="9"/>
  <c r="D126" i="9"/>
  <c r="C126" i="9"/>
  <c r="B126" i="9"/>
  <c r="A126" i="9"/>
  <c r="E125" i="9"/>
  <c r="D125" i="9"/>
  <c r="C125" i="9"/>
  <c r="B125" i="9"/>
  <c r="A125" i="9"/>
  <c r="E124" i="9"/>
  <c r="D124" i="9"/>
  <c r="C124" i="9"/>
  <c r="B124" i="9"/>
  <c r="A124" i="9"/>
  <c r="E123" i="9"/>
  <c r="D123" i="9"/>
  <c r="C123" i="9"/>
  <c r="B123" i="9"/>
  <c r="A123" i="9"/>
  <c r="E122" i="9"/>
  <c r="D122" i="9"/>
  <c r="C122" i="9"/>
  <c r="B122" i="9"/>
  <c r="A122" i="9"/>
  <c r="E121" i="9"/>
  <c r="D121" i="9"/>
  <c r="C121" i="9"/>
  <c r="B121" i="9"/>
  <c r="A121" i="9"/>
  <c r="E120" i="9"/>
  <c r="D120" i="9"/>
  <c r="C120" i="9"/>
  <c r="B120" i="9"/>
  <c r="A120" i="9"/>
  <c r="E119" i="9"/>
  <c r="D119" i="9"/>
  <c r="C119" i="9"/>
  <c r="B119" i="9"/>
  <c r="A119" i="9"/>
  <c r="E118" i="9"/>
  <c r="D118" i="9"/>
  <c r="C118" i="9"/>
  <c r="B118" i="9"/>
  <c r="A118" i="9"/>
  <c r="E117" i="9"/>
  <c r="D117" i="9"/>
  <c r="C117" i="9"/>
  <c r="B117" i="9"/>
  <c r="A117" i="9"/>
  <c r="E116" i="9"/>
  <c r="D116" i="9"/>
  <c r="C116" i="9"/>
  <c r="B116" i="9"/>
  <c r="A116" i="9"/>
  <c r="E115" i="9"/>
  <c r="D115" i="9"/>
  <c r="C115" i="9"/>
  <c r="B115" i="9"/>
  <c r="A115" i="9"/>
  <c r="E114" i="9"/>
  <c r="D114" i="9"/>
  <c r="C114" i="9"/>
  <c r="B114" i="9"/>
  <c r="A114" i="9"/>
  <c r="E113" i="9"/>
  <c r="D113" i="9"/>
  <c r="C113" i="9"/>
  <c r="B113" i="9"/>
  <c r="A113" i="9"/>
  <c r="E112" i="9"/>
  <c r="D112" i="9"/>
  <c r="C112" i="9"/>
  <c r="B112" i="9"/>
  <c r="A112" i="9"/>
  <c r="E111" i="9"/>
  <c r="D111" i="9"/>
  <c r="C111" i="9"/>
  <c r="B111" i="9"/>
  <c r="A111" i="9"/>
  <c r="E110" i="9"/>
  <c r="D110" i="9"/>
  <c r="C110" i="9"/>
  <c r="B110" i="9"/>
  <c r="A110" i="9"/>
  <c r="E109" i="9"/>
  <c r="D109" i="9"/>
  <c r="C109" i="9"/>
  <c r="B109" i="9"/>
  <c r="A109" i="9"/>
  <c r="E108" i="9"/>
  <c r="D108" i="9"/>
  <c r="C108" i="9"/>
  <c r="B108" i="9"/>
  <c r="A108" i="9"/>
  <c r="E107" i="9"/>
  <c r="D107" i="9"/>
  <c r="C107" i="9"/>
  <c r="B107" i="9"/>
  <c r="A107" i="9"/>
  <c r="E106" i="9"/>
  <c r="D106" i="9"/>
  <c r="C106" i="9"/>
  <c r="B106" i="9"/>
  <c r="A106" i="9"/>
  <c r="E105" i="9"/>
  <c r="D105" i="9"/>
  <c r="C105" i="9"/>
  <c r="B105" i="9"/>
  <c r="A105" i="9"/>
  <c r="E104" i="9"/>
  <c r="D104" i="9"/>
  <c r="C104" i="9"/>
  <c r="B104" i="9"/>
  <c r="A104" i="9"/>
  <c r="E103" i="9"/>
  <c r="D103" i="9"/>
  <c r="C103" i="9"/>
  <c r="B103" i="9"/>
  <c r="A103" i="9"/>
  <c r="E102" i="9"/>
  <c r="D102" i="9"/>
  <c r="C102" i="9"/>
  <c r="B102" i="9"/>
  <c r="A102" i="9"/>
  <c r="E101" i="9"/>
  <c r="D101" i="9"/>
  <c r="C101" i="9"/>
  <c r="B101" i="9"/>
  <c r="A101" i="9"/>
  <c r="E100" i="9"/>
  <c r="D100" i="9"/>
  <c r="C100" i="9"/>
  <c r="B100" i="9"/>
  <c r="A100" i="9"/>
  <c r="E99" i="9"/>
  <c r="D99" i="9"/>
  <c r="C99" i="9"/>
  <c r="B99" i="9"/>
  <c r="A99" i="9"/>
  <c r="E98" i="9"/>
  <c r="D98" i="9"/>
  <c r="C98" i="9"/>
  <c r="B98" i="9"/>
  <c r="A98" i="9"/>
  <c r="E97" i="9"/>
  <c r="D97" i="9"/>
  <c r="C97" i="9"/>
  <c r="B97" i="9"/>
  <c r="A97" i="9"/>
  <c r="E96" i="9"/>
  <c r="D96" i="9"/>
  <c r="C96" i="9"/>
  <c r="B96" i="9"/>
  <c r="A96" i="9"/>
  <c r="E95" i="9"/>
  <c r="D95" i="9"/>
  <c r="C95" i="9"/>
  <c r="B95" i="9"/>
  <c r="A95" i="9"/>
  <c r="E94" i="9"/>
  <c r="D94" i="9"/>
  <c r="C94" i="9"/>
  <c r="B94" i="9"/>
  <c r="A94" i="9"/>
  <c r="E93" i="9"/>
  <c r="D93" i="9"/>
  <c r="C93" i="9"/>
  <c r="B93" i="9"/>
  <c r="A93" i="9"/>
  <c r="E92" i="9"/>
  <c r="D92" i="9"/>
  <c r="C92" i="9"/>
  <c r="B92" i="9"/>
  <c r="A92" i="9"/>
  <c r="E91" i="9"/>
  <c r="D91" i="9"/>
  <c r="C91" i="9"/>
  <c r="B91" i="9"/>
  <c r="A91" i="9"/>
  <c r="E90" i="9"/>
  <c r="D90" i="9"/>
  <c r="C90" i="9"/>
  <c r="B90" i="9"/>
  <c r="A90" i="9"/>
  <c r="E89" i="9"/>
  <c r="D89" i="9"/>
  <c r="C89" i="9"/>
  <c r="B89" i="9"/>
  <c r="A89" i="9"/>
  <c r="E88" i="9"/>
  <c r="D88" i="9"/>
  <c r="C88" i="9"/>
  <c r="B88" i="9"/>
  <c r="A88" i="9"/>
  <c r="E87" i="9"/>
  <c r="D87" i="9"/>
  <c r="C87" i="9"/>
  <c r="B87" i="9"/>
  <c r="A87" i="9"/>
  <c r="E86" i="9"/>
  <c r="D86" i="9"/>
  <c r="C86" i="9"/>
  <c r="B86" i="9"/>
  <c r="A86" i="9"/>
  <c r="E85" i="9"/>
  <c r="D85" i="9"/>
  <c r="C85" i="9"/>
  <c r="B85" i="9"/>
  <c r="A85" i="9"/>
  <c r="E84" i="9"/>
  <c r="D84" i="9"/>
  <c r="C84" i="9"/>
  <c r="B84" i="9"/>
  <c r="A84" i="9"/>
  <c r="E83" i="9"/>
  <c r="D83" i="9"/>
  <c r="C83" i="9"/>
  <c r="B83" i="9"/>
  <c r="A83" i="9"/>
  <c r="E82" i="9"/>
  <c r="D82" i="9"/>
  <c r="C82" i="9"/>
  <c r="B82" i="9"/>
  <c r="A82" i="9"/>
  <c r="E81" i="9"/>
  <c r="D81" i="9"/>
  <c r="C81" i="9"/>
  <c r="B81" i="9"/>
  <c r="A81" i="9"/>
  <c r="E80" i="9"/>
  <c r="D80" i="9"/>
  <c r="C80" i="9"/>
  <c r="B80" i="9"/>
  <c r="A80" i="9"/>
  <c r="E79" i="9"/>
  <c r="D79" i="9"/>
  <c r="C79" i="9"/>
  <c r="B79" i="9"/>
  <c r="A79" i="9"/>
  <c r="E78" i="9"/>
  <c r="D78" i="9"/>
  <c r="C78" i="9"/>
  <c r="B78" i="9"/>
  <c r="A78" i="9"/>
  <c r="E77" i="9"/>
  <c r="D77" i="9"/>
  <c r="C77" i="9"/>
  <c r="B77" i="9"/>
  <c r="A77" i="9"/>
  <c r="E76" i="9"/>
  <c r="D76" i="9"/>
  <c r="C76" i="9"/>
  <c r="B76" i="9"/>
  <c r="A76" i="9"/>
  <c r="E75" i="9"/>
  <c r="D75" i="9"/>
  <c r="C75" i="9"/>
  <c r="B75" i="9"/>
  <c r="A75" i="9"/>
  <c r="E74" i="9"/>
  <c r="D74" i="9"/>
  <c r="C74" i="9"/>
  <c r="B74" i="9"/>
  <c r="A74" i="9"/>
  <c r="E73" i="9"/>
  <c r="D73" i="9"/>
  <c r="C73" i="9"/>
  <c r="B73" i="9"/>
  <c r="A73" i="9"/>
  <c r="E72" i="9"/>
  <c r="D72" i="9"/>
  <c r="C72" i="9"/>
  <c r="B72" i="9"/>
  <c r="A72" i="9"/>
  <c r="E71" i="9"/>
  <c r="D71" i="9"/>
  <c r="C71" i="9"/>
  <c r="B71" i="9"/>
  <c r="A71" i="9"/>
  <c r="E70" i="9"/>
  <c r="D70" i="9"/>
  <c r="C70" i="9"/>
  <c r="B70" i="9"/>
  <c r="A70" i="9"/>
  <c r="E69" i="9"/>
  <c r="D69" i="9"/>
  <c r="C69" i="9"/>
  <c r="B69" i="9"/>
  <c r="A69" i="9"/>
  <c r="E68" i="9"/>
  <c r="D68" i="9"/>
  <c r="C68" i="9"/>
  <c r="B68" i="9"/>
  <c r="A68" i="9"/>
  <c r="E67" i="9"/>
  <c r="D67" i="9"/>
  <c r="C67" i="9"/>
  <c r="B67" i="9"/>
  <c r="A67" i="9"/>
  <c r="E66" i="9"/>
  <c r="D66" i="9"/>
  <c r="C66" i="9"/>
  <c r="B66" i="9"/>
  <c r="A66" i="9"/>
  <c r="E65" i="9"/>
  <c r="D65" i="9"/>
  <c r="C65" i="9"/>
  <c r="B65" i="9"/>
  <c r="A65" i="9"/>
  <c r="E64" i="9"/>
  <c r="D64" i="9"/>
  <c r="C64" i="9"/>
  <c r="B64" i="9"/>
  <c r="A64" i="9"/>
  <c r="E63" i="9"/>
  <c r="D63" i="9"/>
  <c r="C63" i="9"/>
  <c r="B63" i="9"/>
  <c r="A63" i="9"/>
  <c r="E62" i="9"/>
  <c r="D62" i="9"/>
  <c r="C62" i="9"/>
  <c r="B62" i="9"/>
  <c r="A62" i="9"/>
  <c r="E61" i="9"/>
  <c r="D61" i="9"/>
  <c r="C61" i="9"/>
  <c r="B61" i="9"/>
  <c r="A61" i="9"/>
  <c r="E60" i="9"/>
  <c r="D60" i="9"/>
  <c r="C60" i="9"/>
  <c r="B60" i="9"/>
  <c r="A60" i="9"/>
  <c r="E59" i="9"/>
  <c r="D59" i="9"/>
  <c r="C59" i="9"/>
  <c r="B59" i="9"/>
  <c r="A59" i="9"/>
  <c r="E58" i="9"/>
  <c r="D58" i="9"/>
  <c r="C58" i="9"/>
  <c r="B58" i="9"/>
  <c r="A58" i="9"/>
  <c r="E57" i="9"/>
  <c r="D57" i="9"/>
  <c r="C57" i="9"/>
  <c r="B57" i="9"/>
  <c r="A57" i="9"/>
  <c r="E56" i="9"/>
  <c r="D56" i="9"/>
  <c r="C56" i="9"/>
  <c r="B56" i="9"/>
  <c r="A56" i="9"/>
  <c r="E55" i="9"/>
  <c r="D55" i="9"/>
  <c r="C55" i="9"/>
  <c r="B55" i="9"/>
  <c r="A55" i="9"/>
  <c r="E54" i="9"/>
  <c r="D54" i="9"/>
  <c r="C54" i="9"/>
  <c r="B54" i="9"/>
  <c r="A54" i="9"/>
  <c r="E53" i="9"/>
  <c r="D53" i="9"/>
  <c r="C53" i="9"/>
  <c r="B53" i="9"/>
  <c r="A53" i="9"/>
  <c r="E52" i="9"/>
  <c r="D52" i="9"/>
  <c r="C52" i="9"/>
  <c r="B52" i="9"/>
  <c r="A52" i="9"/>
  <c r="E51" i="9"/>
  <c r="D51" i="9"/>
  <c r="C51" i="9"/>
  <c r="B51" i="9"/>
  <c r="A51" i="9"/>
  <c r="E50" i="9"/>
  <c r="D50" i="9"/>
  <c r="C50" i="9"/>
  <c r="B50" i="9"/>
  <c r="A50" i="9"/>
  <c r="E49" i="9"/>
  <c r="D49" i="9"/>
  <c r="C49" i="9"/>
  <c r="B49" i="9"/>
  <c r="A49" i="9"/>
  <c r="E48" i="9"/>
  <c r="D48" i="9"/>
  <c r="C48" i="9"/>
  <c r="B48" i="9"/>
  <c r="A48" i="9"/>
  <c r="E47" i="9"/>
  <c r="D47" i="9"/>
  <c r="C47" i="9"/>
  <c r="B47" i="9"/>
  <c r="A47" i="9"/>
  <c r="E46" i="9"/>
  <c r="D46" i="9"/>
  <c r="C46" i="9"/>
  <c r="B46" i="9"/>
  <c r="A46" i="9"/>
  <c r="E45" i="9"/>
  <c r="D45" i="9"/>
  <c r="C45" i="9"/>
  <c r="B45" i="9"/>
  <c r="A45" i="9"/>
  <c r="E44" i="9"/>
  <c r="D44" i="9"/>
  <c r="C44" i="9"/>
  <c r="B44" i="9"/>
  <c r="A44" i="9"/>
  <c r="E43" i="9"/>
  <c r="D43" i="9"/>
  <c r="C43" i="9"/>
  <c r="B43" i="9"/>
  <c r="A43" i="9"/>
  <c r="E42" i="9"/>
  <c r="D42" i="9"/>
  <c r="C42" i="9"/>
  <c r="B42" i="9"/>
  <c r="A42" i="9"/>
  <c r="E41" i="9"/>
  <c r="D41" i="9"/>
  <c r="C41" i="9"/>
  <c r="B41" i="9"/>
  <c r="A41" i="9"/>
  <c r="E40" i="9"/>
  <c r="D40" i="9"/>
  <c r="C40" i="9"/>
  <c r="B40" i="9"/>
  <c r="A40" i="9"/>
  <c r="E39" i="9"/>
  <c r="D39" i="9"/>
  <c r="C39" i="9"/>
  <c r="B39" i="9"/>
  <c r="A39" i="9"/>
  <c r="E38" i="9"/>
  <c r="D38" i="9"/>
  <c r="C38" i="9"/>
  <c r="B38" i="9"/>
  <c r="A38" i="9"/>
  <c r="E37" i="9"/>
  <c r="D37" i="9"/>
  <c r="C37" i="9"/>
  <c r="B37" i="9"/>
  <c r="A37" i="9"/>
  <c r="E36" i="9"/>
  <c r="D36" i="9"/>
  <c r="C36" i="9"/>
  <c r="B36" i="9"/>
  <c r="A36" i="9"/>
  <c r="E35" i="9"/>
  <c r="D35" i="9"/>
  <c r="C35" i="9"/>
  <c r="B35" i="9"/>
  <c r="A35" i="9"/>
  <c r="E34" i="9"/>
  <c r="D34" i="9"/>
  <c r="C34" i="9"/>
  <c r="B34" i="9"/>
  <c r="A34" i="9"/>
  <c r="E33" i="9"/>
  <c r="D33" i="9"/>
  <c r="C33" i="9"/>
  <c r="B33" i="9"/>
  <c r="A33" i="9"/>
  <c r="E32" i="9"/>
  <c r="D32" i="9"/>
  <c r="C32" i="9"/>
  <c r="B32" i="9"/>
  <c r="A32" i="9"/>
  <c r="E31" i="9"/>
  <c r="D31" i="9"/>
  <c r="C31" i="9"/>
  <c r="B31" i="9"/>
  <c r="A31" i="9"/>
  <c r="E30" i="9"/>
  <c r="D30" i="9"/>
  <c r="C30" i="9"/>
  <c r="B30" i="9"/>
  <c r="A30" i="9"/>
  <c r="E29" i="9"/>
  <c r="D29" i="9"/>
  <c r="C29" i="9"/>
  <c r="B29" i="9"/>
  <c r="A29" i="9"/>
  <c r="E28" i="9"/>
  <c r="D28" i="9"/>
  <c r="C28" i="9"/>
  <c r="B28" i="9"/>
  <c r="A28" i="9"/>
  <c r="E27" i="9"/>
  <c r="D27" i="9"/>
  <c r="C27" i="9"/>
  <c r="B27" i="9"/>
  <c r="A27" i="9"/>
  <c r="E26" i="9"/>
  <c r="D26" i="9"/>
  <c r="C26" i="9"/>
  <c r="B26" i="9"/>
  <c r="A26" i="9"/>
  <c r="E25" i="9"/>
  <c r="D25" i="9"/>
  <c r="C25" i="9"/>
  <c r="B25" i="9"/>
  <c r="A25" i="9"/>
  <c r="E24" i="9"/>
  <c r="D24" i="9"/>
  <c r="C24" i="9"/>
  <c r="B24" i="9"/>
  <c r="A24" i="9"/>
  <c r="E23" i="9"/>
  <c r="D23" i="9"/>
  <c r="C23" i="9"/>
  <c r="B23" i="9"/>
  <c r="A23" i="9"/>
  <c r="E22" i="9"/>
  <c r="D22" i="9"/>
  <c r="C22" i="9"/>
  <c r="B22" i="9"/>
  <c r="A22" i="9"/>
  <c r="E21" i="9"/>
  <c r="D21" i="9"/>
  <c r="C21" i="9"/>
  <c r="B21" i="9"/>
  <c r="A21" i="9"/>
  <c r="E20" i="9"/>
  <c r="D20" i="9"/>
  <c r="C20" i="9"/>
  <c r="B20" i="9"/>
  <c r="A20" i="9"/>
  <c r="E19" i="9"/>
  <c r="D19" i="9"/>
  <c r="C19" i="9"/>
  <c r="B19" i="9"/>
  <c r="A19" i="9"/>
  <c r="E18" i="9"/>
  <c r="D18" i="9"/>
  <c r="C18" i="9"/>
  <c r="B18" i="9"/>
  <c r="A18" i="9"/>
  <c r="E17" i="9"/>
  <c r="D17" i="9"/>
  <c r="C17" i="9"/>
  <c r="B17" i="9"/>
  <c r="A17" i="9"/>
  <c r="E16" i="9"/>
  <c r="D16" i="9"/>
  <c r="C16" i="9"/>
  <c r="B16" i="9"/>
  <c r="A16" i="9"/>
  <c r="E15" i="9"/>
  <c r="D15" i="9"/>
  <c r="C15" i="9"/>
  <c r="B15" i="9"/>
  <c r="A15" i="9"/>
  <c r="E14" i="9"/>
  <c r="D14" i="9"/>
  <c r="C14" i="9"/>
  <c r="B14" i="9"/>
  <c r="A14" i="9"/>
  <c r="E13" i="9"/>
  <c r="D13" i="9"/>
  <c r="C13" i="9"/>
  <c r="B13" i="9"/>
  <c r="A13" i="9"/>
  <c r="E12" i="9"/>
  <c r="D12" i="9"/>
  <c r="C12" i="9"/>
  <c r="B12" i="9"/>
  <c r="A12" i="9"/>
  <c r="E11" i="9"/>
  <c r="D11" i="9"/>
  <c r="C11" i="9"/>
  <c r="B11" i="9"/>
  <c r="A11" i="9"/>
  <c r="E10" i="9"/>
  <c r="D10" i="9"/>
  <c r="C10" i="9"/>
  <c r="B10" i="9"/>
  <c r="A10" i="9"/>
  <c r="E9" i="9"/>
  <c r="D9" i="9"/>
  <c r="C9" i="9"/>
  <c r="B9" i="9"/>
  <c r="A9" i="9"/>
  <c r="E8" i="9"/>
  <c r="D8" i="9"/>
  <c r="C8" i="9"/>
  <c r="B8" i="9"/>
  <c r="A8" i="9"/>
  <c r="E7" i="9"/>
  <c r="D7" i="9"/>
  <c r="C7" i="9"/>
  <c r="B7" i="9"/>
  <c r="A7" i="9"/>
  <c r="E6" i="9"/>
  <c r="D6" i="9"/>
  <c r="C6" i="9"/>
  <c r="B6" i="9"/>
  <c r="A6" i="9"/>
  <c r="E5" i="9"/>
  <c r="D5" i="9"/>
  <c r="C5" i="9"/>
  <c r="B5" i="9"/>
  <c r="A5" i="9"/>
  <c r="E4" i="9"/>
  <c r="D4" i="9"/>
  <c r="C4" i="9"/>
  <c r="B4" i="9"/>
  <c r="A4" i="9"/>
  <c r="E3" i="9"/>
  <c r="D3" i="9"/>
  <c r="C3" i="9"/>
  <c r="B3" i="9"/>
  <c r="A3" i="9"/>
  <c r="E2" i="9"/>
  <c r="D2" i="9"/>
  <c r="C2" i="9"/>
  <c r="B2" i="9"/>
  <c r="A2" i="9"/>
  <c r="E1" i="9"/>
  <c r="D1" i="9"/>
  <c r="C1" i="9"/>
  <c r="B1" i="9"/>
  <c r="A1" i="9"/>
</calcChain>
</file>

<file path=xl/sharedStrings.xml><?xml version="1.0" encoding="utf-8"?>
<sst xmlns="http://schemas.openxmlformats.org/spreadsheetml/2006/main" count="7933" uniqueCount="1574">
  <si>
    <t>Before Renaming</t>
  </si>
  <si>
    <t>After Renaming</t>
  </si>
  <si>
    <t>Code 1</t>
  </si>
  <si>
    <t>Code 2</t>
  </si>
  <si>
    <t>Code 3</t>
  </si>
  <si>
    <t>not_OSA_TTS_files</t>
  </si>
  <si>
    <t>Accounting Detailed Report</t>
  </si>
  <si>
    <t>Adjustments Not Posted Report</t>
  </si>
  <si>
    <t>Accounting Report</t>
  </si>
  <si>
    <t>AUR History Stats</t>
  </si>
  <si>
    <t>Adjustment &amp; OCC Report</t>
  </si>
  <si>
    <t>12Q_</t>
  </si>
  <si>
    <t>AUR History Stats Report</t>
  </si>
  <si>
    <t>Adjustment GL Trans by BAN Report</t>
  </si>
  <si>
    <t>Adjustment Report</t>
  </si>
  <si>
    <t>12O_</t>
  </si>
  <si>
    <t>Bill Completion Check Report</t>
  </si>
  <si>
    <t>Adjustment GL Trans by BAN Report - New</t>
  </si>
  <si>
    <t>Detailed BAN Error Report</t>
  </si>
  <si>
    <t>Adjustments GL Trans by BAN Report</t>
  </si>
  <si>
    <t>Detailed BAN Error Report - with extra research</t>
  </si>
  <si>
    <t>9F_</t>
  </si>
  <si>
    <t>Detailed CLLI Error Report</t>
  </si>
  <si>
    <t>Aged Trial Balance for Export</t>
  </si>
  <si>
    <t>Aged Trial Balance for Export Report</t>
  </si>
  <si>
    <t>Detailed CLLI Error Report - with extra research</t>
  </si>
  <si>
    <t>Aged Trial Balance for Export - New</t>
  </si>
  <si>
    <t>Duplicate File Processing Report</t>
  </si>
  <si>
    <t>Aged Trial Balance_for export</t>
  </si>
  <si>
    <t>Exception Analysis Report</t>
  </si>
  <si>
    <t>Aged trial Balance</t>
  </si>
  <si>
    <t>Aged trial Balance Report</t>
  </si>
  <si>
    <t>Factor Change Audit Report</t>
  </si>
  <si>
    <t>Aged Trial Balance - New</t>
  </si>
  <si>
    <t>Factor Check Report with PVU</t>
  </si>
  <si>
    <t>4A_</t>
  </si>
  <si>
    <t>Factor Compare Report</t>
  </si>
  <si>
    <t>Factor Matrix Report</t>
  </si>
  <si>
    <t>BAN List with Active Status and LPC Option</t>
  </si>
  <si>
    <t>SOC Change Audit Report</t>
  </si>
  <si>
    <t>Bill By Period Report</t>
  </si>
  <si>
    <t>Usage Balancing - Company Totals with Full Detail</t>
  </si>
  <si>
    <t>12A_</t>
  </si>
  <si>
    <t>Usage Balancing - Company, Ban Totals</t>
  </si>
  <si>
    <t>Billed by Period</t>
  </si>
  <si>
    <t>Usage Verify by Size Report</t>
  </si>
  <si>
    <t>Billed by Period Report</t>
  </si>
  <si>
    <t>MOU Entries Error Report</t>
  </si>
  <si>
    <t>Billed by Period Report - New</t>
  </si>
  <si>
    <t>Billed Msg MOU Rev by BAN by EMR Jurisdiction</t>
  </si>
  <si>
    <t>Message MOU Revenue by BAN Report</t>
  </si>
  <si>
    <t>Billed Msg MOU Rev by CLLI by EMR Jurisdiction</t>
  </si>
  <si>
    <t>Message MOU Revenue by CLLI Report</t>
  </si>
  <si>
    <t>CLNT ly_invoice_balances_by_jur_cic</t>
  </si>
  <si>
    <t>Invoice Balance Report</t>
  </si>
  <si>
    <t>CLNT nt_ckt_billed_live_disco_v2</t>
  </si>
  <si>
    <t>Facility Circuit Charges Billed Disconnected</t>
  </si>
  <si>
    <t>Count of Invoices not zero Range</t>
  </si>
  <si>
    <t>Number Of Invoices</t>
  </si>
  <si>
    <t>21B_</t>
  </si>
  <si>
    <t>Count Of Invoices not zero Range</t>
  </si>
  <si>
    <t>count_of_invoices_not_zero_range</t>
  </si>
  <si>
    <t>Deletions Under 5 Report</t>
  </si>
  <si>
    <t>Deletions Under Report</t>
  </si>
  <si>
    <t>4F_</t>
  </si>
  <si>
    <t>4H_</t>
  </si>
  <si>
    <t>5A_</t>
  </si>
  <si>
    <t>4K_</t>
  </si>
  <si>
    <t>FA BAN Trending Report</t>
  </si>
  <si>
    <t>Facility BANS Trending Report</t>
  </si>
  <si>
    <t>FA Charges Summary</t>
  </si>
  <si>
    <t>FA Circuit Charges by CIC by CLLI</t>
  </si>
  <si>
    <t>12B_</t>
  </si>
  <si>
    <t>12D_</t>
  </si>
  <si>
    <t>12N_</t>
  </si>
  <si>
    <t>10_</t>
  </si>
  <si>
    <t>10A_</t>
  </si>
  <si>
    <t>10B_</t>
  </si>
  <si>
    <t>Fulfillment Report</t>
  </si>
  <si>
    <t>FUSC Charge By Circuit</t>
  </si>
  <si>
    <t>GL Extract</t>
  </si>
  <si>
    <t>Invoice Balance</t>
  </si>
  <si>
    <t>Invoice Balances by Jur with LPC</t>
  </si>
  <si>
    <t>Invoice Balances by Jurisdiction</t>
  </si>
  <si>
    <t>Invoice Balances by Jurisdiction Report</t>
  </si>
  <si>
    <t>Invoice Count Range Report (non-zero balance)</t>
  </si>
  <si>
    <t>Invoice Count Report - Range</t>
  </si>
  <si>
    <t>Invoice Count Report (non-zero balances)</t>
  </si>
  <si>
    <t>Invoice Register Report</t>
  </si>
  <si>
    <t>Invoice Trending Report for Export - dir - jur</t>
  </si>
  <si>
    <t>Invoice Trending Report for Export (qty type dtl)</t>
  </si>
  <si>
    <t>Late Payment Charges</t>
  </si>
  <si>
    <t>Minutes and revenue billed by rate element</t>
  </si>
  <si>
    <t>MMR by Bill Date by Usg Pd by Direction by Prod</t>
  </si>
  <si>
    <t>4L_</t>
  </si>
  <si>
    <t>MSG MOU Rev Export</t>
  </si>
  <si>
    <t>MMR Report</t>
  </si>
  <si>
    <t>MSG MOU REV Export - New</t>
  </si>
  <si>
    <t>MSG MOU REV with LPC</t>
  </si>
  <si>
    <t>MSG_MOU_REV_export</t>
  </si>
  <si>
    <t>NECA AS1000</t>
  </si>
  <si>
    <t>NECA EC1050</t>
  </si>
  <si>
    <t>OC&amp;C GL Trans by BAN Report</t>
  </si>
  <si>
    <t>OCC Report</t>
  </si>
  <si>
    <t>12P_</t>
  </si>
  <si>
    <t>OC&amp;C Report</t>
  </si>
  <si>
    <t>OCC GL Trans by BAN Report - New</t>
  </si>
  <si>
    <t>Payment Report</t>
  </si>
  <si>
    <t>8_</t>
  </si>
  <si>
    <t>Payment Report - New</t>
  </si>
  <si>
    <t>Pre-Thresholding Report</t>
  </si>
  <si>
    <t>Rev Analysis by CLLI</t>
  </si>
  <si>
    <t>Revenue Analysis</t>
  </si>
  <si>
    <t>Revenue Analysis - New</t>
  </si>
  <si>
    <t>11_</t>
  </si>
  <si>
    <t>SOC Jurisdiction Report</t>
  </si>
  <si>
    <t>Sprint MOU Analysis for export</t>
  </si>
  <si>
    <t>SW BANS Trending Report (qty type detail)</t>
  </si>
  <si>
    <t>SW BANS Trending Report</t>
  </si>
  <si>
    <t>12C_</t>
  </si>
  <si>
    <t>SW Usage Charges Summary</t>
  </si>
  <si>
    <t>Switch Terminating Intrastate Rev Report for NECA</t>
  </si>
  <si>
    <t>Switched BANS Trending Report</t>
  </si>
  <si>
    <t>12M_</t>
  </si>
  <si>
    <t>19W_</t>
  </si>
  <si>
    <t>Switched BANS Trending Report - New</t>
  </si>
  <si>
    <t>Threshold Report by Period</t>
  </si>
  <si>
    <t>Transaction Summary - bills only</t>
  </si>
  <si>
    <t>Transaction Summary Report</t>
  </si>
  <si>
    <t>Transaction Summary Report - New</t>
  </si>
  <si>
    <t>11B_</t>
  </si>
  <si>
    <t>Usage Balancing</t>
  </si>
  <si>
    <t>6_</t>
  </si>
  <si>
    <t>13_</t>
  </si>
  <si>
    <t>16_</t>
  </si>
  <si>
    <t>Usage By Day Report</t>
  </si>
  <si>
    <t>5D_</t>
  </si>
  <si>
    <t>5E-3months_</t>
  </si>
  <si>
    <t>Usage by Day Report - New</t>
  </si>
  <si>
    <t>5C_</t>
  </si>
  <si>
    <t>Zero Rated MOU</t>
  </si>
  <si>
    <t>Facility Billed with Disconnects</t>
  </si>
  <si>
    <t>13B_</t>
  </si>
  <si>
    <t>13C_</t>
  </si>
  <si>
    <t>13D_</t>
  </si>
  <si>
    <t>Client</t>
  </si>
  <si>
    <t>prefix</t>
  </si>
  <si>
    <t>bill date</t>
  </si>
  <si>
    <t>Selectronics</t>
  </si>
  <si>
    <t>0069_VT</t>
  </si>
  <si>
    <t>01</t>
  </si>
  <si>
    <t>American_Broadband356D_MI</t>
  </si>
  <si>
    <t>356D_MI</t>
  </si>
  <si>
    <t>25</t>
  </si>
  <si>
    <t>American_Broadband509B_OH</t>
  </si>
  <si>
    <t>509B_OH</t>
  </si>
  <si>
    <t>20</t>
  </si>
  <si>
    <t>American_Broadband590G_IN</t>
  </si>
  <si>
    <t>590G_IN</t>
  </si>
  <si>
    <t>BendTel</t>
  </si>
  <si>
    <t>9627_OR</t>
  </si>
  <si>
    <t>22</t>
  </si>
  <si>
    <t>MIEAC</t>
  </si>
  <si>
    <t>ONVOY</t>
  </si>
  <si>
    <t>Peerless_Network</t>
  </si>
  <si>
    <t>Peerless</t>
  </si>
  <si>
    <t>05</t>
  </si>
  <si>
    <t>Neutral_TandemFA</t>
  </si>
  <si>
    <t>Combined_IQNT</t>
  </si>
  <si>
    <t>Neutral_TandemSW</t>
  </si>
  <si>
    <t>Combined</t>
  </si>
  <si>
    <t>Neutral_TandemSWO</t>
  </si>
  <si>
    <t>Combined_OSA</t>
  </si>
  <si>
    <t>Neutral_TandemSWT</t>
  </si>
  <si>
    <t>Combined_TTS</t>
  </si>
  <si>
    <t>MTASW</t>
  </si>
  <si>
    <t>MTA_SW</t>
  </si>
  <si>
    <t>10</t>
  </si>
  <si>
    <t>MTAFA</t>
  </si>
  <si>
    <t>MTA_FA</t>
  </si>
  <si>
    <t>MTARC</t>
  </si>
  <si>
    <t>MTA_RC</t>
  </si>
  <si>
    <t>GCISW</t>
  </si>
  <si>
    <t>GCI_SW</t>
  </si>
  <si>
    <t>21</t>
  </si>
  <si>
    <t>GCIFA</t>
  </si>
  <si>
    <t>GCI_FA</t>
  </si>
  <si>
    <t>Sprint</t>
  </si>
  <si>
    <t>MPS Location</t>
  </si>
  <si>
    <t>Report Name</t>
  </si>
  <si>
    <t>File Location</t>
  </si>
  <si>
    <t>Coordinates</t>
  </si>
  <si>
    <t>1</t>
  </si>
  <si>
    <t>Verify Prior Period Post Date</t>
  </si>
  <si>
    <t>D17</t>
  </si>
  <si>
    <t>1A</t>
  </si>
  <si>
    <t>Last date data was received.</t>
  </si>
  <si>
    <t>D18</t>
  </si>
  <si>
    <t>1B</t>
  </si>
  <si>
    <t>Run Usage Balancing Report. Verify AUR = MOU</t>
  </si>
  <si>
    <t>D19</t>
  </si>
  <si>
    <t>1C</t>
  </si>
  <si>
    <t>Client Final Approval of Usage Files</t>
  </si>
  <si>
    <t>D20</t>
  </si>
  <si>
    <t>2</t>
  </si>
  <si>
    <t>Verify From and To Cycle Dates</t>
  </si>
  <si>
    <t>D21</t>
  </si>
  <si>
    <t>2A</t>
  </si>
  <si>
    <t>From cycle date:</t>
  </si>
  <si>
    <t>D22</t>
  </si>
  <si>
    <t>2B</t>
  </si>
  <si>
    <t>To cycle date:</t>
  </si>
  <si>
    <t>D23</t>
  </si>
  <si>
    <t>2C</t>
  </si>
  <si>
    <t>Bill Date</t>
  </si>
  <si>
    <t>D24</t>
  </si>
  <si>
    <t>4A</t>
  </si>
  <si>
    <t>K:\Client\MIEAC\Reports\2021\06_2021\MIEAC_060121_4A_AUR History Report.xls</t>
  </si>
  <si>
    <t>D32</t>
  </si>
  <si>
    <t>4B</t>
  </si>
  <si>
    <t>Verify Bill Count</t>
  </si>
  <si>
    <t>D33</t>
  </si>
  <si>
    <t>4C</t>
  </si>
  <si>
    <t>File Count:</t>
  </si>
  <si>
    <t>D34</t>
  </si>
  <si>
    <t>4D</t>
  </si>
  <si>
    <t>Record Count:</t>
  </si>
  <si>
    <t>D35</t>
  </si>
  <si>
    <t>4E</t>
  </si>
  <si>
    <t>Verify Count:</t>
  </si>
  <si>
    <t>D36</t>
  </si>
  <si>
    <t>4F</t>
  </si>
  <si>
    <t>BAN Error Report</t>
  </si>
  <si>
    <t>K:\Client\MIEAC\Reports\2021\06_2021\MIEAC_060121_4F_Detailed BAN Error Report.xlsx</t>
  </si>
  <si>
    <t>D37</t>
  </si>
  <si>
    <t>4G</t>
  </si>
  <si>
    <t>Set Up New BANs</t>
  </si>
  <si>
    <t>D38</t>
  </si>
  <si>
    <t>4H</t>
  </si>
  <si>
    <t>CLLI Error Report</t>
  </si>
  <si>
    <t>K:\Client\MIEAC\Reports\2021\06_2021\MIEAC_060121_4H_No CLLI Report.xls</t>
  </si>
  <si>
    <t>D39</t>
  </si>
  <si>
    <t>4I</t>
  </si>
  <si>
    <t>Set Up New CLLIs</t>
  </si>
  <si>
    <t>D40</t>
  </si>
  <si>
    <t>4J</t>
  </si>
  <si>
    <t>CLLI Verification</t>
  </si>
  <si>
    <t>D41</t>
  </si>
  <si>
    <t>4K</t>
  </si>
  <si>
    <t>K:\Client\MIEAC\Reports\2021\06_2021\MIEAC_060121_4K_Exception Analysis Report.pdf</t>
  </si>
  <si>
    <t>D42</t>
  </si>
  <si>
    <t>4L</t>
  </si>
  <si>
    <t>K:\Client\MIEAC\Reports\2021\06_2021\MIEAC_060121_4L_MOU Entries Error Report.pdf</t>
  </si>
  <si>
    <t>D43</t>
  </si>
  <si>
    <t>4M</t>
  </si>
  <si>
    <t>NON MOU Entries Error Report</t>
  </si>
  <si>
    <t>D44</t>
  </si>
  <si>
    <t>4N</t>
  </si>
  <si>
    <t>Process Fix Files</t>
  </si>
  <si>
    <t>D45</t>
  </si>
  <si>
    <t>4O</t>
  </si>
  <si>
    <t>Install New Circuits</t>
  </si>
  <si>
    <t>D46</t>
  </si>
  <si>
    <t>5</t>
  </si>
  <si>
    <t>Analyze Files for Duplicate Processing and Non Processed Files</t>
  </si>
  <si>
    <t>D47</t>
  </si>
  <si>
    <t>5A</t>
  </si>
  <si>
    <t>K:\Client\MIEAC\Reports\2021\06_2021\MIEAC_060121_5A_Duplicate File Processing Report.pdf</t>
  </si>
  <si>
    <t>D48</t>
  </si>
  <si>
    <t>5B</t>
  </si>
  <si>
    <t>Error Files Duplicate Report</t>
  </si>
  <si>
    <t>D49</t>
  </si>
  <si>
    <t>5C</t>
  </si>
  <si>
    <t>K:\Client\MIEAC\Reports\2021\06_2021\MIEAC_060121_5C_Usage Verify by Size Report.pdf</t>
  </si>
  <si>
    <t>D50</t>
  </si>
  <si>
    <t>5D</t>
  </si>
  <si>
    <t>Usage By Day Report  (NOTIFY CLIENT OF MISSING USAGE)</t>
  </si>
  <si>
    <t>K:\Client\MIEAC\Reports\2021\06_2021\MIEAC_060121_5D_Usage By Day Report.xlsx</t>
  </si>
  <si>
    <t>D51</t>
  </si>
  <si>
    <t>5E-3MONTHS</t>
  </si>
  <si>
    <t>Usage By Day Report - 3 Month Period</t>
  </si>
  <si>
    <t>K:\Client\MIEAC\Reports\2021\06_2021\MIEAC_060121_5E-3MONTHS_Usage By Day Report.xlsx</t>
  </si>
  <si>
    <t>D52</t>
  </si>
  <si>
    <t>5F</t>
  </si>
  <si>
    <t>Copy period error files to the following month Q folder</t>
  </si>
  <si>
    <t>D53</t>
  </si>
  <si>
    <t>5G</t>
  </si>
  <si>
    <t>Zip files, analyze non-zipped files</t>
  </si>
  <si>
    <t>D54</t>
  </si>
  <si>
    <t>5H</t>
  </si>
  <si>
    <t>Renewals, Changes, and/or New Rate</t>
  </si>
  <si>
    <t>D55</t>
  </si>
  <si>
    <t>5I</t>
  </si>
  <si>
    <t>Disconnects</t>
  </si>
  <si>
    <t>D56</t>
  </si>
  <si>
    <t>5J</t>
  </si>
  <si>
    <t>Preliminary Balancing Report</t>
  </si>
  <si>
    <t>D57</t>
  </si>
  <si>
    <t>5k</t>
  </si>
  <si>
    <t>Duplicate File Processing Report by Name</t>
  </si>
  <si>
    <t>D58</t>
  </si>
  <si>
    <t>5L</t>
  </si>
  <si>
    <t>Update Rate Change Calculator</t>
  </si>
  <si>
    <t>D59</t>
  </si>
  <si>
    <t>5M</t>
  </si>
  <si>
    <t>Usage Variance Report</t>
  </si>
  <si>
    <t>D60</t>
  </si>
  <si>
    <t>6</t>
  </si>
  <si>
    <t>Usage Balancing Report</t>
  </si>
  <si>
    <t>K:\Client\MIEAC\Reports\2021\06_2021\MIEAC_060121_6_Company BAN Total Report.pdf</t>
  </si>
  <si>
    <t>D61</t>
  </si>
  <si>
    <t>7</t>
  </si>
  <si>
    <t>Enter MOU Exceptions</t>
  </si>
  <si>
    <t>D62</t>
  </si>
  <si>
    <t>8</t>
  </si>
  <si>
    <t>Enter/Post/Balance Payments</t>
  </si>
  <si>
    <t>K:\Client\MIEAC\Reports\2021\06_2021\MIEAC_060121_8_Payment Report.pdf</t>
  </si>
  <si>
    <t>D63</t>
  </si>
  <si>
    <t>9</t>
  </si>
  <si>
    <t>Enter/Post/Balance Adjustments.  Include backup documentation.</t>
  </si>
  <si>
    <t>D64</t>
  </si>
  <si>
    <t>9A</t>
  </si>
  <si>
    <t>Update OC&amp;C Calculator</t>
  </si>
  <si>
    <t>D65</t>
  </si>
  <si>
    <t>9B</t>
  </si>
  <si>
    <t>Enter OC&amp;Cs, include backup documentation for entries.</t>
  </si>
  <si>
    <t>D66</t>
  </si>
  <si>
    <t>9C</t>
  </si>
  <si>
    <t>Enter Adjustments, include backup documentation.</t>
  </si>
  <si>
    <t>D67</t>
  </si>
  <si>
    <t>9D</t>
  </si>
  <si>
    <t>Adjustment Review Report</t>
  </si>
  <si>
    <t>D68</t>
  </si>
  <si>
    <t>9E</t>
  </si>
  <si>
    <t>Post Adjustments</t>
  </si>
  <si>
    <t>D69</t>
  </si>
  <si>
    <t>9F</t>
  </si>
  <si>
    <t>K:\Client\MIEAC\Reports\2021\06_2021\MIEAC_060121_9F_Adjustments Not Posted Report.pdf</t>
  </si>
  <si>
    <t>D70</t>
  </si>
  <si>
    <t>9G</t>
  </si>
  <si>
    <t>Produce Bills for LPC Calculations</t>
  </si>
  <si>
    <t>D71</t>
  </si>
  <si>
    <t>9H</t>
  </si>
  <si>
    <t>Aged Trial Balance for Late Payment Charges</t>
  </si>
  <si>
    <t>D72</t>
  </si>
  <si>
    <t>9I</t>
  </si>
  <si>
    <t>Calculate Late Payment Charges</t>
  </si>
  <si>
    <t>D73</t>
  </si>
  <si>
    <t>9J</t>
  </si>
  <si>
    <t>Apply Late Payment Charges</t>
  </si>
  <si>
    <t>D74</t>
  </si>
  <si>
    <t>9K</t>
  </si>
  <si>
    <t>Produce Invoices with Late Payment Charges</t>
  </si>
  <si>
    <t>D75</t>
  </si>
  <si>
    <t>9L</t>
  </si>
  <si>
    <t>Save Late Payment Invoices to Reports Folder on K</t>
  </si>
  <si>
    <t>D76</t>
  </si>
  <si>
    <t>9M</t>
  </si>
  <si>
    <t>Validate Late Payment Charges/Invoices</t>
  </si>
  <si>
    <t>D77</t>
  </si>
  <si>
    <t>K:\Client\MIEAC\Reports\2021\06_2021\MIEAC_060121_10_Factor Change Audit Report.pdf</t>
  </si>
  <si>
    <t>D78</t>
  </si>
  <si>
    <t>10A</t>
  </si>
  <si>
    <t>Factor Check Report</t>
  </si>
  <si>
    <t>K:\Client\MIEAC\Reports\2021\06_2021\MIEAC_060121_10A_Factor Check Report with PVU.xlsx</t>
  </si>
  <si>
    <t>D79</t>
  </si>
  <si>
    <t>10B</t>
  </si>
  <si>
    <t>D80</t>
  </si>
  <si>
    <t>11</t>
  </si>
  <si>
    <t>K:\Client\MIEAC\Reports\2021\06_2021\MIEAC_060121_11_SOC Change Audit Report.pdf</t>
  </si>
  <si>
    <t>D81</t>
  </si>
  <si>
    <t>11A</t>
  </si>
  <si>
    <t>Enter Per Call Charges</t>
  </si>
  <si>
    <t>D82</t>
  </si>
  <si>
    <t>11B</t>
  </si>
  <si>
    <t>Enter FGA Changes</t>
  </si>
  <si>
    <t>D83</t>
  </si>
  <si>
    <t>11C</t>
  </si>
  <si>
    <t>Usage Balancing-Company BAN Total Report (Post FGA)</t>
  </si>
  <si>
    <t>D84</t>
  </si>
  <si>
    <t>12</t>
  </si>
  <si>
    <t>PRODUCE BILLS: Switched &amp; Facility Check To, From, and Bill Dates</t>
  </si>
  <si>
    <t>D85</t>
  </si>
  <si>
    <t>12A</t>
  </si>
  <si>
    <t>D86</t>
  </si>
  <si>
    <t>12B</t>
  </si>
  <si>
    <t>Switched/Facility BANS Trending Report - as needed</t>
  </si>
  <si>
    <t>K:\Client\MIEAC\Reports\2021\06_2021\MIEAC_050121_12B_Switched BAN Trending Report.pdf</t>
  </si>
  <si>
    <t>D87</t>
  </si>
  <si>
    <t>12C</t>
  </si>
  <si>
    <t>Switched BANS Trending Report (qty type dtl)</t>
  </si>
  <si>
    <t>D88</t>
  </si>
  <si>
    <t>12D</t>
  </si>
  <si>
    <t>D89</t>
  </si>
  <si>
    <t>12E</t>
  </si>
  <si>
    <t>Delete Usage Where Appropriate</t>
  </si>
  <si>
    <t>D90</t>
  </si>
  <si>
    <t>12F</t>
  </si>
  <si>
    <t>Active BANs</t>
  </si>
  <si>
    <t>D91</t>
  </si>
  <si>
    <t>12G</t>
  </si>
  <si>
    <t>Validate Invoices with changes that impact billing</t>
  </si>
  <si>
    <t>D92</t>
  </si>
  <si>
    <t>12H</t>
  </si>
  <si>
    <t>Revenue Balancing</t>
  </si>
  <si>
    <t>D93</t>
  </si>
  <si>
    <t>12I</t>
  </si>
  <si>
    <t>Green Mountain Access</t>
  </si>
  <si>
    <t>D94</t>
  </si>
  <si>
    <t>12J</t>
  </si>
  <si>
    <t>Fairpoint Manual Usage Delete and Entry</t>
  </si>
  <si>
    <t>D95</t>
  </si>
  <si>
    <t>12K</t>
  </si>
  <si>
    <t>FUSF Tax - Calulate and Create OCC</t>
  </si>
  <si>
    <t>D96</t>
  </si>
  <si>
    <t>12L</t>
  </si>
  <si>
    <t>Reproduce ALL invoices to include changes</t>
  </si>
  <si>
    <t>D97</t>
  </si>
  <si>
    <t>12M</t>
  </si>
  <si>
    <t>Switched BANs Trending Report</t>
  </si>
  <si>
    <t>D98</t>
  </si>
  <si>
    <t>12N</t>
  </si>
  <si>
    <t>Facility BANs Trending Report</t>
  </si>
  <si>
    <t>D99</t>
  </si>
  <si>
    <t>12O</t>
  </si>
  <si>
    <t>Adjustments Report</t>
  </si>
  <si>
    <t>K:\Client\MIEAC\Reports\2021\06_2021\MIEAC_050121_12O_Adjustment Report.pdf</t>
  </si>
  <si>
    <t>D100</t>
  </si>
  <si>
    <t>12P</t>
  </si>
  <si>
    <t>OCCs Report</t>
  </si>
  <si>
    <t>D101</t>
  </si>
  <si>
    <t>12Q</t>
  </si>
  <si>
    <t>Adjustments &amp; OC&amp;Cs Report</t>
  </si>
  <si>
    <t>D102</t>
  </si>
  <si>
    <t>12R</t>
  </si>
  <si>
    <t>Switched BANS Trending Report Validation *NEW*</t>
  </si>
  <si>
    <t>D103</t>
  </si>
  <si>
    <t>13</t>
  </si>
  <si>
    <t>K:\Client\MIEAC\Reports\2021\06_2021\MIEAC_050121_13_Company BAN Total Report.pdf</t>
  </si>
  <si>
    <t>D104</t>
  </si>
  <si>
    <t>13A</t>
  </si>
  <si>
    <t>Do a Preliminary Balance prior to Thesholding</t>
  </si>
  <si>
    <t>D105</t>
  </si>
  <si>
    <t>13B</t>
  </si>
  <si>
    <t>Pre-ATB Report</t>
  </si>
  <si>
    <t>D106</t>
  </si>
  <si>
    <t>13C</t>
  </si>
  <si>
    <t>MMR by BAN</t>
  </si>
  <si>
    <t>K:\Client\MIEAC\Reports\2021\06_2021\MIEAC_050121_13C_MMR by BAN.pdf</t>
  </si>
  <si>
    <t>D107</t>
  </si>
  <si>
    <t>13D</t>
  </si>
  <si>
    <t>Pre Transaction Summary Report</t>
  </si>
  <si>
    <t>K:\Client\MIEAC\Reports\2021\06_2021\MIEAC_050121_13D_Pre-Transaction Summary.pdf</t>
  </si>
  <si>
    <t>D108</t>
  </si>
  <si>
    <t>13E</t>
  </si>
  <si>
    <t>D109</t>
  </si>
  <si>
    <t>13F</t>
  </si>
  <si>
    <t>D110</t>
  </si>
  <si>
    <t>13G</t>
  </si>
  <si>
    <t>Zero Rated Traffic Report</t>
  </si>
  <si>
    <t>D111</t>
  </si>
  <si>
    <t>13H</t>
  </si>
  <si>
    <t>D112</t>
  </si>
  <si>
    <t>13.I</t>
  </si>
  <si>
    <t>FUSF Report</t>
  </si>
  <si>
    <t>D113</t>
  </si>
  <si>
    <t>14</t>
  </si>
  <si>
    <t>Thresholding Report</t>
  </si>
  <si>
    <t>D114</t>
  </si>
  <si>
    <t>14A</t>
  </si>
  <si>
    <t>BANs for Thresholding Report</t>
  </si>
  <si>
    <t>K:\Client\MIEAC\Reports\2021\06_2021\MIEAC_050121_14A_Pre Threshold.xls</t>
  </si>
  <si>
    <t>D115</t>
  </si>
  <si>
    <t>14B</t>
  </si>
  <si>
    <t>Perform the action of Thresholding</t>
  </si>
  <si>
    <t>D116</t>
  </si>
  <si>
    <t>14C</t>
  </si>
  <si>
    <t>Thresheld BANs Report</t>
  </si>
  <si>
    <t>K:\Client\MIEAC\Reports\2021\06_2021\MIEAC_050121_14C_Post Threshold.xls</t>
  </si>
  <si>
    <t>D117</t>
  </si>
  <si>
    <t>15</t>
  </si>
  <si>
    <t>Delete Usage for All Invoices Meeting Client Criteria</t>
  </si>
  <si>
    <t>D118</t>
  </si>
  <si>
    <t>15A</t>
  </si>
  <si>
    <t>Identify BANs to Delete Usage</t>
  </si>
  <si>
    <t>D119</t>
  </si>
  <si>
    <t>15B</t>
  </si>
  <si>
    <t>Delete usage</t>
  </si>
  <si>
    <t>D120</t>
  </si>
  <si>
    <t>15C</t>
  </si>
  <si>
    <t>Manual PLU Adjustments</t>
  </si>
  <si>
    <t>D121</t>
  </si>
  <si>
    <t>15D</t>
  </si>
  <si>
    <t>Term 3 to 1 Report - Reciprocal Compensation</t>
  </si>
  <si>
    <t>D122</t>
  </si>
  <si>
    <t>15E</t>
  </si>
  <si>
    <t>Reproduce BANS that had usage deleted</t>
  </si>
  <si>
    <t>D123</t>
  </si>
  <si>
    <t>15F</t>
  </si>
  <si>
    <t>Validate BANs with Deleted Usage</t>
  </si>
  <si>
    <t>D124</t>
  </si>
  <si>
    <t>15G</t>
  </si>
  <si>
    <t>PDF Invoices</t>
  </si>
  <si>
    <t>D125</t>
  </si>
  <si>
    <t>15H</t>
  </si>
  <si>
    <t>Validate Invoices Saved to Reports Folder</t>
  </si>
  <si>
    <t>D126</t>
  </si>
  <si>
    <t>15I</t>
  </si>
  <si>
    <t>Deleted Usage AUR History Report</t>
  </si>
  <si>
    <t>D127</t>
  </si>
  <si>
    <t>16</t>
  </si>
  <si>
    <t>K:\Client\MIEAC\Reports\2021\06_2021\MIEAC_050121_16_Company BAN Total Report.pdf</t>
  </si>
  <si>
    <t>D128</t>
  </si>
  <si>
    <t>17</t>
  </si>
  <si>
    <t>Preapproval From Client</t>
  </si>
  <si>
    <t>D129</t>
  </si>
  <si>
    <t>17A</t>
  </si>
  <si>
    <t>Email Preliminary Invoices to Client - Winzip</t>
  </si>
  <si>
    <t>D130</t>
  </si>
  <si>
    <t>17B</t>
  </si>
  <si>
    <t>Invoices Approved by Client</t>
  </si>
  <si>
    <t>D131</t>
  </si>
  <si>
    <t>17C</t>
  </si>
  <si>
    <t>Email Final Invoices</t>
  </si>
  <si>
    <t>D132</t>
  </si>
  <si>
    <t>18</t>
  </si>
  <si>
    <t>Copy to "Send to Client" Folder</t>
  </si>
  <si>
    <t>D133</t>
  </si>
  <si>
    <t>18A</t>
  </si>
  <si>
    <t>D134</t>
  </si>
  <si>
    <t>18B</t>
  </si>
  <si>
    <t>Bill Count</t>
  </si>
  <si>
    <t>K:\Client\MIEAC\Reports\2021\06_2021\MIEAC_060121_4b_Bill Count.pdf</t>
  </si>
  <si>
    <t>D135</t>
  </si>
  <si>
    <t>18C</t>
  </si>
  <si>
    <t>D136</t>
  </si>
  <si>
    <t>18E</t>
  </si>
  <si>
    <t>D137</t>
  </si>
  <si>
    <t>18F</t>
  </si>
  <si>
    <t>D138</t>
  </si>
  <si>
    <t>18G</t>
  </si>
  <si>
    <t>D139</t>
  </si>
  <si>
    <t>18H</t>
  </si>
  <si>
    <t>Usage by Day Report</t>
  </si>
  <si>
    <t>D140</t>
  </si>
  <si>
    <t>18I</t>
  </si>
  <si>
    <t>Usage by Day Report  - 3 Month</t>
  </si>
  <si>
    <t>D141</t>
  </si>
  <si>
    <t>18J</t>
  </si>
  <si>
    <t>Usage Balance - Company, Ban Totals</t>
  </si>
  <si>
    <t>D142</t>
  </si>
  <si>
    <t>18K</t>
  </si>
  <si>
    <t>D143</t>
  </si>
  <si>
    <t>18L</t>
  </si>
  <si>
    <t>D144</t>
  </si>
  <si>
    <t>18M</t>
  </si>
  <si>
    <t>K:\Client\MIEAC\Reports\2021\06_2021\MIEAC_050121_12p_OC&amp;C Report.pdf</t>
  </si>
  <si>
    <t>D145</t>
  </si>
  <si>
    <t>18N</t>
  </si>
  <si>
    <t>D146</t>
  </si>
  <si>
    <t>18O</t>
  </si>
  <si>
    <t>D147</t>
  </si>
  <si>
    <t>18P</t>
  </si>
  <si>
    <t>SW BANs Trending Report</t>
  </si>
  <si>
    <t>D148</t>
  </si>
  <si>
    <t>18Q</t>
  </si>
  <si>
    <t>Threshold Report</t>
  </si>
  <si>
    <t>D149</t>
  </si>
  <si>
    <t>18R</t>
  </si>
  <si>
    <t>Copy the FUSF and Fairpoint to the Send To Client folder</t>
  </si>
  <si>
    <t>D150</t>
  </si>
  <si>
    <t>18S</t>
  </si>
  <si>
    <t>Billing Notes</t>
  </si>
  <si>
    <t>D151</t>
  </si>
  <si>
    <t>18T</t>
  </si>
  <si>
    <t>D152</t>
  </si>
  <si>
    <t>18U</t>
  </si>
  <si>
    <t>D153</t>
  </si>
  <si>
    <t>18V</t>
  </si>
  <si>
    <t>D154</t>
  </si>
  <si>
    <t>19</t>
  </si>
  <si>
    <t>Balance Billing and Add Reports to "Send to Client" Folder</t>
  </si>
  <si>
    <t>D155</t>
  </si>
  <si>
    <t>19A</t>
  </si>
  <si>
    <t>D156</t>
  </si>
  <si>
    <t>19B</t>
  </si>
  <si>
    <t>D157</t>
  </si>
  <si>
    <t>19C</t>
  </si>
  <si>
    <t>Bill Count Trending Report</t>
  </si>
  <si>
    <t>D158</t>
  </si>
  <si>
    <t>19D</t>
  </si>
  <si>
    <t>Combined Aged Trial Balance</t>
  </si>
  <si>
    <t>D159</t>
  </si>
  <si>
    <t>19E</t>
  </si>
  <si>
    <t>Msg MOU Rev with LPC</t>
  </si>
  <si>
    <t>D160</t>
  </si>
  <si>
    <t>19F</t>
  </si>
  <si>
    <t>D161</t>
  </si>
  <si>
    <t>19G</t>
  </si>
  <si>
    <t>D162</t>
  </si>
  <si>
    <t>19H</t>
  </si>
  <si>
    <t>D163</t>
  </si>
  <si>
    <t>19I</t>
  </si>
  <si>
    <t>Minutes and Revenue Billed By Rate Element Report</t>
  </si>
  <si>
    <t>D164</t>
  </si>
  <si>
    <t>19J</t>
  </si>
  <si>
    <t>Messages and Minutes billed by FG, CIC</t>
  </si>
  <si>
    <t>D165</t>
  </si>
  <si>
    <t>19K</t>
  </si>
  <si>
    <t>D166</t>
  </si>
  <si>
    <t>19L</t>
  </si>
  <si>
    <t>MMR 3 Month</t>
  </si>
  <si>
    <t>D167</t>
  </si>
  <si>
    <t>19M</t>
  </si>
  <si>
    <t>D168</t>
  </si>
  <si>
    <t>19N</t>
  </si>
  <si>
    <t>Transaction Summary</t>
  </si>
  <si>
    <t>D169</t>
  </si>
  <si>
    <t>19O</t>
  </si>
  <si>
    <t>Transaction Detail Listing</t>
  </si>
  <si>
    <t>D170</t>
  </si>
  <si>
    <t>19P</t>
  </si>
  <si>
    <t>Transaction Summary - Adjustments Only</t>
  </si>
  <si>
    <t>D171</t>
  </si>
  <si>
    <t>19Q</t>
  </si>
  <si>
    <t>D172</t>
  </si>
  <si>
    <t>19R</t>
  </si>
  <si>
    <t>Surcharges</t>
  </si>
  <si>
    <t>D173</t>
  </si>
  <si>
    <t>19S</t>
  </si>
  <si>
    <t>Revenue Analysis Report</t>
  </si>
  <si>
    <t>D174</t>
  </si>
  <si>
    <t>19T</t>
  </si>
  <si>
    <t>Billing Review</t>
  </si>
  <si>
    <t>D175</t>
  </si>
  <si>
    <t>19U</t>
  </si>
  <si>
    <t>BANS Trending Report</t>
  </si>
  <si>
    <t>D176</t>
  </si>
  <si>
    <t>19V</t>
  </si>
  <si>
    <t>D177</t>
  </si>
  <si>
    <t>19W</t>
  </si>
  <si>
    <t>D178</t>
  </si>
  <si>
    <t>19X</t>
  </si>
  <si>
    <t>SW Usage Charges Summary Report</t>
  </si>
  <si>
    <t>D179</t>
  </si>
  <si>
    <t>19Y</t>
  </si>
  <si>
    <t>D180</t>
  </si>
  <si>
    <t>19Z</t>
  </si>
  <si>
    <t>D181</t>
  </si>
  <si>
    <t>19AA</t>
  </si>
  <si>
    <t>FA BANS Trending Report</t>
  </si>
  <si>
    <t>D182</t>
  </si>
  <si>
    <t>19AB</t>
  </si>
  <si>
    <t>D183</t>
  </si>
  <si>
    <t>19AC</t>
  </si>
  <si>
    <t>D184</t>
  </si>
  <si>
    <t>19AD</t>
  </si>
  <si>
    <t>D185</t>
  </si>
  <si>
    <t>19AE</t>
  </si>
  <si>
    <t>Facility Charges Summary - Excel</t>
  </si>
  <si>
    <t>D186</t>
  </si>
  <si>
    <t>19AF</t>
  </si>
  <si>
    <t>D187</t>
  </si>
  <si>
    <t>19AG</t>
  </si>
  <si>
    <t>Number of Circuits</t>
  </si>
  <si>
    <t>D188</t>
  </si>
  <si>
    <t>19AH</t>
  </si>
  <si>
    <t>NECA:  NECA AS1000</t>
  </si>
  <si>
    <t>D189</t>
  </si>
  <si>
    <t>19AI</t>
  </si>
  <si>
    <t>NECA: NECA EC1050</t>
  </si>
  <si>
    <t>D190</t>
  </si>
  <si>
    <t>19AJ</t>
  </si>
  <si>
    <t>Create Switch Terminating Intrastate Revenue Report for NECA</t>
  </si>
  <si>
    <t>D191</t>
  </si>
  <si>
    <t>19AK</t>
  </si>
  <si>
    <t>D192</t>
  </si>
  <si>
    <t>19AL</t>
  </si>
  <si>
    <t>D193</t>
  </si>
  <si>
    <t>19AM</t>
  </si>
  <si>
    <t>Invoice Trending Report for export (qty type dtl)</t>
  </si>
  <si>
    <t>D194</t>
  </si>
  <si>
    <t>19AN</t>
  </si>
  <si>
    <t>D195</t>
  </si>
  <si>
    <t>19AO</t>
  </si>
  <si>
    <t>Invoice Register Excel</t>
  </si>
  <si>
    <t>D196</t>
  </si>
  <si>
    <t>19AP</t>
  </si>
  <si>
    <t>Fulfillment BAN Report</t>
  </si>
  <si>
    <t>D197</t>
  </si>
  <si>
    <t>19AQ</t>
  </si>
  <si>
    <t>Fulfillment Form</t>
  </si>
  <si>
    <t>D198</t>
  </si>
  <si>
    <t>19AR</t>
  </si>
  <si>
    <t>D199</t>
  </si>
  <si>
    <t>19AS</t>
  </si>
  <si>
    <t>D200</t>
  </si>
  <si>
    <t>19AT</t>
  </si>
  <si>
    <t>OC&amp;C Detail - Unposted</t>
  </si>
  <si>
    <t>D201</t>
  </si>
  <si>
    <t>19AU</t>
  </si>
  <si>
    <t>D202</t>
  </si>
  <si>
    <t>19AV</t>
  </si>
  <si>
    <t>Report 8</t>
  </si>
  <si>
    <t>D203</t>
  </si>
  <si>
    <t>19AW</t>
  </si>
  <si>
    <t>D204</t>
  </si>
  <si>
    <t>19AX</t>
  </si>
  <si>
    <t>AUR No Bill Master</t>
  </si>
  <si>
    <t>D205</t>
  </si>
  <si>
    <t>19AY</t>
  </si>
  <si>
    <t>AUR with Bill Master</t>
  </si>
  <si>
    <t>D206</t>
  </si>
  <si>
    <t>19AZ</t>
  </si>
  <si>
    <t>D207</t>
  </si>
  <si>
    <t>19BA</t>
  </si>
  <si>
    <t>D208</t>
  </si>
  <si>
    <t>19BB</t>
  </si>
  <si>
    <t>D209</t>
  </si>
  <si>
    <t>19BC</t>
  </si>
  <si>
    <t>Porting Recap</t>
  </si>
  <si>
    <t>D210</t>
  </si>
  <si>
    <t>19BD</t>
  </si>
  <si>
    <t>Billed by Period w/dir jur msg mou</t>
  </si>
  <si>
    <t>D211</t>
  </si>
  <si>
    <t>19BE</t>
  </si>
  <si>
    <t>Billed ï¿½ Balance Report</t>
  </si>
  <si>
    <t>D212</t>
  </si>
  <si>
    <t>19BF</t>
  </si>
  <si>
    <t>D213</t>
  </si>
  <si>
    <t>19BG</t>
  </si>
  <si>
    <t>Aged Trial Balance_by period</t>
  </si>
  <si>
    <t>D214</t>
  </si>
  <si>
    <t>19BH</t>
  </si>
  <si>
    <t>Bus-Res Proration Report</t>
  </si>
  <si>
    <t>D215</t>
  </si>
  <si>
    <t>19BI</t>
  </si>
  <si>
    <t>PDF &amp; Zip all invoices</t>
  </si>
  <si>
    <t>D216</t>
  </si>
  <si>
    <t>19BJ</t>
  </si>
  <si>
    <t>D217</t>
  </si>
  <si>
    <t>19BK</t>
  </si>
  <si>
    <t>OCC Billed Report</t>
  </si>
  <si>
    <t>D218</t>
  </si>
  <si>
    <t>D219</t>
  </si>
  <si>
    <t>20A</t>
  </si>
  <si>
    <t>Aged Trial Balance Walk Forward</t>
  </si>
  <si>
    <t>D220</t>
  </si>
  <si>
    <t>20B</t>
  </si>
  <si>
    <t>Aged Trial Balance Report</t>
  </si>
  <si>
    <t>D221</t>
  </si>
  <si>
    <t>20C</t>
  </si>
  <si>
    <t>Transaction Summary Report - Bills Only</t>
  </si>
  <si>
    <t>D222</t>
  </si>
  <si>
    <t>20D</t>
  </si>
  <si>
    <t>FA Charges Summary Report</t>
  </si>
  <si>
    <t>D223</t>
  </si>
  <si>
    <t>20E</t>
  </si>
  <si>
    <t>D224</t>
  </si>
  <si>
    <t>20F</t>
  </si>
  <si>
    <t>Bill Count Trending Total for Facility</t>
  </si>
  <si>
    <t>D225</t>
  </si>
  <si>
    <t>Final QC Sign Off, Bills Ready to Send</t>
  </si>
  <si>
    <t>D226</t>
  </si>
  <si>
    <t>21A</t>
  </si>
  <si>
    <t>Senior Sign Off</t>
  </si>
  <si>
    <t>D227</t>
  </si>
  <si>
    <t>21B</t>
  </si>
  <si>
    <t>Number of Invoices</t>
  </si>
  <si>
    <t>D228</t>
  </si>
  <si>
    <t>21C</t>
  </si>
  <si>
    <t>Total Revenue</t>
  </si>
  <si>
    <t>D229</t>
  </si>
  <si>
    <t>21D</t>
  </si>
  <si>
    <t>Billing Done Date</t>
  </si>
  <si>
    <t>D230</t>
  </si>
  <si>
    <t>D231</t>
  </si>
  <si>
    <t>22A</t>
  </si>
  <si>
    <t>Billing Reports sent Client for approval</t>
  </si>
  <si>
    <t>D232</t>
  </si>
  <si>
    <t>22B</t>
  </si>
  <si>
    <t>Client Final Approval of Billing</t>
  </si>
  <si>
    <t>D233</t>
  </si>
  <si>
    <t>22C</t>
  </si>
  <si>
    <t>PDF and ZIP invoices for each cycle</t>
  </si>
  <si>
    <t>D234</t>
  </si>
  <si>
    <t>22D</t>
  </si>
  <si>
    <t>Send Final Invoices to Client - Winzip</t>
  </si>
  <si>
    <t>D235</t>
  </si>
  <si>
    <t>22E</t>
  </si>
  <si>
    <t>Dashboard Verification</t>
  </si>
  <si>
    <t>D236</t>
  </si>
  <si>
    <t>22F</t>
  </si>
  <si>
    <t>Customer Volume Trending</t>
  </si>
  <si>
    <t>D237</t>
  </si>
  <si>
    <t>23</t>
  </si>
  <si>
    <t>Email the Fulfillment Report and Form</t>
  </si>
  <si>
    <t>D238</t>
  </si>
  <si>
    <t>23A</t>
  </si>
  <si>
    <t>Email the BILL COUNT notification to IntecSBInvoicing</t>
  </si>
  <si>
    <t>D239</t>
  </si>
  <si>
    <t>23B</t>
  </si>
  <si>
    <t>Invoice Delivery Report</t>
  </si>
  <si>
    <t>D240</t>
  </si>
  <si>
    <t>24</t>
  </si>
  <si>
    <t>Email Returned from Fulfillment</t>
  </si>
  <si>
    <t>D241</t>
  </si>
  <si>
    <t>24A</t>
  </si>
  <si>
    <t>Validate FF</t>
  </si>
  <si>
    <t>D242</t>
  </si>
  <si>
    <t>Post Invoices: After reports returned from Fulfillment</t>
  </si>
  <si>
    <t>D243</t>
  </si>
  <si>
    <t>26</t>
  </si>
  <si>
    <t>AFTER Posting Invoices</t>
  </si>
  <si>
    <t>D244</t>
  </si>
  <si>
    <t>26A</t>
  </si>
  <si>
    <t>Usage Balancing-Company BAN Total Report</t>
  </si>
  <si>
    <t>D245</t>
  </si>
  <si>
    <t>26B</t>
  </si>
  <si>
    <t>Usage Clean-Up</t>
  </si>
  <si>
    <t>D246</t>
  </si>
  <si>
    <t>26C</t>
  </si>
  <si>
    <t>Roll Up ATB</t>
  </si>
  <si>
    <t>D247</t>
  </si>
  <si>
    <t>26D</t>
  </si>
  <si>
    <t>Roll Up Transaction Summary</t>
  </si>
  <si>
    <t>D248</t>
  </si>
  <si>
    <t>26E</t>
  </si>
  <si>
    <t>Roll Up SW/FAC Transaction Summary</t>
  </si>
  <si>
    <t>D249</t>
  </si>
  <si>
    <t>26F</t>
  </si>
  <si>
    <t>Roll Up RC Transaction Summary</t>
  </si>
  <si>
    <t>D250</t>
  </si>
  <si>
    <t>26G</t>
  </si>
  <si>
    <t>Successful Transmission of FTP Invoices Report</t>
  </si>
  <si>
    <t>D251</t>
  </si>
  <si>
    <t>26H</t>
  </si>
  <si>
    <t>PDF Bill Count</t>
  </si>
  <si>
    <t>D252</t>
  </si>
  <si>
    <t>26I</t>
  </si>
  <si>
    <t>D253</t>
  </si>
  <si>
    <t>26K</t>
  </si>
  <si>
    <t>Send Billing Calendar for next month</t>
  </si>
  <si>
    <t>D254</t>
  </si>
  <si>
    <t>26L</t>
  </si>
  <si>
    <t>EOM_Aged Trial Balance for Export</t>
  </si>
  <si>
    <t>D255</t>
  </si>
  <si>
    <t>26M</t>
  </si>
  <si>
    <t>EOM_Invoice Balances Report_by Jurisdiction</t>
  </si>
  <si>
    <t>D256</t>
  </si>
  <si>
    <t>26N</t>
  </si>
  <si>
    <t>EOM_Payments</t>
  </si>
  <si>
    <t>D257</t>
  </si>
  <si>
    <t>26O</t>
  </si>
  <si>
    <t>EOM_Transaction Summary</t>
  </si>
  <si>
    <t>D258</t>
  </si>
  <si>
    <t>26P</t>
  </si>
  <si>
    <t>EOM_Bill Count Trending</t>
  </si>
  <si>
    <t>D259</t>
  </si>
  <si>
    <t>26Q</t>
  </si>
  <si>
    <t>EOM_Bill Count</t>
  </si>
  <si>
    <t>D260</t>
  </si>
  <si>
    <t>26R</t>
  </si>
  <si>
    <t>EOM_Trial Balance Walkforward</t>
  </si>
  <si>
    <t>D261</t>
  </si>
  <si>
    <t>26S</t>
  </si>
  <si>
    <t>Recip Comp Bill Reports &amp; Invoices</t>
  </si>
  <si>
    <t>D262</t>
  </si>
  <si>
    <t>26T</t>
  </si>
  <si>
    <t>Facility Access Billing Reports &amp; Invoices</t>
  </si>
  <si>
    <t>D263</t>
  </si>
  <si>
    <t>26U</t>
  </si>
  <si>
    <t>Switched Access Billing Reports &amp; Invoices</t>
  </si>
  <si>
    <t>D264</t>
  </si>
  <si>
    <t>26V</t>
  </si>
  <si>
    <t>MTA CLLIs_on_BANS_3015_04-2016</t>
  </si>
  <si>
    <t>D265</t>
  </si>
  <si>
    <t>26W</t>
  </si>
  <si>
    <t>MTA SOCS_on_BANS_3015_04-2016</t>
  </si>
  <si>
    <t>D266</t>
  </si>
  <si>
    <t>27</t>
  </si>
  <si>
    <t>Returned Mail Log</t>
  </si>
  <si>
    <t>D267</t>
  </si>
  <si>
    <t>MPS</t>
  </si>
  <si>
    <t>K:\Client\MIEAC\Reports\2021\06_2021\MPS_MN_8811_06_21.xlsx</t>
  </si>
  <si>
    <t>Empty</t>
  </si>
  <si>
    <t>5DOSA</t>
  </si>
  <si>
    <t>Usage By Day ReportOSA</t>
  </si>
  <si>
    <t>E51</t>
  </si>
  <si>
    <t>5DTTS</t>
  </si>
  <si>
    <t>Usage By Day ReportTTS</t>
  </si>
  <si>
    <t>F51</t>
  </si>
  <si>
    <t>5E-3MONTHSOSA</t>
  </si>
  <si>
    <t>E52</t>
  </si>
  <si>
    <t>5E-3MONTHSTTS</t>
  </si>
  <si>
    <t>F52</t>
  </si>
  <si>
    <t>8OSA</t>
  </si>
  <si>
    <t>Payment ReportOSA</t>
  </si>
  <si>
    <t>E63</t>
  </si>
  <si>
    <t>8TTS</t>
  </si>
  <si>
    <t>Payment ReportTTS</t>
  </si>
  <si>
    <t>F63</t>
  </si>
  <si>
    <t>12BOSA</t>
  </si>
  <si>
    <t>SW BANS Trending ReportOSA</t>
  </si>
  <si>
    <t>E87</t>
  </si>
  <si>
    <t>12BTTS</t>
  </si>
  <si>
    <t>SW BANS Trending ReportTTS</t>
  </si>
  <si>
    <t>F87</t>
  </si>
  <si>
    <t>12OOSA</t>
  </si>
  <si>
    <t>Adjustments ReportOSA</t>
  </si>
  <si>
    <t>E100</t>
  </si>
  <si>
    <t>12OTTS</t>
  </si>
  <si>
    <t>Adjustments ReportTTS</t>
  </si>
  <si>
    <t>F100</t>
  </si>
  <si>
    <t>12POSA</t>
  </si>
  <si>
    <t>OCC ReportOSA</t>
  </si>
  <si>
    <t>E101</t>
  </si>
  <si>
    <t>12PTTS</t>
  </si>
  <si>
    <t>OCC ReportTTS</t>
  </si>
  <si>
    <t>F101</t>
  </si>
  <si>
    <t>19AOSA</t>
  </si>
  <si>
    <t>Aged trial Balance ReportOSA</t>
  </si>
  <si>
    <t>E156</t>
  </si>
  <si>
    <t>19ATTS</t>
  </si>
  <si>
    <t>Aged trial Balance ReportTTS</t>
  </si>
  <si>
    <t>F156</t>
  </si>
  <si>
    <t>19VOSA</t>
  </si>
  <si>
    <t>Bill By Period ReportOSA</t>
  </si>
  <si>
    <t>E177</t>
  </si>
  <si>
    <t>19VTTS</t>
  </si>
  <si>
    <t>Bill By Period ReportTTS</t>
  </si>
  <si>
    <t>F177</t>
  </si>
  <si>
    <t>20AOSA</t>
  </si>
  <si>
    <t>Aged Trial Balance Walk ForwardOSA</t>
  </si>
  <si>
    <t>E220</t>
  </si>
  <si>
    <t>20ATTS</t>
  </si>
  <si>
    <t>Aged Trial Balance Walk ForwardTTS</t>
  </si>
  <si>
    <t>F220</t>
  </si>
  <si>
    <t>19BOSA</t>
  </si>
  <si>
    <t>Aged Trial Balance for Export ReportOSA</t>
  </si>
  <si>
    <t>E157</t>
  </si>
  <si>
    <t>19BTTS</t>
  </si>
  <si>
    <t>Aged Trial Balance for Export ReportTTS</t>
  </si>
  <si>
    <t>F157</t>
  </si>
  <si>
    <t>19FOSA</t>
  </si>
  <si>
    <t>MMR ReportOSA</t>
  </si>
  <si>
    <t>E161</t>
  </si>
  <si>
    <t>19FTTS</t>
  </si>
  <si>
    <t>MMR ReportTTS</t>
  </si>
  <si>
    <t>F161</t>
  </si>
  <si>
    <t>19GOSA</t>
  </si>
  <si>
    <t>Message MOU Revenue by BAN ReportOSA</t>
  </si>
  <si>
    <t>E162</t>
  </si>
  <si>
    <t>19GTTS</t>
  </si>
  <si>
    <t>Message MOU Revenue by BAN ReportTTS</t>
  </si>
  <si>
    <t>F162</t>
  </si>
  <si>
    <t>19QOSA</t>
  </si>
  <si>
    <t>MSG MOU REV with LPCOSA</t>
  </si>
  <si>
    <t>E172</t>
  </si>
  <si>
    <t>19QTTS</t>
  </si>
  <si>
    <t>MSG MOU REV with LPCTTS</t>
  </si>
  <si>
    <t>F172</t>
  </si>
  <si>
    <t>19HOSA</t>
  </si>
  <si>
    <t>Message MOU Revenue by CLLI ReportOSA</t>
  </si>
  <si>
    <t>E163</t>
  </si>
  <si>
    <t>19HTTS</t>
  </si>
  <si>
    <t>Message MOU Revenue by CLLI ReportTTS</t>
  </si>
  <si>
    <t>F163</t>
  </si>
  <si>
    <t>19MOSA</t>
  </si>
  <si>
    <t>Transaction Summary ReportOSA</t>
  </si>
  <si>
    <t>E168</t>
  </si>
  <si>
    <t>19MTTS</t>
  </si>
  <si>
    <t>Transaction Summary ReportTTS</t>
  </si>
  <si>
    <t>F168</t>
  </si>
  <si>
    <t>19WOSA</t>
  </si>
  <si>
    <t>E178</t>
  </si>
  <si>
    <t>19WTTS</t>
  </si>
  <si>
    <t>F178</t>
  </si>
  <si>
    <t>19SOSA</t>
  </si>
  <si>
    <t>Revenue AnalysisOSA</t>
  </si>
  <si>
    <t>E174</t>
  </si>
  <si>
    <t>19STTS</t>
  </si>
  <si>
    <t>Revenue AnalysisTTS</t>
  </si>
  <si>
    <t>F174</t>
  </si>
  <si>
    <t>21BOSA</t>
  </si>
  <si>
    <t>Number of InvoicesOSA</t>
  </si>
  <si>
    <t>E228</t>
  </si>
  <si>
    <t>21BTTS</t>
  </si>
  <si>
    <t>Number of InvoicesTTS</t>
  </si>
  <si>
    <t>F228</t>
  </si>
  <si>
    <t>Invoice Balances by Jur with LPCOSA</t>
  </si>
  <si>
    <t>Invoice Balances by Jur with LPCTTS</t>
  </si>
  <si>
    <t>Name</t>
  </si>
  <si>
    <t>Pattern</t>
  </si>
  <si>
    <t>Array</t>
  </si>
  <si>
    <t>&lt;prefix&gt;_&lt;mm&gt;10&lt;yy&gt;_&lt;ar&gt;Payment Report</t>
  </si>
  <si>
    <t>&lt;prefix&gt;_&lt;mm&gt;10&lt;yy&gt;_&lt;ar&gt;Factor Change Audit Report</t>
  </si>
  <si>
    <t>&lt;prefix&gt;_&lt;mm&gt;10&lt;yy&gt;_&lt;ar&gt;SOC Change Audit Report</t>
  </si>
  <si>
    <t>&lt;prefix&gt;_&lt;mm&gt;10&lt;yy&gt;_&lt;ar&gt;Factor Check Report with PVU</t>
  </si>
  <si>
    <t>&lt;prefix&gt;_&lt;mm&gt;10&lt;yy&gt;_&lt;ar&gt;FGA Usage Balance Details</t>
  </si>
  <si>
    <t>&lt;prefix&gt;_&lt;mm&gt;10&lt;yy&gt;_&lt;ar&gt;Bill Completion Check Report</t>
  </si>
  <si>
    <t>&lt;prefix&gt;_&lt;mm&gt;10&lt;yy&gt;_&lt;ar&gt;Switched BANS Trending Report</t>
  </si>
  <si>
    <t>&lt;prefix&gt;_&lt;mm&gt;10&lt;yy&gt;_&lt;ar&gt;Adjustments Report</t>
  </si>
  <si>
    <t>&lt;prefix&gt;_&lt;mm&gt;10&lt;yy&gt;_&lt;ar&gt;OCCs Report</t>
  </si>
  <si>
    <t>&lt;prefix&gt;_&lt;mm&gt;10&lt;yy&gt;_&lt;ar&gt;Invoice Count</t>
  </si>
  <si>
    <t>&lt;prefix&gt;_&lt;mm&gt;10&lt;yy&gt;_&lt;ar&gt;AUR History Stats Report</t>
  </si>
  <si>
    <t>&lt;prefix&gt;_&lt;mm&gt;10&lt;yy&gt;_&lt;ar&gt;Detailed BAN Error Report</t>
  </si>
  <si>
    <t>&lt;prefix&gt;_&lt;mm&gt;10&lt;yy&gt;_&lt;ar&gt;Detailed CLLI Error Report</t>
  </si>
  <si>
    <t>&lt;prefix&gt;_&lt;mm&gt;10&lt;yy&gt;_&lt;ar&gt;Exception Analysis Report</t>
  </si>
  <si>
    <t>&lt;prefix&gt;_&lt;mm&gt;10&lt;yy&gt;_&lt;ar&gt;MOU Entries Error Report</t>
  </si>
  <si>
    <t>&lt;prefix&gt;_&lt;mm&gt;10&lt;yy&gt;_&lt;ar&gt;Duplicate File Processing Report</t>
  </si>
  <si>
    <t xml:space="preserve">Usage Verify by Size Report </t>
  </si>
  <si>
    <t xml:space="preserve">&lt;prefix&gt;_&lt;mm&gt;10&lt;yy&gt;_&lt;ar&gt;Usage Verify by Size Report </t>
  </si>
  <si>
    <t>&lt;prefix&gt;_&lt;mm&gt;10&lt;yy&gt;_&lt;ar&gt;Usage By Day Report</t>
  </si>
  <si>
    <t>5D,5E-3months</t>
  </si>
  <si>
    <t>&lt;prefix&gt;_&lt;mm&gt;10&lt;yy&gt;_&lt;ar&gt;Usage Balancing</t>
  </si>
  <si>
    <t>6,11C-Post-FGA,13</t>
  </si>
  <si>
    <t>&lt;prefix&gt;_&lt;mm&gt;10&lt;yy&gt;_&lt;ar&gt;Adjustments Not Posted Report</t>
  </si>
  <si>
    <t>&lt;prefix&gt;_&lt;mm&gt;10&lt;yy&gt;_&lt;ar&gt;Aged Trial Balance for Export Report</t>
  </si>
  <si>
    <t>&lt;prefix&gt;_&lt;mm&gt;10&lt;yy&gt;_&lt;ar&gt;Billed by Period Report</t>
  </si>
  <si>
    <t>&lt;prefix&gt;_&lt;mm&gt;10&lt;yy&gt;_&lt;ar&gt;Message MOU Revenue by BAN Report</t>
  </si>
  <si>
    <t>&lt;prefix&gt;_&lt;mm&gt;10&lt;yy&gt;_&lt;ar&gt;Message MOU Revenue by CLLI Report</t>
  </si>
  <si>
    <t>&lt;prefix&gt;_&lt;mm&gt;10&lt;yy&gt;_&lt;ar&gt;Minutes and Revenue Billed By Rate Element Report</t>
  </si>
  <si>
    <t>&lt;prefix&gt;_&lt;mm&gt;10&lt;yy&gt;_&lt;ar&gt;SW Usage Charges Summary Report</t>
  </si>
  <si>
    <t>&lt;prefix&gt;_&lt;mm&gt;10&lt;yy&gt;_&lt;ar&gt;Transaction Summary Report</t>
  </si>
  <si>
    <t>&lt;prefix&gt;_&lt;mm&gt;05&lt;yy&gt;_&lt;ar&gt;Factor Check Report</t>
  </si>
  <si>
    <t>&lt;prefix&gt;_&lt;mm&gt;05&lt;yy&gt;_&lt;ar&gt;Switched BANS Trending Report</t>
  </si>
  <si>
    <t>&lt;prefix&gt;_&lt;mm&gt;05&lt;yy&gt;_&lt;ar&gt;Adjustments Report</t>
  </si>
  <si>
    <t>&lt;prefix&gt;_&lt;mm&gt;05&lt;yy&gt;_&lt;ar&gt;OCCs Report</t>
  </si>
  <si>
    <t>&lt;prefix&gt;_&lt;mm&gt;05&lt;yy&gt;_&lt;ar&gt;Invoice Count</t>
  </si>
  <si>
    <t>&lt;prefix&gt;_&lt;mm&gt;05&lt;yy&gt;_&lt;ar&gt;AUR History Stats Report</t>
  </si>
  <si>
    <t>&lt;prefix&gt;_&lt;mm&gt;05&lt;yy&gt;_&lt;ar&gt;Detailed BAN Error Report</t>
  </si>
  <si>
    <t>&lt;prefix&gt;_&lt;mm&gt;05&lt;yy&gt;_&lt;ar&gt;Detailed CLLI Error Report</t>
  </si>
  <si>
    <t>&lt;prefix&gt;_&lt;mm&gt;05&lt;yy&gt;_&lt;ar&gt;Exception Analysis Report</t>
  </si>
  <si>
    <t>&lt;prefix&gt;_&lt;mm&gt;05&lt;yy&gt;_&lt;ar&gt;MOU Entries Error Report</t>
  </si>
  <si>
    <t>&lt;prefix&gt;_&lt;mm&gt;05&lt;yy&gt;_&lt;ar&gt;Duplicate File Processing Report</t>
  </si>
  <si>
    <t xml:space="preserve">&lt;prefix&gt;_&lt;mm&gt;05&lt;yy&gt;_&lt;ar&gt;Usage Verify by Size Report </t>
  </si>
  <si>
    <t>&lt;prefix&gt;_&lt;mm&gt;05&lt;yy&gt;_&lt;ar&gt;Usage By Day Report</t>
  </si>
  <si>
    <t>&lt;prefix&gt;_&lt;mm&gt;05&lt;yy&gt;_&lt;ar&gt;Usage Balancing Report</t>
  </si>
  <si>
    <t>6,13</t>
  </si>
  <si>
    <t>&lt;prefix&gt;_&lt;mm&gt;05&lt;yy&gt;_&lt;ar&gt;Adjustments Not Posted Report</t>
  </si>
  <si>
    <t>&lt;prefix&gt;_&lt;mm&gt;05&lt;yy&gt;_&lt;ar&gt;Aged Trial Balance for Export Report</t>
  </si>
  <si>
    <t>&lt;prefix&gt;_&lt;mm&gt;05&lt;yy&gt;_&lt;ar&gt;Billed by Period Report</t>
  </si>
  <si>
    <t>&lt;prefix&gt;_&lt;mm&gt;05&lt;yy&gt;_&lt;ar&gt;Message MOU Revenue by BAN Report</t>
  </si>
  <si>
    <t>&lt;prefix&gt;_&lt;mm&gt;05&lt;yy&gt;_&lt;ar&gt;Message MOU Revenue by CLLI Report</t>
  </si>
  <si>
    <t>&lt;prefix&gt;_&lt;mm&gt;05&lt;yy&gt;_&lt;ar&gt;Minutes and Revenue Billed By Rate Element Report</t>
  </si>
  <si>
    <t>&lt;prefix&gt;_&lt;mm&gt;05&lt;yy&gt;_&lt;ar&gt;SW Usage Charges Summary Report</t>
  </si>
  <si>
    <t>&lt;prefix&gt;_&lt;mm&gt;05&lt;yy&gt;_&lt;ar&gt;Transaction Summary Report</t>
  </si>
  <si>
    <t>&lt;prefix&gt;_&lt;mm&gt;10&lt;yy&gt;_&lt;ar&gt;Factor Audit Report</t>
  </si>
  <si>
    <t>&lt;prefix&gt;_&lt;mm&gt;10&lt;yy&gt;_&lt;ar&gt;SOC Change Report</t>
  </si>
  <si>
    <t>&lt;prefix&gt;_&lt;mm&gt;10&lt;yy&gt;_&lt;ar&gt;Bill Completion Check</t>
  </si>
  <si>
    <t>&lt;prefix&gt;_&lt;mm&gt;10&lt;yy&gt;_&lt;ar&gt;Facility BANS Trending Report</t>
  </si>
  <si>
    <t>&lt;prefix&gt;_&lt;mm&gt;10&lt;yy&gt;_&lt;ar&gt;FA Charges Summary Report</t>
  </si>
  <si>
    <t>&lt;prefix&gt;_&lt;mm&gt;10&lt;yy&gt;_&lt;ar&gt;Facility Circuit Charges Billed Disconnected</t>
  </si>
  <si>
    <t>&lt;prefix&gt;_&lt;mm&gt;10&lt;yy&gt;_&lt;ar&gt;FA Circuit Charges by CIC by CLLI Report</t>
  </si>
  <si>
    <t>&lt;prefix&gt;_&lt;mm&gt;10&lt;yy&gt;_&lt;ar&gt;FUSC Charge By Circuit</t>
  </si>
  <si>
    <t>&lt;prefix&gt;_&lt;mm&gt;_25_&lt;yyyy&gt;_&lt;ar&gt;Detailed BAN Error Report</t>
  </si>
  <si>
    <t>5D,5E_3 Month Period</t>
  </si>
  <si>
    <t>this report is run twice (5E), the 2nd time with different parameters, and named differently (adding "3 Month Period" at the end).  Suggestions?</t>
  </si>
  <si>
    <t>&lt;prefix&gt;_&lt;mm&gt;_25_&lt;yyyy&gt;_&lt;ar&gt;Usage Balancing Report</t>
  </si>
  <si>
    <t>6,13,16</t>
  </si>
  <si>
    <t>&lt;prefix&gt;_&lt;mm&gt;_25_&lt;yyyy&gt;_&lt;ar&gt;Factor Check Report</t>
  </si>
  <si>
    <t>cannont run via multi/AutoReports; send to client</t>
  </si>
  <si>
    <t>12Q,s2c</t>
  </si>
  <si>
    <t>15A Before,15F After</t>
  </si>
  <si>
    <t>&lt;prefix&gt;_&lt;mm&gt;_25_&lt;yyyy&gt;_&lt;ar&gt;Number of Invoices</t>
  </si>
  <si>
    <t>&lt;prefix&gt;_&lt;mm&gt;_25_&lt;yyyy&gt;_&lt;ar&gt;Aged Trial Balance for Export Report</t>
  </si>
  <si>
    <t>send to client</t>
  </si>
  <si>
    <t>&lt;prefix&gt;_&lt;mm&gt;_25_&lt;yyyy&gt;_&lt;ar&gt;Aged trial Balance Report</t>
  </si>
  <si>
    <t>&lt;prefix&gt;_&lt;mm&gt;_25_&lt;yyyy&gt;_&lt;ar&gt;Message MOU Revenue by BAN Report</t>
  </si>
  <si>
    <t>&lt;prefix&gt;_&lt;mm&gt;_22_&lt;yy&gt;_&lt;ar&gt;Detailed BAN Error Report</t>
  </si>
  <si>
    <t>&lt;prefix&gt;_&lt;mm&gt;_22_&lt;yy&gt;_&lt;ar&gt;Usage Balancing Report</t>
  </si>
  <si>
    <t>&lt;prefix&gt;_&lt;mm&gt;_22_&lt;yy&gt;_&lt;ar&gt;Factor Check Report</t>
  </si>
  <si>
    <t>12C,s2c</t>
  </si>
  <si>
    <t>&lt;prefix&gt;_&lt;mm&gt;_22_&lt;yy&gt;_&lt;ar&gt;Deletions Report</t>
  </si>
  <si>
    <t>15B Pre,15B Post</t>
  </si>
  <si>
    <t>&lt;prefix&gt;_&lt;mm&gt;_22_&lt;yy&gt;_&lt;ar&gt;Invoice Count</t>
  </si>
  <si>
    <t>&lt;prefix&gt;_&lt;mm&gt;_22_&lt;yy&gt;_&lt;ar&gt;Aged Trial Balance Report</t>
  </si>
  <si>
    <t>&lt;prefix&gt;_&lt;mm&gt;_22_&lt;yy&gt;_&lt;ar&gt;Message MOU Revenue by BAN Report</t>
  </si>
  <si>
    <t>&lt;prefix&gt;_&lt;mm&gt;_22_&lt;yy&gt;_&lt;ar&gt;Transaction Summary Report</t>
  </si>
  <si>
    <t>&lt;prefix&gt;_&lt;mm&gt;&lt;cy&gt;&lt;yy&gt;_&lt;ar&gt;AUR History Report</t>
  </si>
  <si>
    <t>&lt;prefix&gt;_&lt;mm&gt;&lt;cy&gt;&lt;yy&gt;_&lt;ar&gt;Detailed BAN Error Report</t>
  </si>
  <si>
    <t>5D,5E_3mo</t>
  </si>
  <si>
    <t>&lt;prefix&gt;_&lt;mm&gt;&lt;cy&gt;&lt;yy&gt;_&lt;ar&gt;Usage Balancing</t>
  </si>
  <si>
    <t>12B,s2c</t>
  </si>
  <si>
    <t>&lt;prefix&gt;_&lt;mm&gt;&lt;cy&gt;&lt;yy&gt;_&lt;ar&gt;Adjustments Report</t>
  </si>
  <si>
    <t>&lt;prefix&gt;_&lt;mm&gt;&lt;cy&gt;&lt;yy&gt;_&lt;ar&gt;OCCs</t>
  </si>
  <si>
    <t>&lt;prefix&gt;_&lt;mm&gt;&lt;cy&gt;&lt;yy&gt;_&lt;ar&gt;Number Of Invoices</t>
  </si>
  <si>
    <t>&lt;prefix&gt;_&lt;mm&gt;&lt;cy&gt;&lt;yy&gt;_&lt;ar&gt;Aged Trial Balance</t>
  </si>
  <si>
    <t>Billed By Period</t>
  </si>
  <si>
    <t>&lt;prefix&gt;_&lt;mm&gt;&lt;cy&gt;&lt;yy&gt;_&lt;ar&gt;Minutes_and_Rev_by_Rate_Element_Billed</t>
  </si>
  <si>
    <t>&lt;prefix&gt;_&lt;mm&gt;&lt;cy&gt;&lt;yy&gt;_&lt;ar&gt;Msg_MOU_Rev_BAN</t>
  </si>
  <si>
    <t>&lt;prefix&gt;_&lt;mm&gt;&lt;cy&gt;&lt;yy&gt;_&lt;ar&gt;Msg_Mou_Rev_Clli</t>
  </si>
  <si>
    <t>&lt;prefix&gt;_&lt;mm&gt;&lt;cy&gt;&lt;yy&gt;_&lt;ar&gt;Transaction Summary</t>
  </si>
  <si>
    <t>&lt;prefix&gt;_&lt;mm&gt;01&lt;yy&gt;_&lt;ar&gt;Factor Check Report</t>
  </si>
  <si>
    <t>&lt;prefix&gt;_&lt;mm&gt;01&lt;yy&gt;_&lt;ar&gt;Adjustments Report</t>
  </si>
  <si>
    <t>&lt;prefix&gt;_&lt;mm&gt;01&lt;yy&gt;_&lt;ar&gt;OCCs Report</t>
  </si>
  <si>
    <t>&lt;prefix&gt;_&lt;mm&gt;01&lt;yy&gt;_&lt;ar&gt;Message MOU Revenue by BAN Report</t>
  </si>
  <si>
    <t>&lt;prefix&gt;_&lt;mm&gt;01&lt;yy&gt;_&lt;ar&gt;Pre Transaction Summary Report</t>
  </si>
  <si>
    <t>&lt;prefix&gt;_&lt;mm&gt;01&lt;yy&gt;_&lt;ar&gt;Invoice Count</t>
  </si>
  <si>
    <t>&lt;prefix&gt;_&lt;mm&gt;01&lt;yy&gt;_&lt;ar&gt;Detailed BAN Error Report</t>
  </si>
  <si>
    <t>&lt;prefix&gt;_&lt;mm&gt;01&lt;yy&gt;_&lt;ar&gt;Detailed CLLI Error Report</t>
  </si>
  <si>
    <t>&lt;prefix&gt;_&lt;mm&gt;01&lt;yy&gt;_&lt;ar&gt;Usage Balancing Report</t>
  </si>
  <si>
    <t>&lt;prefix&gt;_&lt;mm&gt;01&lt;yy&gt;_&lt;ar&gt;Aged Trial Balance Report</t>
  </si>
  <si>
    <t>&lt;prefix&gt;_&lt;mm&gt;01&lt;yy&gt;_&lt;ar&gt;Billed by Period Report</t>
  </si>
  <si>
    <t>&lt;prefix&gt;_&lt;mm&gt;01&lt;yy&gt;_&lt;ar&gt;Invoice Balance Report</t>
  </si>
  <si>
    <t>&lt;prefix&gt;_&lt;mm&gt;01&lt;yy&gt;_&lt;ar&gt;MMR Report</t>
  </si>
  <si>
    <t>&lt;prefix&gt;_&lt;mm&gt;01&lt;yy&gt;_&lt;ar&gt;Message MOU Revenue by CLLI Report</t>
  </si>
  <si>
    <t>&lt;prefix&gt;_&lt;mm&gt;01&lt;yy&gt;_&lt;ar&gt;Revenue Analysis Report</t>
  </si>
  <si>
    <t>&lt;prefix&gt;_&lt;mm&gt;01&lt;yy&gt;_&lt;ar&gt;Aged Trial Balance for Export Report</t>
  </si>
  <si>
    <t>Combined_&lt;prefix&gt;_&lt;mm&gt;&lt;cy&gt;&lt;yy&gt;_&lt;ar&gt;Payment Report</t>
  </si>
  <si>
    <t>Combined_&lt;prefix&gt;_&lt;mm&gt;&lt;cy&gt;&lt;yy&gt;_&lt;ar&gt;Factor Change Audit Report</t>
  </si>
  <si>
    <t>Combined_&lt;prefix&gt;_&lt;mm&gt;&lt;cy&gt;&lt;yy&gt;_&lt;ar&gt;SOC Change Audit Report</t>
  </si>
  <si>
    <t>Combined_&lt;prefix&gt;_&lt;mm&gt;&lt;cy&gt;&lt;yy&gt;_&lt;ar&gt;Bill Completion Check Report</t>
  </si>
  <si>
    <t>Combined_&lt;prefix&gt;_&lt;mm&gt;&lt;cy&gt;&lt;yy&gt;_&lt;ar&gt;Facility BANS Trending Report</t>
  </si>
  <si>
    <t>Combined_&lt;prefix&gt;_&lt;mm&gt;&lt;cy&gt;&lt;yy&gt;_&lt;ar&gt;Adjustments Report</t>
  </si>
  <si>
    <t>Combined_&lt;prefix&gt;_&lt;mm&gt;&lt;cy&gt;&lt;yy&gt;_&lt;ar&gt;OCCs Report</t>
  </si>
  <si>
    <t>Combined_&lt;prefix&gt;_&lt;mm&gt;&lt;cy&gt;&lt;yy&gt;_&lt;ar&gt;Invoice Count</t>
  </si>
  <si>
    <t>Combined_&lt;prefix&gt;_&lt;mm&gt;&lt;cy&gt;&lt;yy&gt;_&lt;ar&gt;Adjustments Not Posted Report</t>
  </si>
  <si>
    <t>Combined_&lt;prefix&gt;_&lt;mm&gt;&lt;cy&gt;&lt;yy&gt;_&lt;ar&gt;Aged Trial Balance for Export Report</t>
  </si>
  <si>
    <t>Combined_&lt;prefix&gt;_&lt;mm&gt;&lt;cy&gt;&lt;yy&gt;_&lt;ar&gt;FA Charges Summary Report</t>
  </si>
  <si>
    <t>Combined_&lt;prefix&gt;_&lt;mm&gt;&lt;cy&gt;&lt;yy&gt;_&lt;ar&gt;FA Circuit Charges by CIC by CLLI Report</t>
  </si>
  <si>
    <t>Combined_&lt;prefix&gt;_&lt;mm&gt;&lt;cy&gt;&lt;yy&gt;_&lt;ar&gt;MMR Report</t>
  </si>
  <si>
    <t>Combined_&lt;prefix&gt;_&lt;mm&gt;&lt;cy&gt;&lt;yy&gt;_&lt;ar&gt;Revenue Analysis Report</t>
  </si>
  <si>
    <t>Combined_&lt;prefix&gt;_&lt;mm&gt;&lt;cy&gt;&lt;yy&gt;_&lt;ar&gt;Transaction Summary Report</t>
  </si>
  <si>
    <t>Combined_&lt;prefix&gt;_&lt;mm&gt;&lt;cy&gt;&lt;yy&gt;_&lt;ar&gt;Facility Circuit Charges Billed Disconnected</t>
  </si>
  <si>
    <t>Combined_&lt;prefix&gt;_&lt;mm&gt;&lt;cy&gt;&lt;yy&gt;_&lt;ar&gt;Payments</t>
  </si>
  <si>
    <t>Combined_&lt;mm&gt;&lt;yy&gt;_&lt;ar&gt;Factor Check Report with PVU</t>
  </si>
  <si>
    <t>Combined_&lt;mm&gt;&lt;yy&gt;_&lt;ar&gt;Bill Completion Check Report</t>
  </si>
  <si>
    <t>Combined_&lt;prefix&gt;_&lt;mm&gt;&lt;cy&gt;&lt;yy&gt;_&lt;ar&gt;Switched BANS Trending Report</t>
  </si>
  <si>
    <t>Combined_&lt;prefix&gt;_&lt;mm&gt;&lt;cy&gt;&lt;yy&gt;_&lt;ar&gt;Adjustment Report</t>
  </si>
  <si>
    <t>Combined_&lt;prefix&gt;_&lt;mm&gt;&lt;cy&gt;&lt;yy&gt;_&lt;ar&gt;OC&amp;C Report</t>
  </si>
  <si>
    <t>Combined_&lt;prefix&gt;_&lt;mm&gt;&lt;cy&gt;&lt;yy&gt;_&lt;ar&gt;Aged Trial Balance</t>
  </si>
  <si>
    <t>Combined_&lt;prefix&gt;_&lt;mm&gt;&lt;cy&gt;&lt;yy&gt;_&lt;ar&gt;Invoice Count Report</t>
  </si>
  <si>
    <t>Combined_&lt;mm&gt;&lt;yy&gt;_&lt;ar&gt;No BAN Report_Final</t>
  </si>
  <si>
    <t>Combined_&lt;mm&gt;&lt;yy&gt;_&lt;ar&gt;No CLLI Report</t>
  </si>
  <si>
    <t>4H, 4H_Full_Phone_Number</t>
  </si>
  <si>
    <t>Combined_&lt;mm&gt;&lt;yy&gt;_&lt;ar&gt;Exception Analysis Report</t>
  </si>
  <si>
    <t>Combined_&lt;mm&gt;&lt;yy&gt;_&lt;ar&gt;MOU Entries Error Report</t>
  </si>
  <si>
    <t>Combined_&lt;mm&gt;&lt;yy&gt;_&lt;ar&gt;Duplicate File Processing Report</t>
  </si>
  <si>
    <t xml:space="preserve">Combined_&lt;mm&gt;&lt;yy&gt;_&lt;ar&gt;Usage Verify by Size Report </t>
  </si>
  <si>
    <t>Combined_&lt;prefix&gt;_&lt;mm&gt;&lt;cy&gt;&lt;yy&gt;_&lt;ar&gt;Usage by Day Report</t>
  </si>
  <si>
    <t>5D,5E_3months</t>
  </si>
  <si>
    <t>Combined_&lt;prefix&gt;_&lt;mm&gt;&lt;cy&gt;&lt;yy&gt;_&lt;ar&gt;Billed by Period Report</t>
  </si>
  <si>
    <t>&lt;prefix&gt;_&lt;mm&gt;01&lt;yy&gt;_&lt;ar&gt;Payment Report</t>
  </si>
  <si>
    <t>&lt;prefix&gt;_&lt;mm&gt;01&lt;yy&gt;_&lt;ar&gt;Pre-ATB Report</t>
  </si>
  <si>
    <t>&lt;prefix&gt;_&lt;mm&gt;01&lt;yy&gt;_&lt;ar&gt;Usage by Day Report</t>
  </si>
  <si>
    <t>&lt;prefix&gt;_&lt;mm&gt;01&lt;yy&gt;_&lt;ar&gt;Aged trial Balance Report</t>
  </si>
  <si>
    <t>4A_Combined</t>
  </si>
  <si>
    <t>&lt;prefix&gt;_&lt;mm&gt;-05-&lt;yy&gt;_&lt;ar&gt;Detailed BAN Error Report</t>
  </si>
  <si>
    <t>4F_Combined</t>
  </si>
  <si>
    <t>4H_Combined</t>
  </si>
  <si>
    <t>4K_Combined</t>
  </si>
  <si>
    <t>&lt;prefix&gt;_&lt;mm&gt;-05-&lt;yy&gt;_&lt;ar&gt;MOU_Entry_Error_Report</t>
  </si>
  <si>
    <t>4L_Combined</t>
  </si>
  <si>
    <t>5A_Combined</t>
  </si>
  <si>
    <t>5C_Combined</t>
  </si>
  <si>
    <t>5D_Combined,5E_Combined_3 Month Period</t>
  </si>
  <si>
    <t>&lt;prefix&gt;_&lt;mm&gt;-05-&lt;yy&gt;_&lt;ar&gt;Usage_Balancing</t>
  </si>
  <si>
    <t>1B_Combined,6_Combined,13_Combined,16_Combined,26A_Combined,26I_Combined</t>
  </si>
  <si>
    <t>&lt;prefix&gt;_&lt;mm&gt;-05-&lt;yy&gt;_&lt;ar&gt;Payments</t>
  </si>
  <si>
    <t>8_Combined</t>
  </si>
  <si>
    <t>10_Combined</t>
  </si>
  <si>
    <t>9F_Combined</t>
  </si>
  <si>
    <t>&lt;prefix&gt;_&lt;mm&gt;-05-&lt;yy&gt;_&lt;ar&gt;Factor_Check</t>
  </si>
  <si>
    <t>10A_Combined</t>
  </si>
  <si>
    <t>11_Combined</t>
  </si>
  <si>
    <t>12A_Combined</t>
  </si>
  <si>
    <t>&lt;prefix&gt;_&lt;mm&gt;-05-&lt;yy&gt;_&lt;ar&gt;Active BANs</t>
  </si>
  <si>
    <t>12F_Combined</t>
  </si>
  <si>
    <t>12_Combined,Combined</t>
  </si>
  <si>
    <t>12H_Combined,Combined</t>
  </si>
  <si>
    <t>&lt;prefix&gt;_&lt;mm&gt;-05-&lt;yy&gt;_&lt;ar&gt;Pre-ATB</t>
  </si>
  <si>
    <t>13B_Combined</t>
  </si>
  <si>
    <t>&lt;prefix&gt;_&lt;mm&gt;-05-&lt;yy&gt;_&lt;ar&gt;Pre-MMR</t>
  </si>
  <si>
    <t>13C_Combined,Combined_Msg_MOU</t>
  </si>
  <si>
    <t>&lt;prefix&gt;_&lt;mm&gt;-05-&lt;yy&gt;_&lt;ar&gt;MSG MOU Rev Export</t>
  </si>
  <si>
    <t>13C_Combined,Combined_MMR</t>
  </si>
  <si>
    <t>&lt;prefix&gt;_&lt;mm&gt;-05-&lt;yy&gt;_&lt;ar&gt;Pre-Transaction Summary</t>
  </si>
  <si>
    <t>13D_Combined,Combined_Transaction Summary</t>
  </si>
  <si>
    <t>&lt;prefix&gt;_&lt;mm&gt;-05-&lt;yy&gt;_&lt;ar&gt;Adjustments</t>
  </si>
  <si>
    <t>13E_Combined</t>
  </si>
  <si>
    <t>&lt;prefix&gt;_&lt;mm&gt;-05-&lt;yy&gt;_&lt;ar&gt;OCCs</t>
  </si>
  <si>
    <t>13F_Combined</t>
  </si>
  <si>
    <t>&lt;prefix&gt;_&lt;mm&gt;-05-&lt;yy&gt;_&lt;ar&gt;Zero Rated Traffic Report</t>
  </si>
  <si>
    <t>13G_Combined</t>
  </si>
  <si>
    <t>&lt;prefix&gt;_&lt;mm&gt;-05-&lt;yy&gt;_&lt;ar&gt;Invoice Count</t>
  </si>
  <si>
    <t>21B_Combined</t>
  </si>
  <si>
    <t>&lt;prefix&gt;_&lt;mm&gt;-05-&lt;yy&gt;_&lt;ar&gt;Aged Trial Balance</t>
  </si>
  <si>
    <t>&lt;prefix&gt;_&lt;mm&gt;-05-&lt;yy&gt;_&lt;ar&gt;Inv_bal_by_juris_with_LPC</t>
  </si>
  <si>
    <t>&lt;prefix&gt;_&lt;mm&gt;-05-&lt;yy&gt;_&lt;ar&gt;MMR_Billed_By_Bill_Date_Usage_Period_Direction_Product</t>
  </si>
  <si>
    <t>&lt;prefix&gt;_&lt;mm&gt;-05-&lt;yy&gt;_&lt;ar&gt;Pre-Thresholding Export</t>
  </si>
  <si>
    <t>&lt;prefix&gt;_&lt;mm&gt;-05-&lt;yy&gt;_&lt;ar&gt;FF_11_Peerless_05_Multi_Report</t>
  </si>
  <si>
    <t>12C,12M</t>
  </si>
  <si>
    <t>&lt;prefix&gt;_&lt;mm&gt;01&lt;yy&gt;_&lt;ar&gt;Facility BANS Trending Report</t>
  </si>
  <si>
    <t>12D,12N</t>
  </si>
  <si>
    <t>6,16</t>
  </si>
  <si>
    <t>&lt;prefix&gt;_&lt;mm&gt;01&lt;yy&gt;_&lt;ar&gt;FA Charges Sumary Report</t>
  </si>
  <si>
    <t>&lt;prefix&gt;_&lt;mm&gt;01&lt;yy&gt;_&lt;ar&gt;FA Circuit Charges by CIC by CLLI Report</t>
  </si>
  <si>
    <t>Intrastate Terminating Revenue_NECA &lt;mm&gt;-01-&lt;yy&gt;</t>
  </si>
  <si>
    <t>&lt;prefix&gt;_&lt;mm&gt;01&lt;yy&gt;_&lt;ar&gt;Transaction Summary Report</t>
  </si>
  <si>
    <t>&lt;prefix&gt;_&lt;mm&gt;20&lt;yyyy&gt;_&lt;ar&gt;Usage Balancing</t>
  </si>
  <si>
    <t>&lt;prefix&gt;_&lt;mm&gt;20&lt;yyyy&gt;_&lt;ar&gt;Factor Check</t>
  </si>
  <si>
    <t>&lt;prefix&gt;_&lt;mm&gt;20&lt;yyyy&gt;_&lt;ar&gt;SW BANS Trending Report</t>
  </si>
  <si>
    <t>&lt;prefix&gt;_&lt;mm&gt;20&lt;yyyy&gt;_&lt;ar&gt;Adjustments</t>
  </si>
  <si>
    <t>&lt;prefix&gt;_&lt;mm&gt;20&lt;yyyy&gt;_&lt;ar&gt;OCCs</t>
  </si>
  <si>
    <t>&lt;prefix&gt;_&lt;mm&gt;20&lt;yyyy&gt;_&lt;ar&gt;Transaction Summary - bills only</t>
  </si>
  <si>
    <t>&lt;prefix&gt;_&lt;mm&gt;20&lt;yyyy&gt;_&lt;ar&gt;Invoice Count</t>
  </si>
  <si>
    <t>&lt;prefix&gt;_&lt;mm&gt;20&lt;yyyy&gt;_&lt;ar&gt;Aged Trial Balance</t>
  </si>
  <si>
    <t>&lt;prefix&gt;_&lt;mm&gt;20&lt;yyyy&gt;_&lt;ar&gt;Invoice Trending dir - jur</t>
  </si>
  <si>
    <t>&lt;prefix&gt;_&lt;mm&gt;20&lt;yyyy&gt;_&lt;ar&gt;Invoice Trending</t>
  </si>
  <si>
    <t>&lt;prefix&gt;_&lt;mm&gt;20&lt;yyyy&gt;_&lt;ar&gt;MMR by BAN</t>
  </si>
  <si>
    <t>&lt;prefix&gt;_&lt;mm&gt;20&lt;yyyy&gt;_&lt;ar&gt;MMR Export</t>
  </si>
  <si>
    <t>&lt;prefix&gt;_&lt;mm&gt;20&lt;yyyy&gt;_&lt;ar&gt;MOU Analysis</t>
  </si>
  <si>
    <t>AMBB</t>
  </si>
  <si>
    <t>&lt;prefix&gt;_&lt;mm&gt;_25_&lt;yyyy&gt;_&lt;ar&gt;Revenue</t>
  </si>
  <si>
    <t>Bendtel</t>
  </si>
  <si>
    <t>&lt;prefix&gt;_&lt;mm&gt;_22_&lt;yy&gt;_&lt;ar&gt;SOC Rate Comparison between companies</t>
  </si>
  <si>
    <t>GCI SW</t>
  </si>
  <si>
    <t>&lt;prefix&gt;_&lt;mm&gt;&lt;cy&gt;&lt;yy&gt;_&lt;ar&gt;Switched Billing Account - Factor Report</t>
  </si>
  <si>
    <t>&lt;prefix&gt;_&lt;mm&gt;01&lt;yy&gt;_&lt;ar&gt;Summary of Adjustments Report</t>
  </si>
  <si>
    <t>MTA FA</t>
  </si>
  <si>
    <t>MTA RC</t>
  </si>
  <si>
    <t>&lt;prefix&gt;_&lt;mm&gt;05&lt;yy&gt;_&lt;ar&gt;Payment Report</t>
  </si>
  <si>
    <t>MTA SW</t>
  </si>
  <si>
    <t>NT FA</t>
  </si>
  <si>
    <t>NT SW</t>
  </si>
  <si>
    <t>Onvoy</t>
  </si>
  <si>
    <t>Perless</t>
  </si>
  <si>
    <t>&lt;prefix&gt;_&lt;mm&gt;-05-&lt;yy&gt;_&lt;ar&gt;Usage Verify by Size Report</t>
  </si>
  <si>
    <t>&lt;prefix&gt;_&lt;mm&gt;20&lt;yyyy&gt;_&lt;ar&gt;Detailed BAN Error Report</t>
  </si>
  <si>
    <t>Access MSG and MOU billed by CLLI,FG,CIC</t>
  </si>
  <si>
    <t>Adjustments Detail Report - Posted</t>
  </si>
  <si>
    <t>Adjustments Detail Report - Unposted</t>
  </si>
  <si>
    <t>Aged Trial Balance by Company</t>
  </si>
  <si>
    <t>Amount billed/disputed/settled by month/carrier</t>
  </si>
  <si>
    <t>Amount billed/disputed/settled by qtr/carrier</t>
  </si>
  <si>
    <t>Amount billed-disputed-settled by month-carrier</t>
  </si>
  <si>
    <t>Amount billed-disputed-settled by qtr-carrier</t>
  </si>
  <si>
    <t>AS1000 Report</t>
  </si>
  <si>
    <t>AUR History Stats (Seconds)</t>
  </si>
  <si>
    <t>AUR History Summary</t>
  </si>
  <si>
    <t>AUR History Summary by Day</t>
  </si>
  <si>
    <t>Billed Minutes by Inter/Intra State</t>
  </si>
  <si>
    <t>Billed Minutes by Inter-Intra State</t>
  </si>
  <si>
    <t>Billed Minutes by Jurisdiction</t>
  </si>
  <si>
    <t>Billed minutes by Quarter by Inter/Intra State</t>
  </si>
  <si>
    <t>Billed minutes by Quarter by Inter-Intra State</t>
  </si>
  <si>
    <t>Billed Minutes by Quarter by Jurisdiction</t>
  </si>
  <si>
    <t>Billed Msg MOU Rev by BAN by Jurisdiction</t>
  </si>
  <si>
    <t>Billed Msg MOU Rev by CLLI by Jurisdiction</t>
  </si>
  <si>
    <t>CLNT aur_usage_by_day_co_v3</t>
  </si>
  <si>
    <t>CLNT billed_by_period_for_exp_4_v2</t>
  </si>
  <si>
    <t>CLNT cbeyond_m_m_r_to_export_v2</t>
  </si>
  <si>
    <t>CLNT ckt_billed_live_disco_v1</t>
  </si>
  <si>
    <t>CLNT gl_trans_from_adjustments_ban_v3</t>
  </si>
  <si>
    <t>CLNT gl_trans_from_occ_ban_v3</t>
  </si>
  <si>
    <t>CLNT invoice_balances_by_jur_w_lpc_v2</t>
  </si>
  <si>
    <t>CLNT nt_fa_acctg_detail_rpt_v1</t>
  </si>
  <si>
    <t>CLNT nt_fa_acctg_rpt_v1</t>
  </si>
  <si>
    <t>CLNT nt_m_m_r_p_to_export_v1</t>
  </si>
  <si>
    <t>CLNT nt_m_m_r_to_export_v1</t>
  </si>
  <si>
    <t>CLNT nt_rev_analysis_clli_2</t>
  </si>
  <si>
    <t>CLNT payment_by_date8_v2</t>
  </si>
  <si>
    <t>CLNT r_aged_trial_bal_1v3</t>
  </si>
  <si>
    <t>CLNT r_aged_trial_bal_for_export_v2</t>
  </si>
  <si>
    <t>CLNT r_sce_3_v3_2</t>
  </si>
  <si>
    <t>CLNT r_transaction_summary_bills_v2</t>
  </si>
  <si>
    <t>CLNT sw_invoice_trending_v6</t>
  </si>
  <si>
    <t>Company Master Report</t>
  </si>
  <si>
    <t>Detail of OCCs Posted - MTA</t>
  </si>
  <si>
    <t>Dispute amounts by type by month</t>
  </si>
  <si>
    <t>Dispute amounts by type by month by carrier</t>
  </si>
  <si>
    <t>Dispute amounts by type by quarter</t>
  </si>
  <si>
    <t>Dispute amounts by type by quarter by carrier</t>
  </si>
  <si>
    <t>Dispute amounts/carrier/month for a given year</t>
  </si>
  <si>
    <t>Dispute amounts/carrier/qtr for a given year</t>
  </si>
  <si>
    <t>Dispute amounts-carrier-month for a given year</t>
  </si>
  <si>
    <t>Dispute amounts-carrier-qtr for a given year</t>
  </si>
  <si>
    <t>EC1050 Report</t>
  </si>
  <si>
    <t>Facility BANs trending report - MTA</t>
  </si>
  <si>
    <t>Graph - Disputed Amounts by Carrier</t>
  </si>
  <si>
    <t>Graph - Disputed Amounts by Carrier by Date</t>
  </si>
  <si>
    <t>Graph - Disputed Amounts by dispute types</t>
  </si>
  <si>
    <t>Graph - Disputed Amounts vs Resolutions</t>
  </si>
  <si>
    <t>Graph - No. of Disputes by Carrier</t>
  </si>
  <si>
    <t>Graph - No. of Disputes by Carrier by Date</t>
  </si>
  <si>
    <t>Invoice Balance By Jur</t>
  </si>
  <si>
    <t>Manual Local to Tra/Tra</t>
  </si>
  <si>
    <t>Message Record Analysis</t>
  </si>
  <si>
    <t>Messages and minutes billed by FG,CIC</t>
  </si>
  <si>
    <t>Messages and minutes billed by FG,CIC(Local separa</t>
  </si>
  <si>
    <t>Minutes</t>
  </si>
  <si>
    <t>Minutes billed by BAN, Orig- Term Inter-Intra Stat</t>
  </si>
  <si>
    <t>Minutes billed by BAN, Orig/ Term Inter/Intra Stat</t>
  </si>
  <si>
    <t>MTAV5_Reports_Table</t>
  </si>
  <si>
    <t>MTAV5_Rpt_Argmnt</t>
  </si>
  <si>
    <t>Non FA Rate Element as Billed Table Report</t>
  </si>
  <si>
    <t>OCC Detail Report - Posted</t>
  </si>
  <si>
    <t>OCC Detail Report - Unposted</t>
  </si>
  <si>
    <t>Partially Paid Invoices</t>
  </si>
  <si>
    <t>Payment Details by Check</t>
  </si>
  <si>
    <t>Payments by Payer by BAN</t>
  </si>
  <si>
    <t>Payments Not on Bill</t>
  </si>
  <si>
    <t>Percent of disputes/billed per month/year</t>
  </si>
  <si>
    <t>Percent of disputes/billed per qtr/year</t>
  </si>
  <si>
    <t>Percent of disputes-billed per month-year</t>
  </si>
  <si>
    <t>Percent of disputes-billed per qtr-year</t>
  </si>
  <si>
    <t>Post billing rate change adj. calc. - FA</t>
  </si>
  <si>
    <t>Post billing rate change adj. calc. - SW</t>
  </si>
  <si>
    <t>Rate Element Table Report</t>
  </si>
  <si>
    <t>Reconciliation of account balance over time</t>
  </si>
  <si>
    <t>Resolved Disputes by carrier</t>
  </si>
  <si>
    <t>Revenue</t>
  </si>
  <si>
    <t>Revenue billed by BAN, Inter/Intra State</t>
  </si>
  <si>
    <t>Revenue billed by BAN, Inter-Intra State</t>
  </si>
  <si>
    <t>Security Report by User</t>
  </si>
  <si>
    <t>Security Report by Window</t>
  </si>
  <si>
    <t>SOC Jurisdiction Table Report</t>
  </si>
  <si>
    <t>SOC Rate Comparison between companies</t>
  </si>
  <si>
    <t>SOC Tariff Table Report</t>
  </si>
  <si>
    <t>Summary of Adjustments Report</t>
  </si>
  <si>
    <t>Summary of OCCs Report</t>
  </si>
  <si>
    <t>SW Usage Charges Summary by CLLI</t>
  </si>
  <si>
    <t>SW Usage Statistics Summary</t>
  </si>
  <si>
    <t>Switched BANs trending report - MTA</t>
  </si>
  <si>
    <t>Switched Billing Account - Factor Report</t>
  </si>
  <si>
    <t>Switched Billing Account - SOC Report</t>
  </si>
  <si>
    <t>Switched Billing Account - Wire Center Report</t>
  </si>
  <si>
    <t>Tariff Element Tracking</t>
  </si>
  <si>
    <t>Transaction Audit Detail</t>
  </si>
  <si>
    <t>Transaction Summary - adjustments only</t>
  </si>
  <si>
    <t>Transaction Summary - receipts only</t>
  </si>
  <si>
    <t>Transaction Summary by transaction/bill type</t>
  </si>
  <si>
    <t xml:space="preserve">Transaction Summary by transaction/bill type </t>
  </si>
  <si>
    <t>Transaction Summary by transaction-bill type</t>
  </si>
  <si>
    <t>Unposted Adjustments</t>
  </si>
  <si>
    <t>Unresolved Disputes by Carrier by code</t>
  </si>
  <si>
    <t>Unresolved Disputes by Carrier by month</t>
  </si>
  <si>
    <t>Usage Balancing - Company Totals</t>
  </si>
  <si>
    <t>Usage Balancing - Company, Ban, Clli Totals</t>
  </si>
  <si>
    <t>Usage Balancing - Company, Ban, Clli, TT Totals</t>
  </si>
  <si>
    <t>Usage Totaling Rule</t>
  </si>
  <si>
    <t>Wire Center Mileage Segment Report</t>
  </si>
  <si>
    <t>Wire Center Report</t>
  </si>
  <si>
    <t>ABRODV5_Reports_Table</t>
  </si>
  <si>
    <t>ABRODV5_Rpt_Argmnt</t>
  </si>
  <si>
    <t>Customer BAN Info 4 v3</t>
  </si>
  <si>
    <t>Invoice AR Info Report</t>
  </si>
  <si>
    <t>Revenue Analysis7</t>
  </si>
  <si>
    <t>Usage by Day Report - 3 Months</t>
  </si>
  <si>
    <t>BNDTLV5_Reports_Table</t>
  </si>
  <si>
    <t>BNDTLV5_Rpt_Argmnt</t>
  </si>
  <si>
    <t>Fulfillment BAN List Report</t>
  </si>
  <si>
    <t>Aging (MOU) - 15-60-90</t>
  </si>
  <si>
    <t>Aging (PEGS) - 15-60-90</t>
  </si>
  <si>
    <t>Aging (WOS) - 15-60-90</t>
  </si>
  <si>
    <t>All Record Type 720</t>
  </si>
  <si>
    <t>BAS Change Value</t>
  </si>
  <si>
    <t>BAS Gary Trans</t>
  </si>
  <si>
    <t>BAS History by Trans ID</t>
  </si>
  <si>
    <t>BAS History Name</t>
  </si>
  <si>
    <t>Bill Guarantee IOS/72V</t>
  </si>
  <si>
    <t>Bill Guarantee IOS/72V (All Sites)</t>
  </si>
  <si>
    <t>Bill Guarantee OTS/CABSTT</t>
  </si>
  <si>
    <t>Bill Guarantee OTS/CABSTT (All Sites)</t>
  </si>
  <si>
    <t>Bill Guarantee Query 2</t>
  </si>
  <si>
    <t>BJS Error BK</t>
  </si>
  <si>
    <t>BJS IBIS with  Msgs and MOUs</t>
  </si>
  <si>
    <t>Bob Incoming Error Volumes</t>
  </si>
  <si>
    <t>Bob Snapshot by Case for Site RC</t>
  </si>
  <si>
    <t>Bob Snapshot for Specifc Site RC</t>
  </si>
  <si>
    <t>Bob Test for Res Code on Rules</t>
  </si>
  <si>
    <t>Bobs CLLI Search</t>
  </si>
  <si>
    <t>Bobs Pegs by Site</t>
  </si>
  <si>
    <t>BRAVO Usage - Charge NPANXX</t>
  </si>
  <si>
    <t>BRAVO Usage - Originating NPANXX</t>
  </si>
  <si>
    <t>BRAVO Usage - Terminating NPANXX</t>
  </si>
  <si>
    <t>Bridget Case Transactions</t>
  </si>
  <si>
    <t>Bridget CHG RL for Month all Sites</t>
  </si>
  <si>
    <t>Bridget CLLI CIC History</t>
  </si>
  <si>
    <t>Bridget Find Usage by CIC</t>
  </si>
  <si>
    <t>Bridget ICO CLEC on Case</t>
  </si>
  <si>
    <t>Bridget Other Held Usage</t>
  </si>
  <si>
    <t>Bridget Other Usage</t>
  </si>
  <si>
    <t>Bridget Other Usage Older than ???</t>
  </si>
  <si>
    <t>Bridget R0 Aging Report</t>
  </si>
  <si>
    <t>Bridget Snapshot by Site with RC</t>
  </si>
  <si>
    <t>Bridget Snapshot by Site with RC with Case</t>
  </si>
  <si>
    <t>Bridget Transactions by RC</t>
  </si>
  <si>
    <t>Bridget User Activity for a Day</t>
  </si>
  <si>
    <t>Bridget WriteOff Delete Volumes with Res codes</t>
  </si>
  <si>
    <t>CMRS Detail Usage not Loaded by Site by Day</t>
  </si>
  <si>
    <t>DA vs Other Reports</t>
  </si>
  <si>
    <t>Days Old Held</t>
  </si>
  <si>
    <t>Days Old Other</t>
  </si>
  <si>
    <t>Factor Matrix - Check</t>
  </si>
  <si>
    <t>FUSC Charge by Circuit</t>
  </si>
  <si>
    <t>GCI - Aging Through A Selected Date</t>
  </si>
  <si>
    <t>GCI - Aging Thru A Date BAN Total</t>
  </si>
  <si>
    <t>GCI - Aging Thru A Date Invoice Totals</t>
  </si>
  <si>
    <t>GCI - Mts 705 Report</t>
  </si>
  <si>
    <t>GCI - Posted Payments Thru A Date</t>
  </si>
  <si>
    <t>GCI Aging Thru A Date BAN Totals v2</t>
  </si>
  <si>
    <t>GCI Aging Thru A Date Invoice Totals v2</t>
  </si>
  <si>
    <t>GCI Aging Thru Date</t>
  </si>
  <si>
    <t>GCI FA 705 Report</t>
  </si>
  <si>
    <t>GCI GLExtract Accruals</t>
  </si>
  <si>
    <t>GCI GLExtract Accruals with Ban</t>
  </si>
  <si>
    <t>GCI GLExtract All</t>
  </si>
  <si>
    <t>GCI GLExtract GLFeed</t>
  </si>
  <si>
    <t>GCI GLExtract Payments</t>
  </si>
  <si>
    <t>GCI GLExtract Payments with Ban</t>
  </si>
  <si>
    <t>GCI GLExtract Revenue</t>
  </si>
  <si>
    <t>GCI GLExtract Revenue  with Ban</t>
  </si>
  <si>
    <t>GCI GLExtract Trailers</t>
  </si>
  <si>
    <t>GCI MTS 705 Report</t>
  </si>
  <si>
    <t>GCI Payment By Date8</t>
  </si>
  <si>
    <t>GCI SOC Tariff Report</t>
  </si>
  <si>
    <t>GCI SOC Tariff Report with Schedule</t>
  </si>
  <si>
    <t>GCI SW Order Info Report</t>
  </si>
  <si>
    <t>GCI Wire Center Configuration Report</t>
  </si>
  <si>
    <t>GCI Wire Center Configuration2 Report</t>
  </si>
  <si>
    <t>GCI Wire Center Confiruration Report2</t>
  </si>
  <si>
    <t>GCIV5_Reports_Table</t>
  </si>
  <si>
    <t>GCIV5_Rpt_Argmnt</t>
  </si>
  <si>
    <t>Greg Transactions Date Range</t>
  </si>
  <si>
    <t>Identify Invalid Sub-cases</t>
  </si>
  <si>
    <t>Invoice Balance by Juris</t>
  </si>
  <si>
    <t>Lisa DETAIL MPB TRANSACTIONS</t>
  </si>
  <si>
    <t>Lori R0 ATXDR</t>
  </si>
  <si>
    <t>Non Common  Usage Excluded from Toni EOM</t>
  </si>
  <si>
    <t>OLK TEST</t>
  </si>
  <si>
    <t>Pilot Count 800 DB</t>
  </si>
  <si>
    <t>Pilot Count all PEGS</t>
  </si>
  <si>
    <t>Pilot Count CNAM</t>
  </si>
  <si>
    <t>Pilot Count CNAM 2</t>
  </si>
  <si>
    <t>Pilot Count CNAM 3</t>
  </si>
  <si>
    <t>Pilot Count CNAM BS</t>
  </si>
  <si>
    <t>Pilot Count CNAM Date</t>
  </si>
  <si>
    <t>Pilot Count FGK</t>
  </si>
  <si>
    <t>Pilot Count FGS</t>
  </si>
  <si>
    <t>Pilot Count LIDB</t>
  </si>
  <si>
    <t>Pilot Count LIDB 254</t>
  </si>
  <si>
    <t>Pilot Count LNPQFH</t>
  </si>
  <si>
    <t>Pilot Count Trigger Link</t>
  </si>
  <si>
    <t>Pilot Count VSN</t>
  </si>
  <si>
    <t>Pilot History 4</t>
  </si>
  <si>
    <t>Pilot IBIS MOU Count 03</t>
  </si>
  <si>
    <t>R0 Errors by NPA NXX Office</t>
  </si>
  <si>
    <t>R0 Errors by Orig NPX NXX Office</t>
  </si>
  <si>
    <t>Rules that Expire within 30 days</t>
  </si>
  <si>
    <t>Snapshot Internal with RC</t>
  </si>
  <si>
    <t>Snapshot Internal with RC First</t>
  </si>
  <si>
    <t>Snapshot Internal with RC Pegs</t>
  </si>
  <si>
    <t>Snapshot Internal with RC Pegs First</t>
  </si>
  <si>
    <t>SOCs on BAN Report</t>
  </si>
  <si>
    <t>Transaction Report by Case</t>
  </si>
  <si>
    <t>Transaction Report by Employee</t>
  </si>
  <si>
    <t>Transaction Report by Employee w/ Case Definition</t>
  </si>
  <si>
    <t>Transaction Report by Site</t>
  </si>
  <si>
    <t>Transactions by User by Date</t>
  </si>
  <si>
    <t>UNE Metrics Detail</t>
  </si>
  <si>
    <t>UNE Metrics Summary</t>
  </si>
  <si>
    <t>UNE Metrics Window</t>
  </si>
  <si>
    <t>Usage by CIC</t>
  </si>
  <si>
    <t>User Activity for a Day</t>
  </si>
  <si>
    <t>Invoice Balances Report</t>
  </si>
  <si>
    <t>MIEAC Usage Balancing</t>
  </si>
  <si>
    <t>MIEACV5_Reports_Table</t>
  </si>
  <si>
    <t>MIEACV5_Rpt_Argmnt</t>
  </si>
  <si>
    <t>MSG MOU REV Export - Facility</t>
  </si>
  <si>
    <t>SOCs on BANs</t>
  </si>
  <si>
    <t>Combined_&lt;prefix&gt;_&lt;mm&gt;&lt;cy&gt;&lt;yy&gt;_&lt;ar&gt;Message MOU Revenue by BAN Report</t>
  </si>
  <si>
    <t>Combined_&lt;prefix&gt;_&lt;mm&gt;&lt;cy&gt;&lt;yy&gt;_&lt;ar&gt;Billed Msg MOU Rev by CLLI by EMR Jurisdiction</t>
  </si>
  <si>
    <t>GCI SOC Tariiff Report with Schedule</t>
  </si>
  <si>
    <t>NTANDV5_Reports_Table</t>
  </si>
  <si>
    <t>NTANDV5_Rpt_Argmnt</t>
  </si>
  <si>
    <t>Combined_&lt;mm&gt;&lt;cy&gt;&lt;yy&gt;_Switched BANS Trending Report</t>
  </si>
  <si>
    <t>ONVOYV5_Reports_Table</t>
  </si>
  <si>
    <t>ONVOYV5_Rpt_Argmnt</t>
  </si>
  <si>
    <t>Payment Report Old</t>
  </si>
  <si>
    <t>PEERV5_Reports_Table</t>
  </si>
  <si>
    <t>PEERV5_Rpt_Argmnt</t>
  </si>
  <si>
    <t>SOCs on BANs Report (History optional)</t>
  </si>
  <si>
    <t>Switched BANS Trending Report JJS</t>
  </si>
  <si>
    <t>&lt;prefix&gt;_&lt;mm&gt;01&lt;yy&gt;_&lt;ar&gt;Billed Msg MOU Rev by BAN by Jurisdiction</t>
  </si>
  <si>
    <t>Find A Circuit and BAN</t>
  </si>
  <si>
    <t>MMR by BAN CLLI FA CIC</t>
  </si>
  <si>
    <t>SELCTV5_Reports_Table</t>
  </si>
  <si>
    <t>SELCTV5_Rpt_Argmnt</t>
  </si>
  <si>
    <t>Access Study by Lata</t>
  </si>
  <si>
    <t>Adjustment Approval Report</t>
  </si>
  <si>
    <t>Adjustment Approval Report - SPR</t>
  </si>
  <si>
    <t>Adjustment GL Trans by BAN Report - SPR</t>
  </si>
  <si>
    <t>Adjustment Report - SPR</t>
  </si>
  <si>
    <t>Aged Trial Balance by ACNA</t>
  </si>
  <si>
    <t>Aged Trial Balance by Juris_export</t>
  </si>
  <si>
    <t>Aged Trial Balance by Juris_export - SPR</t>
  </si>
  <si>
    <t>Aged Trial Balance for Export - SPR</t>
  </si>
  <si>
    <t>AUR History by day by FCCID for date range - SPR</t>
  </si>
  <si>
    <t>AUR History by Day, Co, BAN &amp; Direction</t>
  </si>
  <si>
    <t>AUR History Stats Report - Seconds</t>
  </si>
  <si>
    <t>AUR History Stats Report - SPR</t>
  </si>
  <si>
    <t>BAN Error Report - SPR</t>
  </si>
  <si>
    <t>Bill Completion Check Report - SPR</t>
  </si>
  <si>
    <t>Billed by Period Report - SPR</t>
  </si>
  <si>
    <t>Billing Recording CIC report - SPR</t>
  </si>
  <si>
    <t>CLLI Error Report - SPR</t>
  </si>
  <si>
    <t>Detail CLLI Error Report</t>
  </si>
  <si>
    <t>Detail CLLI Error Report - SPR</t>
  </si>
  <si>
    <t>Detailed BAN Error Report - SPR</t>
  </si>
  <si>
    <t>Duplicate File Processing Report - SPR</t>
  </si>
  <si>
    <t>Duplicate Processing Report All</t>
  </si>
  <si>
    <t>Exception Analysis Report - SPR</t>
  </si>
  <si>
    <t>Facility BANS Trending Report - SPR</t>
  </si>
  <si>
    <t>Factor Change Audit Report - SPR</t>
  </si>
  <si>
    <t>Factor Check Report - SPR</t>
  </si>
  <si>
    <t>Factors on BANS - SPR</t>
  </si>
  <si>
    <t>Fulfillment Ban List Report</t>
  </si>
  <si>
    <t>Fulfillment Ban List Report - SPR</t>
  </si>
  <si>
    <t>Interconnect by Business Unit</t>
  </si>
  <si>
    <t>Invoice Balances by Juris w/ ADJ and PMT - SPR</t>
  </si>
  <si>
    <t>Invoice Balances with Adjs and Pmts - SPR</t>
  </si>
  <si>
    <t>Invoice Count Report</t>
  </si>
  <si>
    <t>Invoice Count Report - SPR</t>
  </si>
  <si>
    <t>Invoice Media Now and at Fullfillment - SPR</t>
  </si>
  <si>
    <t>Invoice Number Search - SPR</t>
  </si>
  <si>
    <t>Invoice Trending by State Report for Export - SPR</t>
  </si>
  <si>
    <t>MOU Entries Error Report - SPR</t>
  </si>
  <si>
    <t>NON MOU Entry Error Report</t>
  </si>
  <si>
    <t>Notes Report</t>
  </si>
  <si>
    <t>&lt;prefix&gt;_&lt;mm&gt;20&lt;yyyy&gt;_&lt;ar&gt;OCC</t>
  </si>
  <si>
    <t>OC&amp;C GL Trans by BAN Report - SPR</t>
  </si>
  <si>
    <t>OC&amp;C Report - SPR</t>
  </si>
  <si>
    <t>Payment Details for Specific Check - SPR</t>
  </si>
  <si>
    <t>Payment Report - SPR</t>
  </si>
  <si>
    <t>Payment v402</t>
  </si>
  <si>
    <t>Revenue Analysis - SPR</t>
  </si>
  <si>
    <t>Revenue Analysis by CLLI - SPR</t>
  </si>
  <si>
    <t>Rolling 12 month AR analysis</t>
  </si>
  <si>
    <t>Rolling 12 month AR analysis - SPR</t>
  </si>
  <si>
    <t>SOC Change Audit Report - SPR</t>
  </si>
  <si>
    <t>SOCs on BANs Report (History optional) - SPR</t>
  </si>
  <si>
    <t>Sprint Invoice Transactions Report</t>
  </si>
  <si>
    <t>Sprint MOU Analysis for export - SPR</t>
  </si>
  <si>
    <t>SPRNTV5_Reports_Table</t>
  </si>
  <si>
    <t>SPRNTV5_Rpt_Argmnt</t>
  </si>
  <si>
    <t>SW BAN Trending of MOU by Dir and Jur - SPR</t>
  </si>
  <si>
    <t>SW BANS Trending Report (qty type detail) - SPR</t>
  </si>
  <si>
    <t>Switched BANS Trending Report - SPR</t>
  </si>
  <si>
    <t>Toll Free Verification</t>
  </si>
  <si>
    <t>Usage and File for a given invoice - SPR</t>
  </si>
  <si>
    <t>Usage and File for a given invoice V2 - SPR</t>
  </si>
  <si>
    <t>Usage Balancing - Company, First Time</t>
  </si>
  <si>
    <t>Usage Balancing Report_first time billing</t>
  </si>
  <si>
    <t>Usage by Day Report - 3 Months - SPR</t>
  </si>
  <si>
    <t>Usage by Day Report - SPR</t>
  </si>
  <si>
    <t>Usage Summary by Lata</t>
  </si>
  <si>
    <t>Usage Verify by Size Report - SPR</t>
  </si>
  <si>
    <t>1_</t>
  </si>
  <si>
    <t>1A_</t>
  </si>
  <si>
    <t>1B_</t>
  </si>
  <si>
    <t>NECA AS1</t>
  </si>
  <si>
    <t>NECA EC15</t>
  </si>
  <si>
    <t>BeforeRenaming</t>
  </si>
  <si>
    <t>AfterRenaming</t>
  </si>
  <si>
    <t>Code1</t>
  </si>
  <si>
    <t>Code2</t>
  </si>
  <si>
    <t>Code3</t>
  </si>
  <si>
    <t>ID</t>
  </si>
  <si>
    <t>MPSLocation</t>
  </si>
  <si>
    <t>ReportName</t>
  </si>
  <si>
    <t>FileLocation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</si>
</sst>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0" fillId="3" borderId="0" xfId="0" applyFill="1"/>
    <xf numFmtId="0" fontId="3" fillId="3" borderId="0" xfId="0" applyFont="1" applyFill="1"/>
    <xf numFmtId="0" fontId="2" fillId="3" borderId="0" xfId="0" applyFont="1" applyFill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0" fontId="3" fillId="4" borderId="0" xfId="0" applyFont="1" applyFill="1"/>
    <xf numFmtId="0" fontId="0" fillId="6" borderId="0" xfId="0" applyFill="1"/>
    <xf numFmtId="0" fontId="4" fillId="7" borderId="0" xfId="0" applyFont="1" applyFill="1"/>
    <xf numFmtId="0" fontId="3" fillId="0" borderId="0" xfId="0" applyFont="1"/>
    <xf numFmtId="0" fontId="0" fillId="0" borderId="0" xfId="0" applyAlignment="1">
      <alignment horizontal="center"/>
    </xf>
    <xf numFmtId="0" fontId="3" fillId="8" borderId="0" xfId="0" applyFont="1" applyFill="1"/>
    <xf numFmtId="0" fontId="0" fillId="8" borderId="0" xfId="0" applyFill="1"/>
    <xf numFmtId="0" fontId="3" fillId="6" borderId="0" xfId="0" applyFont="1" applyFill="1"/>
    <xf numFmtId="0" fontId="5" fillId="3" borderId="0" xfId="0" applyFont="1" applyFill="1"/>
    <xf numFmtId="0" fontId="6" fillId="0" borderId="0" xfId="0" applyFont="1"/>
    <xf numFmtId="49" fontId="0" fillId="0" borderId="0" xfId="0" applyNumberFormat="1"/>
    <xf numFmtId="0" fontId="0" fillId="9" borderId="0" xfId="0" applyFill="1"/>
    <xf numFmtId="49" fontId="0" fillId="3" borderId="0" xfId="0" applyNumberFormat="1" applyFill="1"/>
    <xf numFmtId="49" fontId="3" fillId="3" borderId="0" xfId="0" applyNumberFormat="1" applyFont="1" applyFill="1"/>
    <xf numFmtId="0" fontId="3" fillId="0" borderId="0" xfId="0" applyFont="1" applyAlignment="1">
      <alignment horizontal="center"/>
    </xf>
    <xf numFmtId="49" fontId="2" fillId="3" borderId="0" xfId="0" applyNumberFormat="1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0" fillId="4" borderId="0" xfId="0" applyNumberFormat="1" applyFill="1"/>
    <xf numFmtId="49" fontId="3" fillId="5" borderId="0" xfId="0" applyNumberFormat="1" applyFont="1" applyFill="1"/>
    <xf numFmtId="49" fontId="0" fillId="5" borderId="0" xfId="0" applyNumberFormat="1" applyFill="1"/>
    <xf numFmtId="49" fontId="3" fillId="4" borderId="0" xfId="0" applyNumberFormat="1" applyFont="1" applyFill="1"/>
    <xf numFmtId="49" fontId="0" fillId="6" borderId="0" xfId="0" applyNumberFormat="1" applyFill="1"/>
    <xf numFmtId="0" fontId="0" fillId="3" borderId="0" xfId="0" applyFill="1" applyAlignment="1">
      <alignment horizontal="left"/>
    </xf>
    <xf numFmtId="0" fontId="7" fillId="4" borderId="0" xfId="0" applyFont="1" applyFill="1"/>
    <xf numFmtId="0" fontId="3" fillId="10" borderId="0" xfId="0" applyFont="1" applyFill="1"/>
    <xf numFmtId="0" fontId="0" fillId="10" borderId="0" xfId="0" applyFill="1"/>
    <xf numFmtId="0" fontId="3" fillId="3" borderId="0" xfId="0" applyFont="1" applyFill="1" applyAlignment="1">
      <alignment horizontal="left"/>
    </xf>
    <xf numFmtId="0" fontId="0" fillId="11" borderId="0" xfId="0" applyFill="1"/>
    <xf numFmtId="0" fontId="0" fillId="0" borderId="0" xfId="0"/>
    <xf numFmtId="49" fontId="8" fillId="0" borderId="1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00"/>
  <sheetViews>
    <sheetView topLeftCell="A29" workbookViewId="0">
      <selection activeCell="B39" sqref="B39"/>
    </sheetView>
  </sheetViews>
  <sheetFormatPr defaultColWidth="9.140625" defaultRowHeight="15" x14ac:dyDescent="0.25"/>
  <cols>
    <col min="1" max="2" width="46.7109375" style="37" bestFit="1" customWidth="1"/>
    <col min="3" max="3" width="7" style="37" bestFit="1" customWidth="1"/>
    <col min="4" max="4" width="12.42578125" style="37" bestFit="1" customWidth="1"/>
    <col min="5" max="5" width="7" style="37" bestFit="1" customWidth="1"/>
    <col min="6" max="6" width="45.7109375" style="37" bestFit="1" customWidth="1"/>
    <col min="7" max="12" width="9.140625" style="37" customWidth="1"/>
    <col min="13" max="16384" width="9.140625" style="37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9" t="s">
        <v>5</v>
      </c>
    </row>
    <row r="2" spans="1:6" x14ac:dyDescent="0.25">
      <c r="A2" t="s">
        <v>6</v>
      </c>
      <c r="B2" t="s">
        <v>6</v>
      </c>
      <c r="C2">
        <v>0</v>
      </c>
      <c r="D2">
        <v>0</v>
      </c>
      <c r="E2">
        <v>0</v>
      </c>
      <c r="F2" s="9" t="s">
        <v>7</v>
      </c>
    </row>
    <row r="3" spans="1:6" x14ac:dyDescent="0.25">
      <c r="A3" t="s">
        <v>8</v>
      </c>
      <c r="B3" t="s">
        <v>8</v>
      </c>
      <c r="C3">
        <v>0</v>
      </c>
      <c r="D3">
        <v>0</v>
      </c>
      <c r="E3">
        <v>0</v>
      </c>
      <c r="F3" s="9" t="s">
        <v>9</v>
      </c>
    </row>
    <row r="4" spans="1:6" x14ac:dyDescent="0.25">
      <c r="A4" t="s">
        <v>10</v>
      </c>
      <c r="B4" t="s">
        <v>10</v>
      </c>
      <c r="C4" t="s">
        <v>11</v>
      </c>
      <c r="D4">
        <v>0</v>
      </c>
      <c r="E4">
        <v>0</v>
      </c>
      <c r="F4" s="9" t="s">
        <v>12</v>
      </c>
    </row>
    <row r="5" spans="1:6" x14ac:dyDescent="0.25">
      <c r="A5" t="s">
        <v>13</v>
      </c>
      <c r="B5" t="s">
        <v>14</v>
      </c>
      <c r="C5" t="s">
        <v>15</v>
      </c>
      <c r="D5">
        <v>0</v>
      </c>
      <c r="E5">
        <v>0</v>
      </c>
      <c r="F5" s="9" t="s">
        <v>16</v>
      </c>
    </row>
    <row r="6" spans="1:6" x14ac:dyDescent="0.25">
      <c r="A6" t="s">
        <v>17</v>
      </c>
      <c r="B6" t="s">
        <v>14</v>
      </c>
      <c r="C6" t="s">
        <v>15</v>
      </c>
      <c r="D6">
        <v>0</v>
      </c>
      <c r="E6">
        <v>0</v>
      </c>
      <c r="F6" s="9" t="s">
        <v>18</v>
      </c>
    </row>
    <row r="7" spans="1:6" x14ac:dyDescent="0.25">
      <c r="A7" t="s">
        <v>19</v>
      </c>
      <c r="B7" t="s">
        <v>14</v>
      </c>
      <c r="C7" t="s">
        <v>15</v>
      </c>
      <c r="D7">
        <v>0</v>
      </c>
      <c r="E7">
        <v>0</v>
      </c>
      <c r="F7" s="9" t="s">
        <v>20</v>
      </c>
    </row>
    <row r="8" spans="1:6" x14ac:dyDescent="0.25">
      <c r="A8" t="s">
        <v>7</v>
      </c>
      <c r="B8" t="s">
        <v>7</v>
      </c>
      <c r="C8" t="s">
        <v>21</v>
      </c>
      <c r="D8">
        <v>0</v>
      </c>
      <c r="E8">
        <v>0</v>
      </c>
      <c r="F8" s="9" t="s">
        <v>22</v>
      </c>
    </row>
    <row r="9" spans="1:6" x14ac:dyDescent="0.25">
      <c r="A9" t="s">
        <v>23</v>
      </c>
      <c r="B9" t="s">
        <v>24</v>
      </c>
      <c r="C9">
        <v>0</v>
      </c>
      <c r="D9">
        <v>0</v>
      </c>
      <c r="E9">
        <v>0</v>
      </c>
      <c r="F9" s="9" t="s">
        <v>25</v>
      </c>
    </row>
    <row r="10" spans="1:6" x14ac:dyDescent="0.25">
      <c r="A10" t="s">
        <v>26</v>
      </c>
      <c r="B10" t="s">
        <v>24</v>
      </c>
      <c r="C10">
        <v>0</v>
      </c>
      <c r="D10">
        <v>0</v>
      </c>
      <c r="E10">
        <v>0</v>
      </c>
      <c r="F10" s="9" t="s">
        <v>27</v>
      </c>
    </row>
    <row r="11" spans="1:6" x14ac:dyDescent="0.25">
      <c r="A11" t="s">
        <v>28</v>
      </c>
      <c r="B11" t="s">
        <v>24</v>
      </c>
      <c r="C11">
        <v>0</v>
      </c>
      <c r="D11">
        <v>0</v>
      </c>
      <c r="E11">
        <v>0</v>
      </c>
      <c r="F11" s="9" t="s">
        <v>29</v>
      </c>
    </row>
    <row r="12" spans="1:6" x14ac:dyDescent="0.25">
      <c r="A12" t="s">
        <v>30</v>
      </c>
      <c r="B12" t="s">
        <v>31</v>
      </c>
      <c r="C12">
        <v>0</v>
      </c>
      <c r="D12">
        <v>0</v>
      </c>
      <c r="E12">
        <v>0</v>
      </c>
      <c r="F12" s="9" t="s">
        <v>32</v>
      </c>
    </row>
    <row r="13" spans="1:6" x14ac:dyDescent="0.25">
      <c r="A13" t="s">
        <v>33</v>
      </c>
      <c r="B13" t="s">
        <v>31</v>
      </c>
      <c r="C13">
        <v>0</v>
      </c>
      <c r="D13">
        <v>0</v>
      </c>
      <c r="E13">
        <v>0</v>
      </c>
      <c r="F13" s="9" t="s">
        <v>34</v>
      </c>
    </row>
    <row r="14" spans="1:6" x14ac:dyDescent="0.25">
      <c r="A14" t="s">
        <v>9</v>
      </c>
      <c r="B14" t="s">
        <v>12</v>
      </c>
      <c r="C14" t="s">
        <v>35</v>
      </c>
      <c r="D14">
        <v>0</v>
      </c>
      <c r="E14">
        <v>0</v>
      </c>
      <c r="F14" s="9" t="s">
        <v>36</v>
      </c>
    </row>
    <row r="15" spans="1:6" x14ac:dyDescent="0.25">
      <c r="A15" t="s">
        <v>12</v>
      </c>
      <c r="B15" t="s">
        <v>12</v>
      </c>
      <c r="C15" t="s">
        <v>35</v>
      </c>
      <c r="D15">
        <v>0</v>
      </c>
      <c r="E15">
        <v>0</v>
      </c>
      <c r="F15" s="9" t="s">
        <v>37</v>
      </c>
    </row>
    <row r="16" spans="1:6" x14ac:dyDescent="0.25">
      <c r="A16" t="s">
        <v>38</v>
      </c>
      <c r="B16" t="s">
        <v>38</v>
      </c>
      <c r="C16">
        <v>0</v>
      </c>
      <c r="D16">
        <v>0</v>
      </c>
      <c r="E16">
        <v>0</v>
      </c>
      <c r="F16" s="9" t="s">
        <v>39</v>
      </c>
    </row>
    <row r="17" spans="1:6" x14ac:dyDescent="0.25">
      <c r="A17" t="s">
        <v>40</v>
      </c>
      <c r="B17" t="s">
        <v>40</v>
      </c>
      <c r="C17">
        <v>0</v>
      </c>
      <c r="D17">
        <v>0</v>
      </c>
      <c r="E17">
        <v>0</v>
      </c>
      <c r="F17" s="9" t="s">
        <v>41</v>
      </c>
    </row>
    <row r="18" spans="1:6" x14ac:dyDescent="0.25">
      <c r="A18" t="s">
        <v>16</v>
      </c>
      <c r="B18" t="s">
        <v>16</v>
      </c>
      <c r="C18" t="s">
        <v>42</v>
      </c>
      <c r="D18">
        <v>0</v>
      </c>
      <c r="E18">
        <v>0</v>
      </c>
      <c r="F18" s="9" t="s">
        <v>43</v>
      </c>
    </row>
    <row r="19" spans="1:6" x14ac:dyDescent="0.25">
      <c r="A19" t="s">
        <v>44</v>
      </c>
      <c r="B19" t="s">
        <v>40</v>
      </c>
      <c r="C19">
        <v>0</v>
      </c>
      <c r="D19">
        <v>0</v>
      </c>
      <c r="E19">
        <v>0</v>
      </c>
      <c r="F19" s="9" t="s">
        <v>45</v>
      </c>
    </row>
    <row r="20" spans="1:6" x14ac:dyDescent="0.25">
      <c r="A20" t="s">
        <v>46</v>
      </c>
      <c r="B20" t="s">
        <v>40</v>
      </c>
      <c r="C20">
        <v>0</v>
      </c>
      <c r="D20">
        <v>0</v>
      </c>
      <c r="E20">
        <v>0</v>
      </c>
      <c r="F20" s="9" t="s">
        <v>47</v>
      </c>
    </row>
    <row r="21" spans="1:6" x14ac:dyDescent="0.25">
      <c r="A21" t="s">
        <v>48</v>
      </c>
      <c r="B21" t="s">
        <v>40</v>
      </c>
      <c r="C21">
        <v>0</v>
      </c>
      <c r="D21">
        <v>0</v>
      </c>
      <c r="E21">
        <v>0</v>
      </c>
      <c r="F21" s="9"/>
    </row>
    <row r="22" spans="1:6" x14ac:dyDescent="0.25">
      <c r="A22" t="s">
        <v>49</v>
      </c>
      <c r="B22" t="s">
        <v>50</v>
      </c>
      <c r="C22">
        <v>0</v>
      </c>
      <c r="D22">
        <v>0</v>
      </c>
      <c r="E22">
        <v>0</v>
      </c>
      <c r="F22" s="9"/>
    </row>
    <row r="23" spans="1:6" x14ac:dyDescent="0.25">
      <c r="A23" t="s">
        <v>51</v>
      </c>
      <c r="B23" t="s">
        <v>52</v>
      </c>
      <c r="C23">
        <v>0</v>
      </c>
      <c r="D23">
        <v>0</v>
      </c>
      <c r="E23">
        <v>0</v>
      </c>
      <c r="F23" s="9"/>
    </row>
    <row r="24" spans="1:6" x14ac:dyDescent="0.25">
      <c r="A24" t="s">
        <v>53</v>
      </c>
      <c r="B24" t="s">
        <v>54</v>
      </c>
      <c r="C24">
        <v>0</v>
      </c>
      <c r="D24">
        <v>0</v>
      </c>
      <c r="E24">
        <v>0</v>
      </c>
      <c r="F24" s="9"/>
    </row>
    <row r="25" spans="1:6" x14ac:dyDescent="0.25">
      <c r="A25" t="s">
        <v>55</v>
      </c>
      <c r="B25" t="s">
        <v>56</v>
      </c>
      <c r="C25">
        <v>0</v>
      </c>
      <c r="D25">
        <v>0</v>
      </c>
      <c r="E25">
        <v>0</v>
      </c>
      <c r="F25" s="9"/>
    </row>
    <row r="26" spans="1:6" x14ac:dyDescent="0.25">
      <c r="A26" t="s">
        <v>57</v>
      </c>
      <c r="B26" t="s">
        <v>58</v>
      </c>
      <c r="C26" t="s">
        <v>59</v>
      </c>
      <c r="D26">
        <v>0</v>
      </c>
      <c r="E26">
        <v>0</v>
      </c>
      <c r="F26" s="9"/>
    </row>
    <row r="27" spans="1:6" x14ac:dyDescent="0.25">
      <c r="A27" t="s">
        <v>60</v>
      </c>
      <c r="B27" t="s">
        <v>58</v>
      </c>
      <c r="C27" t="s">
        <v>59</v>
      </c>
      <c r="D27">
        <v>0</v>
      </c>
      <c r="E27">
        <v>0</v>
      </c>
      <c r="F27" s="9"/>
    </row>
    <row r="28" spans="1:6" x14ac:dyDescent="0.25">
      <c r="A28" t="s">
        <v>61</v>
      </c>
      <c r="B28" t="s">
        <v>58</v>
      </c>
      <c r="C28" t="s">
        <v>59</v>
      </c>
      <c r="D28">
        <v>0</v>
      </c>
      <c r="E28">
        <v>0</v>
      </c>
      <c r="F28" s="9"/>
    </row>
    <row r="29" spans="1:6" x14ac:dyDescent="0.25">
      <c r="A29" t="s">
        <v>62</v>
      </c>
      <c r="B29" t="s">
        <v>62</v>
      </c>
      <c r="C29">
        <v>0</v>
      </c>
      <c r="D29">
        <v>0</v>
      </c>
      <c r="E29">
        <v>0</v>
      </c>
      <c r="F29" s="9"/>
    </row>
    <row r="30" spans="1:6" x14ac:dyDescent="0.25">
      <c r="A30" t="s">
        <v>63</v>
      </c>
      <c r="B30" t="s">
        <v>63</v>
      </c>
      <c r="C30">
        <v>0</v>
      </c>
      <c r="D30">
        <v>0</v>
      </c>
      <c r="E30">
        <v>0</v>
      </c>
      <c r="F30" s="9"/>
    </row>
    <row r="31" spans="1:6" x14ac:dyDescent="0.25">
      <c r="A31" t="s">
        <v>18</v>
      </c>
      <c r="B31" t="s">
        <v>18</v>
      </c>
      <c r="C31" t="s">
        <v>64</v>
      </c>
      <c r="D31">
        <v>0</v>
      </c>
      <c r="E31">
        <v>0</v>
      </c>
      <c r="F31" s="9"/>
    </row>
    <row r="32" spans="1:6" x14ac:dyDescent="0.25">
      <c r="A32" t="s">
        <v>20</v>
      </c>
      <c r="B32" t="s">
        <v>18</v>
      </c>
      <c r="C32" t="s">
        <v>64</v>
      </c>
      <c r="D32">
        <v>0</v>
      </c>
      <c r="E32">
        <v>0</v>
      </c>
      <c r="F32" s="9"/>
    </row>
    <row r="33" spans="1:6" x14ac:dyDescent="0.25">
      <c r="A33" t="s">
        <v>22</v>
      </c>
      <c r="B33" t="s">
        <v>22</v>
      </c>
      <c r="C33" t="s">
        <v>65</v>
      </c>
      <c r="D33">
        <v>0</v>
      </c>
      <c r="E33">
        <v>0</v>
      </c>
      <c r="F33" s="9"/>
    </row>
    <row r="34" spans="1:6" x14ac:dyDescent="0.25">
      <c r="A34" t="s">
        <v>25</v>
      </c>
      <c r="B34" t="s">
        <v>22</v>
      </c>
      <c r="C34" t="s">
        <v>65</v>
      </c>
      <c r="D34">
        <v>0</v>
      </c>
      <c r="E34">
        <v>0</v>
      </c>
      <c r="F34" s="9"/>
    </row>
    <row r="35" spans="1:6" x14ac:dyDescent="0.25">
      <c r="A35" t="s">
        <v>27</v>
      </c>
      <c r="B35" t="s">
        <v>27</v>
      </c>
      <c r="C35" t="s">
        <v>66</v>
      </c>
      <c r="D35">
        <v>0</v>
      </c>
      <c r="E35">
        <v>0</v>
      </c>
      <c r="F35" s="9"/>
    </row>
    <row r="36" spans="1:6" x14ac:dyDescent="0.25">
      <c r="A36" t="s">
        <v>29</v>
      </c>
      <c r="B36" t="s">
        <v>29</v>
      </c>
      <c r="C36" t="s">
        <v>67</v>
      </c>
      <c r="D36">
        <v>0</v>
      </c>
      <c r="E36">
        <v>0</v>
      </c>
      <c r="F36" s="9"/>
    </row>
    <row r="37" spans="1:6" x14ac:dyDescent="0.25">
      <c r="A37" t="s">
        <v>68</v>
      </c>
      <c r="B37" t="s">
        <v>69</v>
      </c>
      <c r="C37">
        <v>0</v>
      </c>
      <c r="D37">
        <v>0</v>
      </c>
      <c r="E37">
        <v>0</v>
      </c>
      <c r="F37" s="9"/>
    </row>
    <row r="38" spans="1:6" x14ac:dyDescent="0.25">
      <c r="A38" t="s">
        <v>70</v>
      </c>
      <c r="B38" t="s">
        <v>70</v>
      </c>
      <c r="C38">
        <v>0</v>
      </c>
      <c r="D38">
        <v>0</v>
      </c>
      <c r="E38">
        <v>0</v>
      </c>
      <c r="F38" s="9"/>
    </row>
    <row r="39" spans="1:6" x14ac:dyDescent="0.25">
      <c r="A39" t="s">
        <v>71</v>
      </c>
      <c r="B39" t="s">
        <v>71</v>
      </c>
      <c r="C39">
        <v>0</v>
      </c>
      <c r="D39">
        <v>0</v>
      </c>
      <c r="E39">
        <v>0</v>
      </c>
      <c r="F39" s="9"/>
    </row>
    <row r="40" spans="1:6" x14ac:dyDescent="0.25">
      <c r="A40" t="s">
        <v>69</v>
      </c>
      <c r="B40" t="s">
        <v>69</v>
      </c>
      <c r="C40" t="s">
        <v>72</v>
      </c>
      <c r="D40" t="s">
        <v>73</v>
      </c>
      <c r="E40" t="s">
        <v>74</v>
      </c>
      <c r="F40" s="9"/>
    </row>
    <row r="41" spans="1:6" x14ac:dyDescent="0.25">
      <c r="A41" t="s">
        <v>56</v>
      </c>
      <c r="B41" t="s">
        <v>56</v>
      </c>
      <c r="C41">
        <v>0</v>
      </c>
      <c r="D41">
        <v>0</v>
      </c>
      <c r="E41">
        <v>0</v>
      </c>
      <c r="F41" s="9"/>
    </row>
    <row r="42" spans="1:6" x14ac:dyDescent="0.25">
      <c r="A42" t="s">
        <v>32</v>
      </c>
      <c r="B42" t="s">
        <v>32</v>
      </c>
      <c r="C42" t="s">
        <v>75</v>
      </c>
      <c r="D42">
        <v>0</v>
      </c>
      <c r="E42">
        <v>0</v>
      </c>
      <c r="F42" s="9"/>
    </row>
    <row r="43" spans="1:6" x14ac:dyDescent="0.25">
      <c r="A43" t="s">
        <v>34</v>
      </c>
      <c r="B43" t="s">
        <v>34</v>
      </c>
      <c r="C43" t="s">
        <v>76</v>
      </c>
      <c r="D43">
        <v>0</v>
      </c>
      <c r="E43">
        <v>0</v>
      </c>
      <c r="F43" s="9"/>
    </row>
    <row r="44" spans="1:6" x14ac:dyDescent="0.25">
      <c r="A44" t="s">
        <v>36</v>
      </c>
      <c r="B44" t="s">
        <v>36</v>
      </c>
      <c r="C44" t="s">
        <v>77</v>
      </c>
      <c r="D44">
        <v>0</v>
      </c>
      <c r="E44">
        <v>0</v>
      </c>
      <c r="F44" s="9"/>
    </row>
    <row r="45" spans="1:6" x14ac:dyDescent="0.25">
      <c r="A45" t="s">
        <v>37</v>
      </c>
      <c r="B45" t="s">
        <v>37</v>
      </c>
      <c r="C45">
        <v>0</v>
      </c>
      <c r="D45">
        <v>0</v>
      </c>
      <c r="E45">
        <v>0</v>
      </c>
      <c r="F45" s="9"/>
    </row>
    <row r="46" spans="1:6" x14ac:dyDescent="0.25">
      <c r="A46" t="s">
        <v>78</v>
      </c>
      <c r="B46" t="s">
        <v>78</v>
      </c>
      <c r="C46">
        <v>0</v>
      </c>
      <c r="D46">
        <v>0</v>
      </c>
      <c r="E46">
        <v>0</v>
      </c>
      <c r="F46" s="9"/>
    </row>
    <row r="47" spans="1:6" x14ac:dyDescent="0.25">
      <c r="A47" t="s">
        <v>79</v>
      </c>
      <c r="B47" t="s">
        <v>79</v>
      </c>
      <c r="C47">
        <v>0</v>
      </c>
      <c r="D47">
        <v>0</v>
      </c>
      <c r="E47">
        <v>0</v>
      </c>
      <c r="F47" s="9"/>
    </row>
    <row r="48" spans="1:6" x14ac:dyDescent="0.25">
      <c r="A48" t="s">
        <v>80</v>
      </c>
      <c r="B48" t="s">
        <v>80</v>
      </c>
      <c r="C48">
        <v>0</v>
      </c>
      <c r="D48">
        <v>0</v>
      </c>
      <c r="E48">
        <v>0</v>
      </c>
      <c r="F48" s="9"/>
    </row>
    <row r="49" spans="1:6" x14ac:dyDescent="0.25">
      <c r="A49" t="s">
        <v>81</v>
      </c>
      <c r="B49" t="s">
        <v>54</v>
      </c>
      <c r="C49">
        <v>0</v>
      </c>
      <c r="D49">
        <v>0</v>
      </c>
      <c r="E49">
        <v>0</v>
      </c>
      <c r="F49" s="9"/>
    </row>
    <row r="50" spans="1:6" x14ac:dyDescent="0.25">
      <c r="A50" t="s">
        <v>54</v>
      </c>
      <c r="B50" t="s">
        <v>54</v>
      </c>
      <c r="C50">
        <v>0</v>
      </c>
      <c r="D50">
        <v>0</v>
      </c>
      <c r="E50">
        <v>0</v>
      </c>
      <c r="F50" s="9"/>
    </row>
    <row r="51" spans="1:6" x14ac:dyDescent="0.25">
      <c r="A51" t="s">
        <v>82</v>
      </c>
      <c r="B51" t="s">
        <v>82</v>
      </c>
      <c r="C51">
        <v>0</v>
      </c>
      <c r="D51">
        <v>0</v>
      </c>
      <c r="E51">
        <v>0</v>
      </c>
      <c r="F51" s="9"/>
    </row>
    <row r="52" spans="1:6" x14ac:dyDescent="0.25">
      <c r="A52" t="s">
        <v>83</v>
      </c>
      <c r="B52" t="s">
        <v>84</v>
      </c>
      <c r="C52">
        <v>0</v>
      </c>
      <c r="D52">
        <v>0</v>
      </c>
      <c r="E52">
        <v>0</v>
      </c>
      <c r="F52" s="9"/>
    </row>
    <row r="53" spans="1:6" x14ac:dyDescent="0.25">
      <c r="A53" t="s">
        <v>84</v>
      </c>
      <c r="B53" t="s">
        <v>84</v>
      </c>
      <c r="C53">
        <v>0</v>
      </c>
      <c r="D53">
        <v>0</v>
      </c>
      <c r="E53">
        <v>0</v>
      </c>
      <c r="F53" s="9"/>
    </row>
    <row r="54" spans="1:6" x14ac:dyDescent="0.25">
      <c r="A54" t="s">
        <v>85</v>
      </c>
      <c r="B54" t="s">
        <v>58</v>
      </c>
      <c r="C54" t="s">
        <v>59</v>
      </c>
      <c r="D54">
        <v>0</v>
      </c>
      <c r="E54">
        <v>0</v>
      </c>
      <c r="F54" s="9"/>
    </row>
    <row r="55" spans="1:6" x14ac:dyDescent="0.25">
      <c r="A55" t="s">
        <v>86</v>
      </c>
      <c r="B55" t="s">
        <v>58</v>
      </c>
      <c r="C55" t="s">
        <v>59</v>
      </c>
      <c r="D55">
        <v>0</v>
      </c>
      <c r="E55">
        <v>0</v>
      </c>
      <c r="F55" s="9"/>
    </row>
    <row r="56" spans="1:6" x14ac:dyDescent="0.25">
      <c r="A56" t="s">
        <v>87</v>
      </c>
      <c r="B56" t="s">
        <v>58</v>
      </c>
      <c r="C56" t="s">
        <v>59</v>
      </c>
      <c r="D56">
        <v>0</v>
      </c>
      <c r="E56">
        <v>0</v>
      </c>
      <c r="F56" s="9"/>
    </row>
    <row r="57" spans="1:6" x14ac:dyDescent="0.25">
      <c r="A57" t="s">
        <v>88</v>
      </c>
      <c r="B57" t="s">
        <v>88</v>
      </c>
      <c r="C57">
        <v>0</v>
      </c>
      <c r="D57">
        <v>0</v>
      </c>
      <c r="E57">
        <v>0</v>
      </c>
      <c r="F57" s="9"/>
    </row>
    <row r="58" spans="1:6" x14ac:dyDescent="0.25">
      <c r="A58" t="s">
        <v>89</v>
      </c>
      <c r="B58" t="s">
        <v>89</v>
      </c>
      <c r="C58">
        <v>0</v>
      </c>
      <c r="D58">
        <v>0</v>
      </c>
      <c r="E58">
        <v>0</v>
      </c>
      <c r="F58" s="9"/>
    </row>
    <row r="59" spans="1:6" x14ac:dyDescent="0.25">
      <c r="A59" t="s">
        <v>90</v>
      </c>
      <c r="B59" t="s">
        <v>90</v>
      </c>
      <c r="C59">
        <v>0</v>
      </c>
      <c r="D59">
        <v>0</v>
      </c>
      <c r="E59">
        <v>0</v>
      </c>
      <c r="F59" s="9"/>
    </row>
    <row r="60" spans="1:6" x14ac:dyDescent="0.25">
      <c r="A60" t="s">
        <v>91</v>
      </c>
      <c r="B60" t="s">
        <v>91</v>
      </c>
      <c r="C60">
        <v>0</v>
      </c>
      <c r="D60">
        <v>0</v>
      </c>
      <c r="E60">
        <v>0</v>
      </c>
      <c r="F60" s="9"/>
    </row>
    <row r="61" spans="1:6" x14ac:dyDescent="0.25">
      <c r="A61" t="s">
        <v>92</v>
      </c>
      <c r="B61" t="s">
        <v>92</v>
      </c>
      <c r="C61">
        <v>0</v>
      </c>
      <c r="D61">
        <v>0</v>
      </c>
      <c r="E61">
        <v>0</v>
      </c>
      <c r="F61" s="9"/>
    </row>
    <row r="62" spans="1:6" x14ac:dyDescent="0.25">
      <c r="A62" t="s">
        <v>93</v>
      </c>
      <c r="B62" t="s">
        <v>93</v>
      </c>
      <c r="C62">
        <v>0</v>
      </c>
      <c r="D62">
        <v>0</v>
      </c>
      <c r="E62">
        <v>0</v>
      </c>
      <c r="F62" s="9"/>
    </row>
    <row r="63" spans="1:6" x14ac:dyDescent="0.25">
      <c r="A63" t="s">
        <v>47</v>
      </c>
      <c r="B63" t="s">
        <v>47</v>
      </c>
      <c r="C63" t="s">
        <v>94</v>
      </c>
      <c r="D63">
        <v>0</v>
      </c>
      <c r="E63">
        <v>0</v>
      </c>
      <c r="F63" s="9"/>
    </row>
    <row r="64" spans="1:6" x14ac:dyDescent="0.25">
      <c r="A64" t="s">
        <v>95</v>
      </c>
      <c r="B64" t="s">
        <v>96</v>
      </c>
      <c r="C64">
        <v>0</v>
      </c>
      <c r="D64">
        <v>0</v>
      </c>
      <c r="E64">
        <v>0</v>
      </c>
      <c r="F64" s="9"/>
    </row>
    <row r="65" spans="1:6" x14ac:dyDescent="0.25">
      <c r="A65" t="s">
        <v>97</v>
      </c>
      <c r="B65" t="s">
        <v>96</v>
      </c>
      <c r="C65">
        <v>0</v>
      </c>
      <c r="D65">
        <v>0</v>
      </c>
      <c r="E65">
        <v>0</v>
      </c>
      <c r="F65" s="9"/>
    </row>
    <row r="66" spans="1:6" x14ac:dyDescent="0.25">
      <c r="A66" t="s">
        <v>98</v>
      </c>
      <c r="B66" t="s">
        <v>98</v>
      </c>
      <c r="C66">
        <v>0</v>
      </c>
      <c r="D66">
        <v>0</v>
      </c>
      <c r="E66">
        <v>0</v>
      </c>
      <c r="F66" s="9"/>
    </row>
    <row r="67" spans="1:6" x14ac:dyDescent="0.25">
      <c r="A67" t="s">
        <v>99</v>
      </c>
      <c r="B67" t="s">
        <v>96</v>
      </c>
      <c r="C67">
        <v>0</v>
      </c>
      <c r="D67">
        <v>0</v>
      </c>
      <c r="E67">
        <v>0</v>
      </c>
      <c r="F67" s="9"/>
    </row>
    <row r="68" spans="1:6" x14ac:dyDescent="0.25">
      <c r="A68" t="s">
        <v>100</v>
      </c>
      <c r="B68" t="s">
        <v>100</v>
      </c>
      <c r="C68">
        <v>0</v>
      </c>
      <c r="D68">
        <v>0</v>
      </c>
      <c r="E68">
        <v>0</v>
      </c>
      <c r="F68" s="9"/>
    </row>
    <row r="69" spans="1:6" x14ac:dyDescent="0.25">
      <c r="A69" t="s">
        <v>101</v>
      </c>
      <c r="B69" t="s">
        <v>101</v>
      </c>
      <c r="C69">
        <v>0</v>
      </c>
      <c r="D69">
        <v>0</v>
      </c>
      <c r="E69">
        <v>0</v>
      </c>
      <c r="F69" s="9"/>
    </row>
    <row r="70" spans="1:6" x14ac:dyDescent="0.25">
      <c r="A70" t="s">
        <v>102</v>
      </c>
      <c r="B70" t="s">
        <v>103</v>
      </c>
      <c r="C70" t="s">
        <v>104</v>
      </c>
      <c r="D70">
        <v>0</v>
      </c>
      <c r="E70">
        <v>0</v>
      </c>
      <c r="F70" s="9"/>
    </row>
    <row r="71" spans="1:6" x14ac:dyDescent="0.25">
      <c r="A71" t="s">
        <v>105</v>
      </c>
      <c r="B71" t="s">
        <v>103</v>
      </c>
      <c r="C71" t="s">
        <v>104</v>
      </c>
      <c r="D71">
        <v>0</v>
      </c>
      <c r="E71">
        <v>0</v>
      </c>
      <c r="F71" s="9"/>
    </row>
    <row r="72" spans="1:6" x14ac:dyDescent="0.25">
      <c r="A72" t="s">
        <v>106</v>
      </c>
      <c r="B72" t="s">
        <v>103</v>
      </c>
      <c r="C72" t="s">
        <v>104</v>
      </c>
      <c r="D72">
        <v>0</v>
      </c>
      <c r="E72">
        <v>0</v>
      </c>
      <c r="F72" s="9"/>
    </row>
    <row r="73" spans="1:6" x14ac:dyDescent="0.25">
      <c r="A73" t="s">
        <v>107</v>
      </c>
      <c r="B73" t="s">
        <v>107</v>
      </c>
      <c r="C73" t="s">
        <v>108</v>
      </c>
      <c r="D73">
        <v>0</v>
      </c>
      <c r="E73">
        <v>0</v>
      </c>
      <c r="F73" s="9"/>
    </row>
    <row r="74" spans="1:6" x14ac:dyDescent="0.25">
      <c r="A74" t="s">
        <v>109</v>
      </c>
      <c r="B74" t="s">
        <v>107</v>
      </c>
      <c r="C74" t="s">
        <v>108</v>
      </c>
      <c r="D74">
        <v>0</v>
      </c>
      <c r="E74">
        <v>0</v>
      </c>
      <c r="F74" s="9"/>
    </row>
    <row r="75" spans="1:6" x14ac:dyDescent="0.25">
      <c r="A75" t="s">
        <v>110</v>
      </c>
      <c r="B75" t="s">
        <v>110</v>
      </c>
      <c r="C75">
        <v>0</v>
      </c>
      <c r="D75">
        <v>0</v>
      </c>
      <c r="E75">
        <v>0</v>
      </c>
      <c r="F75" s="9"/>
    </row>
    <row r="76" spans="1:6" x14ac:dyDescent="0.25">
      <c r="A76" t="s">
        <v>111</v>
      </c>
      <c r="B76" t="s">
        <v>111</v>
      </c>
      <c r="C76">
        <v>0</v>
      </c>
      <c r="D76">
        <v>0</v>
      </c>
      <c r="E76">
        <v>0</v>
      </c>
      <c r="F76" s="9"/>
    </row>
    <row r="77" spans="1:6" x14ac:dyDescent="0.25">
      <c r="A77" t="s">
        <v>112</v>
      </c>
      <c r="B77" t="s">
        <v>112</v>
      </c>
      <c r="C77">
        <v>0</v>
      </c>
      <c r="D77">
        <v>0</v>
      </c>
      <c r="E77">
        <v>0</v>
      </c>
      <c r="F77" s="9"/>
    </row>
    <row r="78" spans="1:6" x14ac:dyDescent="0.25">
      <c r="A78" t="s">
        <v>113</v>
      </c>
      <c r="B78" t="s">
        <v>112</v>
      </c>
      <c r="C78">
        <v>0</v>
      </c>
      <c r="D78">
        <v>0</v>
      </c>
      <c r="E78">
        <v>0</v>
      </c>
      <c r="F78" s="9"/>
    </row>
    <row r="79" spans="1:6" x14ac:dyDescent="0.25">
      <c r="A79" t="s">
        <v>39</v>
      </c>
      <c r="B79" t="s">
        <v>39</v>
      </c>
      <c r="C79" t="s">
        <v>114</v>
      </c>
      <c r="D79">
        <v>0</v>
      </c>
      <c r="E79">
        <v>0</v>
      </c>
      <c r="F79" s="9"/>
    </row>
    <row r="80" spans="1:6" x14ac:dyDescent="0.25">
      <c r="A80" t="s">
        <v>115</v>
      </c>
      <c r="B80" t="s">
        <v>115</v>
      </c>
      <c r="C80">
        <v>0</v>
      </c>
      <c r="D80">
        <v>0</v>
      </c>
      <c r="E80">
        <v>0</v>
      </c>
      <c r="F80" s="9"/>
    </row>
    <row r="81" spans="1:6" x14ac:dyDescent="0.25">
      <c r="A81" t="s">
        <v>116</v>
      </c>
      <c r="B81" t="s">
        <v>116</v>
      </c>
      <c r="C81">
        <v>0</v>
      </c>
      <c r="D81">
        <v>0</v>
      </c>
      <c r="E81">
        <v>0</v>
      </c>
      <c r="F81" s="9"/>
    </row>
    <row r="82" spans="1:6" x14ac:dyDescent="0.25">
      <c r="A82" t="s">
        <v>117</v>
      </c>
      <c r="B82" t="s">
        <v>118</v>
      </c>
      <c r="C82" t="s">
        <v>119</v>
      </c>
      <c r="D82">
        <v>0</v>
      </c>
      <c r="E82">
        <v>0</v>
      </c>
      <c r="F82" s="9"/>
    </row>
    <row r="83" spans="1:6" x14ac:dyDescent="0.25">
      <c r="A83" t="s">
        <v>120</v>
      </c>
      <c r="B83" t="s">
        <v>120</v>
      </c>
      <c r="C83">
        <v>0</v>
      </c>
      <c r="D83">
        <v>0</v>
      </c>
      <c r="E83">
        <v>0</v>
      </c>
      <c r="F83" s="9"/>
    </row>
    <row r="84" spans="1:6" x14ac:dyDescent="0.25">
      <c r="A84" t="s">
        <v>121</v>
      </c>
      <c r="B84" t="s">
        <v>121</v>
      </c>
      <c r="C84">
        <v>0</v>
      </c>
      <c r="D84">
        <v>0</v>
      </c>
      <c r="E84">
        <v>0</v>
      </c>
      <c r="F84" s="9"/>
    </row>
    <row r="85" spans="1:6" x14ac:dyDescent="0.25">
      <c r="A85" t="s">
        <v>122</v>
      </c>
      <c r="B85" t="s">
        <v>118</v>
      </c>
      <c r="C85" t="s">
        <v>72</v>
      </c>
      <c r="D85" t="s">
        <v>123</v>
      </c>
      <c r="E85" t="s">
        <v>124</v>
      </c>
      <c r="F85" s="9"/>
    </row>
    <row r="86" spans="1:6" x14ac:dyDescent="0.25">
      <c r="A86" t="s">
        <v>125</v>
      </c>
      <c r="B86" t="s">
        <v>118</v>
      </c>
      <c r="C86" t="s">
        <v>72</v>
      </c>
      <c r="D86" t="s">
        <v>123</v>
      </c>
      <c r="E86" t="s">
        <v>124</v>
      </c>
      <c r="F86" s="9"/>
    </row>
    <row r="87" spans="1:6" x14ac:dyDescent="0.25">
      <c r="A87" t="s">
        <v>126</v>
      </c>
      <c r="B87" t="s">
        <v>126</v>
      </c>
      <c r="C87">
        <v>0</v>
      </c>
      <c r="D87">
        <v>0</v>
      </c>
      <c r="E87">
        <v>0</v>
      </c>
      <c r="F87" s="9"/>
    </row>
    <row r="88" spans="1:6" x14ac:dyDescent="0.25">
      <c r="A88" t="s">
        <v>127</v>
      </c>
      <c r="B88" t="s">
        <v>128</v>
      </c>
      <c r="C88">
        <v>0</v>
      </c>
      <c r="D88">
        <v>0</v>
      </c>
      <c r="E88">
        <v>0</v>
      </c>
      <c r="F88" s="9"/>
    </row>
    <row r="89" spans="1:6" x14ac:dyDescent="0.25">
      <c r="A89" t="s">
        <v>129</v>
      </c>
      <c r="B89" t="s">
        <v>128</v>
      </c>
      <c r="C89">
        <v>0</v>
      </c>
      <c r="D89">
        <v>0</v>
      </c>
      <c r="E89">
        <v>0</v>
      </c>
      <c r="F89" s="9"/>
    </row>
    <row r="90" spans="1:6" x14ac:dyDescent="0.25">
      <c r="A90" t="s">
        <v>41</v>
      </c>
      <c r="B90" t="s">
        <v>41</v>
      </c>
      <c r="C90" t="s">
        <v>130</v>
      </c>
      <c r="D90">
        <v>0</v>
      </c>
      <c r="E90">
        <v>0</v>
      </c>
      <c r="F90" s="9"/>
    </row>
    <row r="91" spans="1:6" x14ac:dyDescent="0.25">
      <c r="A91" t="s">
        <v>43</v>
      </c>
      <c r="B91" t="s">
        <v>131</v>
      </c>
      <c r="C91" t="s">
        <v>132</v>
      </c>
      <c r="D91" t="s">
        <v>133</v>
      </c>
      <c r="E91" t="s">
        <v>134</v>
      </c>
      <c r="F91" s="9"/>
    </row>
    <row r="92" spans="1:6" x14ac:dyDescent="0.25">
      <c r="A92" t="s">
        <v>135</v>
      </c>
      <c r="B92" t="s">
        <v>135</v>
      </c>
      <c r="C92" t="s">
        <v>136</v>
      </c>
      <c r="D92" t="s">
        <v>137</v>
      </c>
      <c r="E92">
        <v>0</v>
      </c>
      <c r="F92" s="9"/>
    </row>
    <row r="93" spans="1:6" x14ac:dyDescent="0.25">
      <c r="A93" t="s">
        <v>138</v>
      </c>
      <c r="B93" t="s">
        <v>135</v>
      </c>
      <c r="C93" t="s">
        <v>136</v>
      </c>
      <c r="D93" t="s">
        <v>137</v>
      </c>
      <c r="E93">
        <v>0</v>
      </c>
      <c r="F93" s="9"/>
    </row>
    <row r="94" spans="1:6" x14ac:dyDescent="0.25">
      <c r="A94" t="s">
        <v>45</v>
      </c>
      <c r="B94" t="s">
        <v>45</v>
      </c>
      <c r="C94" t="s">
        <v>139</v>
      </c>
      <c r="D94">
        <v>0</v>
      </c>
      <c r="E94">
        <v>0</v>
      </c>
      <c r="F94" s="9"/>
    </row>
    <row r="95" spans="1:6" x14ac:dyDescent="0.25">
      <c r="A95" t="s">
        <v>140</v>
      </c>
      <c r="B95" t="s">
        <v>140</v>
      </c>
      <c r="C95">
        <v>0</v>
      </c>
      <c r="D95">
        <v>0</v>
      </c>
      <c r="E95">
        <v>0</v>
      </c>
      <c r="F95" s="9"/>
    </row>
    <row r="96" spans="1:6" x14ac:dyDescent="0.25">
      <c r="A96" t="s">
        <v>141</v>
      </c>
      <c r="B96" t="s">
        <v>56</v>
      </c>
      <c r="C96">
        <v>0</v>
      </c>
      <c r="D96">
        <v>0</v>
      </c>
      <c r="E96">
        <v>0</v>
      </c>
      <c r="F96" s="9"/>
    </row>
    <row r="97" spans="1:6" x14ac:dyDescent="0.25">
      <c r="A97">
        <v>0</v>
      </c>
      <c r="B97">
        <v>0</v>
      </c>
      <c r="C97">
        <v>0</v>
      </c>
      <c r="D97">
        <v>0</v>
      </c>
      <c r="E97">
        <v>0</v>
      </c>
      <c r="F97" s="9"/>
    </row>
    <row r="98" spans="1:6" x14ac:dyDescent="0.25">
      <c r="A98">
        <v>0</v>
      </c>
      <c r="B98">
        <v>0</v>
      </c>
      <c r="C98">
        <v>0</v>
      </c>
      <c r="D98">
        <v>0</v>
      </c>
      <c r="E98">
        <v>0</v>
      </c>
      <c r="F98" s="9"/>
    </row>
    <row r="99" spans="1:6" x14ac:dyDescent="0.25">
      <c r="A99">
        <v>0</v>
      </c>
      <c r="B99">
        <v>0</v>
      </c>
      <c r="C99">
        <v>0</v>
      </c>
      <c r="D99">
        <v>0</v>
      </c>
      <c r="E99">
        <v>0</v>
      </c>
      <c r="F99" s="9"/>
    </row>
    <row r="100" spans="1:6" x14ac:dyDescent="0.25">
      <c r="A100">
        <v>0</v>
      </c>
      <c r="B100">
        <v>0</v>
      </c>
      <c r="C100">
        <v>0</v>
      </c>
      <c r="D100">
        <v>0</v>
      </c>
      <c r="E100">
        <v>0</v>
      </c>
      <c r="F100" s="9"/>
    </row>
    <row r="101" spans="1:6" x14ac:dyDescent="0.25">
      <c r="A101">
        <v>0</v>
      </c>
      <c r="B101">
        <v>0</v>
      </c>
      <c r="C101">
        <v>0</v>
      </c>
      <c r="D101">
        <v>0</v>
      </c>
      <c r="E101">
        <v>0</v>
      </c>
      <c r="F101" s="9"/>
    </row>
    <row r="102" spans="1:6" x14ac:dyDescent="0.25">
      <c r="A102">
        <v>0</v>
      </c>
      <c r="B102">
        <v>0</v>
      </c>
      <c r="C102">
        <v>0</v>
      </c>
      <c r="D102">
        <v>0</v>
      </c>
      <c r="E102">
        <v>0</v>
      </c>
      <c r="F102" s="9"/>
    </row>
    <row r="103" spans="1:6" x14ac:dyDescent="0.25">
      <c r="A103">
        <v>0</v>
      </c>
      <c r="B103">
        <v>0</v>
      </c>
      <c r="C103">
        <v>0</v>
      </c>
      <c r="D103">
        <v>0</v>
      </c>
      <c r="E103">
        <v>0</v>
      </c>
      <c r="F103" s="9"/>
    </row>
    <row r="104" spans="1:6" x14ac:dyDescent="0.25">
      <c r="A104">
        <v>0</v>
      </c>
      <c r="B104">
        <v>0</v>
      </c>
      <c r="C104">
        <v>0</v>
      </c>
      <c r="D104">
        <v>0</v>
      </c>
      <c r="E104">
        <v>0</v>
      </c>
      <c r="F104" s="9"/>
    </row>
    <row r="105" spans="1:6" x14ac:dyDescent="0.25">
      <c r="A105">
        <v>0</v>
      </c>
      <c r="B105">
        <v>0</v>
      </c>
      <c r="C105">
        <v>0</v>
      </c>
      <c r="D105">
        <v>0</v>
      </c>
      <c r="E105">
        <v>0</v>
      </c>
      <c r="F105" s="9"/>
    </row>
    <row r="106" spans="1:6" x14ac:dyDescent="0.25">
      <c r="A106">
        <v>0</v>
      </c>
      <c r="B106">
        <v>0</v>
      </c>
      <c r="C106">
        <v>0</v>
      </c>
      <c r="D106">
        <v>0</v>
      </c>
      <c r="E106">
        <v>0</v>
      </c>
      <c r="F106" s="9"/>
    </row>
    <row r="107" spans="1:6" x14ac:dyDescent="0.25">
      <c r="A107">
        <v>0</v>
      </c>
      <c r="B107">
        <v>0</v>
      </c>
      <c r="C107">
        <v>0</v>
      </c>
      <c r="D107">
        <v>0</v>
      </c>
      <c r="E107">
        <v>0</v>
      </c>
      <c r="F107" s="9"/>
    </row>
    <row r="108" spans="1:6" x14ac:dyDescent="0.25">
      <c r="A108">
        <v>0</v>
      </c>
      <c r="B108">
        <v>0</v>
      </c>
      <c r="C108">
        <v>0</v>
      </c>
      <c r="D108">
        <v>0</v>
      </c>
      <c r="E108">
        <v>0</v>
      </c>
      <c r="F108" s="9"/>
    </row>
    <row r="109" spans="1:6" x14ac:dyDescent="0.25">
      <c r="A109">
        <v>0</v>
      </c>
      <c r="B109">
        <v>0</v>
      </c>
      <c r="C109">
        <v>0</v>
      </c>
      <c r="D109">
        <v>0</v>
      </c>
      <c r="E109">
        <v>0</v>
      </c>
      <c r="F109" s="9"/>
    </row>
    <row r="110" spans="1:6" x14ac:dyDescent="0.25">
      <c r="A110">
        <v>0</v>
      </c>
      <c r="B110">
        <v>0</v>
      </c>
      <c r="C110">
        <v>0</v>
      </c>
      <c r="D110">
        <v>0</v>
      </c>
      <c r="E110">
        <v>0</v>
      </c>
      <c r="F110" s="9"/>
    </row>
    <row r="111" spans="1:6" x14ac:dyDescent="0.25">
      <c r="A111">
        <v>0</v>
      </c>
      <c r="B111">
        <v>0</v>
      </c>
      <c r="C111">
        <v>0</v>
      </c>
      <c r="D111">
        <v>0</v>
      </c>
      <c r="E111">
        <v>0</v>
      </c>
      <c r="F111" s="9"/>
    </row>
    <row r="112" spans="1:6" x14ac:dyDescent="0.25">
      <c r="A112">
        <v>0</v>
      </c>
      <c r="B112">
        <v>0</v>
      </c>
      <c r="C112">
        <v>0</v>
      </c>
      <c r="D112">
        <v>0</v>
      </c>
      <c r="E112">
        <v>0</v>
      </c>
      <c r="F112" s="9"/>
    </row>
    <row r="113" spans="1:6" x14ac:dyDescent="0.25">
      <c r="A113">
        <v>0</v>
      </c>
      <c r="B113">
        <v>0</v>
      </c>
      <c r="C113">
        <v>0</v>
      </c>
      <c r="D113">
        <v>0</v>
      </c>
      <c r="E113">
        <v>0</v>
      </c>
      <c r="F113" s="9"/>
    </row>
    <row r="114" spans="1:6" x14ac:dyDescent="0.25">
      <c r="A114">
        <v>0</v>
      </c>
      <c r="B114">
        <v>0</v>
      </c>
      <c r="C114">
        <v>0</v>
      </c>
      <c r="D114">
        <v>0</v>
      </c>
      <c r="E114">
        <v>0</v>
      </c>
      <c r="F114" s="9"/>
    </row>
    <row r="115" spans="1:6" x14ac:dyDescent="0.25">
      <c r="A115">
        <v>0</v>
      </c>
      <c r="B115">
        <v>0</v>
      </c>
      <c r="C115">
        <v>0</v>
      </c>
      <c r="D115">
        <v>0</v>
      </c>
      <c r="E115">
        <v>0</v>
      </c>
      <c r="F115" s="9"/>
    </row>
    <row r="116" spans="1:6" x14ac:dyDescent="0.25">
      <c r="A116">
        <v>0</v>
      </c>
      <c r="B116">
        <v>0</v>
      </c>
      <c r="C116">
        <v>0</v>
      </c>
      <c r="D116">
        <v>0</v>
      </c>
      <c r="E116">
        <v>0</v>
      </c>
      <c r="F116" s="9"/>
    </row>
    <row r="117" spans="1:6" x14ac:dyDescent="0.25">
      <c r="A117">
        <v>0</v>
      </c>
      <c r="B117">
        <v>0</v>
      </c>
      <c r="C117">
        <v>0</v>
      </c>
      <c r="D117">
        <v>0</v>
      </c>
      <c r="E117">
        <v>0</v>
      </c>
      <c r="F117" s="9"/>
    </row>
    <row r="118" spans="1:6" x14ac:dyDescent="0.25">
      <c r="A118">
        <v>0</v>
      </c>
      <c r="B118">
        <v>0</v>
      </c>
      <c r="C118">
        <v>0</v>
      </c>
      <c r="D118">
        <v>0</v>
      </c>
      <c r="E118">
        <v>0</v>
      </c>
      <c r="F118" s="9"/>
    </row>
    <row r="119" spans="1:6" x14ac:dyDescent="0.25">
      <c r="A119">
        <v>0</v>
      </c>
      <c r="B119">
        <v>0</v>
      </c>
      <c r="C119">
        <v>0</v>
      </c>
      <c r="D119">
        <v>0</v>
      </c>
      <c r="E119">
        <v>0</v>
      </c>
      <c r="F119" s="9"/>
    </row>
    <row r="120" spans="1:6" x14ac:dyDescent="0.25">
      <c r="A120">
        <v>0</v>
      </c>
      <c r="B120">
        <v>0</v>
      </c>
      <c r="C120">
        <v>0</v>
      </c>
      <c r="D120">
        <v>0</v>
      </c>
      <c r="E120">
        <v>0</v>
      </c>
      <c r="F120" s="9"/>
    </row>
    <row r="121" spans="1:6" x14ac:dyDescent="0.25">
      <c r="A121">
        <v>0</v>
      </c>
      <c r="B121">
        <v>0</v>
      </c>
      <c r="C121">
        <v>0</v>
      </c>
      <c r="D121">
        <v>0</v>
      </c>
      <c r="E121">
        <v>0</v>
      </c>
      <c r="F121" s="9"/>
    </row>
    <row r="122" spans="1:6" x14ac:dyDescent="0.25">
      <c r="A122">
        <v>0</v>
      </c>
      <c r="B122">
        <v>0</v>
      </c>
      <c r="C122">
        <v>0</v>
      </c>
      <c r="D122">
        <v>0</v>
      </c>
      <c r="E122">
        <v>0</v>
      </c>
      <c r="F122" s="9"/>
    </row>
    <row r="123" spans="1:6" x14ac:dyDescent="0.25">
      <c r="A123">
        <v>0</v>
      </c>
      <c r="B123">
        <v>0</v>
      </c>
      <c r="C123">
        <v>0</v>
      </c>
      <c r="D123">
        <v>0</v>
      </c>
      <c r="E123">
        <v>0</v>
      </c>
      <c r="F123" s="9"/>
    </row>
    <row r="124" spans="1:6" x14ac:dyDescent="0.25">
      <c r="A124">
        <v>0</v>
      </c>
      <c r="B124">
        <v>0</v>
      </c>
      <c r="C124">
        <v>0</v>
      </c>
      <c r="D124">
        <v>0</v>
      </c>
      <c r="E124">
        <v>0</v>
      </c>
      <c r="F124" s="9"/>
    </row>
    <row r="125" spans="1:6" x14ac:dyDescent="0.25">
      <c r="A125">
        <v>0</v>
      </c>
      <c r="B125">
        <v>0</v>
      </c>
      <c r="C125">
        <v>0</v>
      </c>
      <c r="D125">
        <v>0</v>
      </c>
      <c r="E125">
        <v>0</v>
      </c>
      <c r="F125" s="9"/>
    </row>
    <row r="126" spans="1:6" x14ac:dyDescent="0.25">
      <c r="A126">
        <v>0</v>
      </c>
      <c r="B126">
        <v>0</v>
      </c>
      <c r="C126">
        <v>0</v>
      </c>
      <c r="D126">
        <v>0</v>
      </c>
      <c r="E126">
        <v>0</v>
      </c>
      <c r="F126" s="9"/>
    </row>
    <row r="127" spans="1:6" x14ac:dyDescent="0.25">
      <c r="A127">
        <v>0</v>
      </c>
      <c r="B127">
        <v>0</v>
      </c>
      <c r="C127">
        <v>0</v>
      </c>
      <c r="D127">
        <v>0</v>
      </c>
      <c r="E127">
        <v>0</v>
      </c>
      <c r="F127" s="9"/>
    </row>
    <row r="128" spans="1:6" x14ac:dyDescent="0.25">
      <c r="A128">
        <v>0</v>
      </c>
      <c r="B128">
        <v>0</v>
      </c>
      <c r="C128">
        <v>0</v>
      </c>
      <c r="D128">
        <v>0</v>
      </c>
      <c r="E128">
        <v>0</v>
      </c>
      <c r="F128" s="9"/>
    </row>
    <row r="129" spans="1:6" x14ac:dyDescent="0.25">
      <c r="A129">
        <v>0</v>
      </c>
      <c r="B129">
        <v>0</v>
      </c>
      <c r="C129">
        <v>0</v>
      </c>
      <c r="D129">
        <v>0</v>
      </c>
      <c r="E129">
        <v>0</v>
      </c>
      <c r="F129" s="9"/>
    </row>
    <row r="130" spans="1:6" x14ac:dyDescent="0.25">
      <c r="A130">
        <v>0</v>
      </c>
      <c r="B130">
        <v>0</v>
      </c>
      <c r="C130">
        <v>0</v>
      </c>
      <c r="D130">
        <v>0</v>
      </c>
      <c r="E130">
        <v>0</v>
      </c>
      <c r="F130" s="9"/>
    </row>
    <row r="131" spans="1:6" x14ac:dyDescent="0.25">
      <c r="A131">
        <v>0</v>
      </c>
      <c r="B131">
        <v>0</v>
      </c>
      <c r="C131">
        <v>0</v>
      </c>
      <c r="D131">
        <v>0</v>
      </c>
      <c r="E131">
        <v>0</v>
      </c>
      <c r="F131" s="9"/>
    </row>
    <row r="132" spans="1:6" x14ac:dyDescent="0.25">
      <c r="A132">
        <v>0</v>
      </c>
      <c r="B132">
        <v>0</v>
      </c>
      <c r="C132">
        <v>0</v>
      </c>
      <c r="D132">
        <v>0</v>
      </c>
      <c r="E132">
        <v>0</v>
      </c>
      <c r="F132" s="9"/>
    </row>
    <row r="133" spans="1:6" x14ac:dyDescent="0.25">
      <c r="A133">
        <v>0</v>
      </c>
      <c r="B133">
        <v>0</v>
      </c>
      <c r="C133">
        <v>0</v>
      </c>
      <c r="D133">
        <v>0</v>
      </c>
      <c r="E133">
        <v>0</v>
      </c>
      <c r="F133" s="9"/>
    </row>
    <row r="134" spans="1:6" x14ac:dyDescent="0.25">
      <c r="A134">
        <v>0</v>
      </c>
      <c r="B134">
        <v>0</v>
      </c>
      <c r="C134">
        <v>0</v>
      </c>
      <c r="D134">
        <v>0</v>
      </c>
      <c r="E134">
        <v>0</v>
      </c>
      <c r="F134" s="9"/>
    </row>
    <row r="135" spans="1:6" x14ac:dyDescent="0.25">
      <c r="A135">
        <v>0</v>
      </c>
      <c r="B135">
        <v>0</v>
      </c>
      <c r="C135">
        <v>0</v>
      </c>
      <c r="D135">
        <v>0</v>
      </c>
      <c r="E135">
        <v>0</v>
      </c>
      <c r="F135" s="9"/>
    </row>
    <row r="136" spans="1:6" x14ac:dyDescent="0.25">
      <c r="A136">
        <v>0</v>
      </c>
      <c r="B136">
        <v>0</v>
      </c>
      <c r="C136">
        <v>0</v>
      </c>
      <c r="D136">
        <v>0</v>
      </c>
      <c r="E136">
        <v>0</v>
      </c>
      <c r="F136" s="9"/>
    </row>
    <row r="137" spans="1:6" x14ac:dyDescent="0.25">
      <c r="A137">
        <v>0</v>
      </c>
      <c r="B137">
        <v>0</v>
      </c>
      <c r="C137">
        <v>0</v>
      </c>
      <c r="D137">
        <v>0</v>
      </c>
      <c r="E137">
        <v>0</v>
      </c>
      <c r="F137" s="9"/>
    </row>
    <row r="138" spans="1:6" x14ac:dyDescent="0.25">
      <c r="A138">
        <v>0</v>
      </c>
      <c r="B138">
        <v>0</v>
      </c>
      <c r="C138">
        <v>0</v>
      </c>
      <c r="D138">
        <v>0</v>
      </c>
      <c r="E138">
        <v>0</v>
      </c>
      <c r="F138" s="9"/>
    </row>
    <row r="139" spans="1:6" x14ac:dyDescent="0.25">
      <c r="A139">
        <v>0</v>
      </c>
      <c r="B139">
        <v>0</v>
      </c>
      <c r="C139">
        <v>0</v>
      </c>
      <c r="D139">
        <v>0</v>
      </c>
      <c r="E139">
        <v>0</v>
      </c>
      <c r="F139" s="9"/>
    </row>
    <row r="140" spans="1:6" x14ac:dyDescent="0.25">
      <c r="A140">
        <v>0</v>
      </c>
      <c r="B140">
        <v>0</v>
      </c>
      <c r="C140">
        <v>0</v>
      </c>
      <c r="D140">
        <v>0</v>
      </c>
      <c r="E140">
        <v>0</v>
      </c>
      <c r="F140" s="9"/>
    </row>
    <row r="141" spans="1:6" x14ac:dyDescent="0.25">
      <c r="A141">
        <v>0</v>
      </c>
      <c r="B141">
        <v>0</v>
      </c>
      <c r="C141">
        <v>0</v>
      </c>
      <c r="D141">
        <v>0</v>
      </c>
      <c r="E141">
        <v>0</v>
      </c>
      <c r="F141" s="9"/>
    </row>
    <row r="142" spans="1:6" x14ac:dyDescent="0.25">
      <c r="A142">
        <v>0</v>
      </c>
      <c r="B142">
        <v>0</v>
      </c>
      <c r="C142">
        <v>0</v>
      </c>
      <c r="D142">
        <v>0</v>
      </c>
      <c r="E142">
        <v>0</v>
      </c>
      <c r="F142" s="9"/>
    </row>
    <row r="143" spans="1:6" x14ac:dyDescent="0.25">
      <c r="A143">
        <v>0</v>
      </c>
      <c r="B143">
        <v>0</v>
      </c>
      <c r="C143">
        <v>0</v>
      </c>
      <c r="D143">
        <v>0</v>
      </c>
      <c r="E143">
        <v>0</v>
      </c>
      <c r="F143" s="9"/>
    </row>
    <row r="144" spans="1:6" x14ac:dyDescent="0.25">
      <c r="A144">
        <v>0</v>
      </c>
      <c r="B144">
        <v>0</v>
      </c>
      <c r="C144">
        <v>0</v>
      </c>
      <c r="D144">
        <v>0</v>
      </c>
      <c r="E144">
        <v>0</v>
      </c>
      <c r="F144" s="9"/>
    </row>
    <row r="145" spans="1:6" x14ac:dyDescent="0.25">
      <c r="A145">
        <v>0</v>
      </c>
      <c r="B145">
        <v>0</v>
      </c>
      <c r="C145">
        <v>0</v>
      </c>
      <c r="D145">
        <v>0</v>
      </c>
      <c r="E145">
        <v>0</v>
      </c>
      <c r="F145" s="9"/>
    </row>
    <row r="146" spans="1:6" x14ac:dyDescent="0.25">
      <c r="A146">
        <v>0</v>
      </c>
      <c r="B146">
        <v>0</v>
      </c>
      <c r="C146">
        <v>0</v>
      </c>
      <c r="D146">
        <v>0</v>
      </c>
      <c r="E146">
        <v>0</v>
      </c>
      <c r="F146" s="9"/>
    </row>
    <row r="147" spans="1:6" x14ac:dyDescent="0.25">
      <c r="A147">
        <v>0</v>
      </c>
      <c r="B147">
        <v>0</v>
      </c>
      <c r="C147">
        <v>0</v>
      </c>
      <c r="D147">
        <v>0</v>
      </c>
      <c r="E147">
        <v>0</v>
      </c>
      <c r="F147" s="9"/>
    </row>
    <row r="148" spans="1:6" x14ac:dyDescent="0.25">
      <c r="A148">
        <v>0</v>
      </c>
      <c r="B148">
        <v>0</v>
      </c>
      <c r="C148">
        <v>0</v>
      </c>
      <c r="D148">
        <v>0</v>
      </c>
      <c r="E148">
        <v>0</v>
      </c>
      <c r="F148" s="9"/>
    </row>
    <row r="149" spans="1:6" x14ac:dyDescent="0.25">
      <c r="A149">
        <v>0</v>
      </c>
      <c r="B149">
        <v>0</v>
      </c>
      <c r="C149">
        <v>0</v>
      </c>
      <c r="D149">
        <v>0</v>
      </c>
      <c r="E149">
        <v>0</v>
      </c>
      <c r="F149" s="9"/>
    </row>
    <row r="150" spans="1:6" x14ac:dyDescent="0.25">
      <c r="A150">
        <v>0</v>
      </c>
      <c r="B150">
        <v>0</v>
      </c>
      <c r="C150">
        <v>0</v>
      </c>
      <c r="D150">
        <v>0</v>
      </c>
      <c r="E150">
        <v>0</v>
      </c>
      <c r="F150" s="9"/>
    </row>
    <row r="151" spans="1:6" x14ac:dyDescent="0.25">
      <c r="A151">
        <v>0</v>
      </c>
      <c r="B151">
        <v>0</v>
      </c>
      <c r="C151">
        <v>0</v>
      </c>
      <c r="D151">
        <v>0</v>
      </c>
      <c r="E151">
        <v>0</v>
      </c>
      <c r="F151" s="9"/>
    </row>
    <row r="152" spans="1:6" x14ac:dyDescent="0.25">
      <c r="A152">
        <v>0</v>
      </c>
      <c r="B152">
        <v>0</v>
      </c>
      <c r="C152">
        <v>0</v>
      </c>
      <c r="D152">
        <v>0</v>
      </c>
      <c r="E152">
        <v>0</v>
      </c>
      <c r="F152" s="9"/>
    </row>
    <row r="153" spans="1:6" x14ac:dyDescent="0.25">
      <c r="A153">
        <v>0</v>
      </c>
      <c r="B153">
        <v>0</v>
      </c>
      <c r="C153">
        <v>0</v>
      </c>
      <c r="D153">
        <v>0</v>
      </c>
      <c r="E153">
        <v>0</v>
      </c>
      <c r="F153" s="9"/>
    </row>
    <row r="154" spans="1:6" x14ac:dyDescent="0.25">
      <c r="A154">
        <v>0</v>
      </c>
      <c r="B154">
        <v>0</v>
      </c>
      <c r="C154">
        <v>0</v>
      </c>
      <c r="D154">
        <v>0</v>
      </c>
      <c r="E154">
        <v>0</v>
      </c>
      <c r="F154" s="9"/>
    </row>
    <row r="155" spans="1:6" x14ac:dyDescent="0.25">
      <c r="A155">
        <v>0</v>
      </c>
      <c r="B155">
        <v>0</v>
      </c>
      <c r="C155">
        <v>0</v>
      </c>
      <c r="D155">
        <v>0</v>
      </c>
      <c r="E155">
        <v>0</v>
      </c>
      <c r="F155" s="9"/>
    </row>
    <row r="156" spans="1:6" x14ac:dyDescent="0.25">
      <c r="A156">
        <v>0</v>
      </c>
      <c r="B156">
        <v>0</v>
      </c>
      <c r="C156">
        <v>0</v>
      </c>
      <c r="D156">
        <v>0</v>
      </c>
      <c r="E156">
        <v>0</v>
      </c>
      <c r="F156" s="9"/>
    </row>
    <row r="157" spans="1:6" x14ac:dyDescent="0.25">
      <c r="A157">
        <v>0</v>
      </c>
      <c r="B157">
        <v>0</v>
      </c>
      <c r="C157">
        <v>0</v>
      </c>
      <c r="D157">
        <v>0</v>
      </c>
      <c r="E157">
        <v>0</v>
      </c>
      <c r="F157" s="9"/>
    </row>
    <row r="158" spans="1:6" x14ac:dyDescent="0.25">
      <c r="A158">
        <v>0</v>
      </c>
      <c r="B158">
        <v>0</v>
      </c>
      <c r="C158">
        <v>0</v>
      </c>
      <c r="D158">
        <v>0</v>
      </c>
      <c r="E158">
        <v>0</v>
      </c>
      <c r="F158" s="9"/>
    </row>
    <row r="159" spans="1:6" x14ac:dyDescent="0.25">
      <c r="A159">
        <v>0</v>
      </c>
      <c r="B159">
        <v>0</v>
      </c>
      <c r="C159">
        <v>0</v>
      </c>
      <c r="D159">
        <v>0</v>
      </c>
      <c r="E159">
        <v>0</v>
      </c>
      <c r="F159" s="9"/>
    </row>
    <row r="160" spans="1:6" x14ac:dyDescent="0.25">
      <c r="A160">
        <v>0</v>
      </c>
      <c r="B160">
        <v>0</v>
      </c>
      <c r="C160">
        <v>0</v>
      </c>
      <c r="D160">
        <v>0</v>
      </c>
      <c r="E160">
        <v>0</v>
      </c>
      <c r="F160" s="9"/>
    </row>
    <row r="161" spans="1:6" x14ac:dyDescent="0.25">
      <c r="A161">
        <v>0</v>
      </c>
      <c r="B161">
        <v>0</v>
      </c>
      <c r="C161">
        <v>0</v>
      </c>
      <c r="D161">
        <v>0</v>
      </c>
      <c r="E161">
        <v>0</v>
      </c>
      <c r="F161" s="9"/>
    </row>
    <row r="162" spans="1:6" x14ac:dyDescent="0.25">
      <c r="A162">
        <v>0</v>
      </c>
      <c r="B162">
        <v>0</v>
      </c>
      <c r="C162">
        <v>0</v>
      </c>
      <c r="D162">
        <v>0</v>
      </c>
      <c r="E162">
        <v>0</v>
      </c>
      <c r="F162" s="9"/>
    </row>
    <row r="163" spans="1:6" x14ac:dyDescent="0.25">
      <c r="A163">
        <v>0</v>
      </c>
      <c r="B163">
        <v>0</v>
      </c>
      <c r="C163">
        <v>0</v>
      </c>
      <c r="D163">
        <v>0</v>
      </c>
      <c r="E163">
        <v>0</v>
      </c>
      <c r="F163" s="9"/>
    </row>
    <row r="164" spans="1:6" x14ac:dyDescent="0.25">
      <c r="A164">
        <v>0</v>
      </c>
      <c r="B164">
        <v>0</v>
      </c>
      <c r="C164">
        <v>0</v>
      </c>
      <c r="D164">
        <v>0</v>
      </c>
      <c r="E164">
        <v>0</v>
      </c>
      <c r="F164" s="9"/>
    </row>
    <row r="165" spans="1:6" x14ac:dyDescent="0.25">
      <c r="A165">
        <v>0</v>
      </c>
      <c r="B165">
        <v>0</v>
      </c>
      <c r="C165">
        <v>0</v>
      </c>
      <c r="D165">
        <v>0</v>
      </c>
      <c r="E165">
        <v>0</v>
      </c>
      <c r="F165" s="9"/>
    </row>
    <row r="166" spans="1:6" x14ac:dyDescent="0.25">
      <c r="A166">
        <v>0</v>
      </c>
      <c r="B166">
        <v>0</v>
      </c>
      <c r="C166">
        <v>0</v>
      </c>
      <c r="D166">
        <v>0</v>
      </c>
      <c r="E166">
        <v>0</v>
      </c>
      <c r="F166" s="9"/>
    </row>
    <row r="167" spans="1:6" x14ac:dyDescent="0.25">
      <c r="A167">
        <v>0</v>
      </c>
      <c r="B167">
        <v>0</v>
      </c>
      <c r="C167">
        <v>0</v>
      </c>
      <c r="D167">
        <v>0</v>
      </c>
      <c r="E167">
        <v>0</v>
      </c>
      <c r="F167" s="9"/>
    </row>
    <row r="168" spans="1:6" x14ac:dyDescent="0.25">
      <c r="A168">
        <v>0</v>
      </c>
      <c r="B168">
        <v>0</v>
      </c>
      <c r="C168">
        <v>0</v>
      </c>
      <c r="D168">
        <v>0</v>
      </c>
      <c r="E168">
        <v>0</v>
      </c>
      <c r="F168" s="9"/>
    </row>
    <row r="169" spans="1:6" x14ac:dyDescent="0.25">
      <c r="A169">
        <v>0</v>
      </c>
      <c r="B169">
        <v>0</v>
      </c>
      <c r="C169">
        <v>0</v>
      </c>
      <c r="D169">
        <v>0</v>
      </c>
      <c r="E169">
        <v>0</v>
      </c>
      <c r="F169" s="9"/>
    </row>
    <row r="170" spans="1:6" x14ac:dyDescent="0.25">
      <c r="A170">
        <v>0</v>
      </c>
      <c r="B170">
        <v>0</v>
      </c>
      <c r="C170">
        <v>0</v>
      </c>
      <c r="D170">
        <v>0</v>
      </c>
      <c r="E170">
        <v>0</v>
      </c>
      <c r="F170" s="9"/>
    </row>
    <row r="171" spans="1:6" x14ac:dyDescent="0.25">
      <c r="A171">
        <v>0</v>
      </c>
      <c r="B171">
        <v>0</v>
      </c>
      <c r="C171">
        <v>0</v>
      </c>
      <c r="D171">
        <v>0</v>
      </c>
      <c r="E171">
        <v>0</v>
      </c>
      <c r="F171" s="9"/>
    </row>
    <row r="172" spans="1:6" x14ac:dyDescent="0.25">
      <c r="A172">
        <v>0</v>
      </c>
      <c r="B172">
        <v>0</v>
      </c>
      <c r="C172">
        <v>0</v>
      </c>
      <c r="D172">
        <v>0</v>
      </c>
      <c r="E172">
        <v>0</v>
      </c>
      <c r="F172" s="9"/>
    </row>
    <row r="173" spans="1:6" x14ac:dyDescent="0.25">
      <c r="A173">
        <v>0</v>
      </c>
      <c r="B173">
        <v>0</v>
      </c>
      <c r="C173">
        <v>0</v>
      </c>
      <c r="D173">
        <v>0</v>
      </c>
      <c r="E173">
        <v>0</v>
      </c>
      <c r="F173" s="9"/>
    </row>
    <row r="174" spans="1:6" x14ac:dyDescent="0.25">
      <c r="A174">
        <v>0</v>
      </c>
      <c r="B174">
        <v>0</v>
      </c>
      <c r="C174">
        <v>0</v>
      </c>
      <c r="D174">
        <v>0</v>
      </c>
      <c r="E174">
        <v>0</v>
      </c>
      <c r="F174" s="9"/>
    </row>
    <row r="175" spans="1:6" x14ac:dyDescent="0.25">
      <c r="A175">
        <v>0</v>
      </c>
      <c r="B175">
        <v>0</v>
      </c>
      <c r="C175">
        <v>0</v>
      </c>
      <c r="D175">
        <v>0</v>
      </c>
      <c r="E175">
        <v>0</v>
      </c>
      <c r="F175" s="9"/>
    </row>
    <row r="176" spans="1:6" x14ac:dyDescent="0.25">
      <c r="A176">
        <v>0</v>
      </c>
      <c r="B176">
        <v>0</v>
      </c>
      <c r="C176">
        <v>0</v>
      </c>
      <c r="D176">
        <v>0</v>
      </c>
      <c r="E176">
        <v>0</v>
      </c>
      <c r="F176" s="9"/>
    </row>
    <row r="177" spans="1:6" x14ac:dyDescent="0.25">
      <c r="A177">
        <v>0</v>
      </c>
      <c r="B177">
        <v>0</v>
      </c>
      <c r="C177">
        <v>0</v>
      </c>
      <c r="D177">
        <v>0</v>
      </c>
      <c r="E177">
        <v>0</v>
      </c>
      <c r="F177" s="9"/>
    </row>
    <row r="178" spans="1:6" x14ac:dyDescent="0.25">
      <c r="A178">
        <v>0</v>
      </c>
      <c r="B178">
        <v>0</v>
      </c>
      <c r="C178">
        <v>0</v>
      </c>
      <c r="D178">
        <v>0</v>
      </c>
      <c r="E178">
        <v>0</v>
      </c>
      <c r="F178" s="9"/>
    </row>
    <row r="179" spans="1:6" x14ac:dyDescent="0.25">
      <c r="A179">
        <v>0</v>
      </c>
      <c r="B179">
        <v>0</v>
      </c>
      <c r="C179">
        <v>0</v>
      </c>
      <c r="D179">
        <v>0</v>
      </c>
      <c r="E179">
        <v>0</v>
      </c>
      <c r="F179" s="9"/>
    </row>
    <row r="180" spans="1:6" x14ac:dyDescent="0.25">
      <c r="A180">
        <v>0</v>
      </c>
      <c r="B180">
        <v>0</v>
      </c>
      <c r="C180">
        <v>0</v>
      </c>
      <c r="D180">
        <v>0</v>
      </c>
      <c r="E180">
        <v>0</v>
      </c>
      <c r="F180" s="9"/>
    </row>
    <row r="181" spans="1:6" x14ac:dyDescent="0.25">
      <c r="A181">
        <v>0</v>
      </c>
      <c r="B181">
        <v>0</v>
      </c>
      <c r="C181">
        <v>0</v>
      </c>
      <c r="D181">
        <v>0</v>
      </c>
      <c r="E181">
        <v>0</v>
      </c>
      <c r="F181" s="9"/>
    </row>
    <row r="182" spans="1:6" x14ac:dyDescent="0.25">
      <c r="A182">
        <v>0</v>
      </c>
      <c r="B182">
        <v>0</v>
      </c>
      <c r="C182">
        <v>0</v>
      </c>
      <c r="D182">
        <v>0</v>
      </c>
      <c r="E182">
        <v>0</v>
      </c>
      <c r="F182" s="9"/>
    </row>
    <row r="183" spans="1:6" x14ac:dyDescent="0.25">
      <c r="A183">
        <v>0</v>
      </c>
      <c r="B183">
        <v>0</v>
      </c>
      <c r="C183">
        <v>0</v>
      </c>
      <c r="D183">
        <v>0</v>
      </c>
      <c r="E183">
        <v>0</v>
      </c>
      <c r="F183" s="9"/>
    </row>
    <row r="184" spans="1:6" x14ac:dyDescent="0.25">
      <c r="A184">
        <v>0</v>
      </c>
      <c r="B184">
        <v>0</v>
      </c>
      <c r="C184">
        <v>0</v>
      </c>
      <c r="D184">
        <v>0</v>
      </c>
      <c r="E184">
        <v>0</v>
      </c>
      <c r="F184" s="9"/>
    </row>
    <row r="185" spans="1:6" x14ac:dyDescent="0.25">
      <c r="A185">
        <v>0</v>
      </c>
      <c r="B185">
        <v>0</v>
      </c>
      <c r="C185">
        <v>0</v>
      </c>
      <c r="D185">
        <v>0</v>
      </c>
      <c r="E185">
        <v>0</v>
      </c>
      <c r="F185" s="9"/>
    </row>
    <row r="186" spans="1:6" x14ac:dyDescent="0.25">
      <c r="A186">
        <v>0</v>
      </c>
      <c r="B186">
        <v>0</v>
      </c>
      <c r="C186">
        <v>0</v>
      </c>
      <c r="D186">
        <v>0</v>
      </c>
      <c r="E186">
        <v>0</v>
      </c>
      <c r="F186" s="9"/>
    </row>
    <row r="187" spans="1:6" x14ac:dyDescent="0.25">
      <c r="A187">
        <v>0</v>
      </c>
      <c r="B187">
        <v>0</v>
      </c>
      <c r="C187">
        <v>0</v>
      </c>
      <c r="D187">
        <v>0</v>
      </c>
      <c r="E187">
        <v>0</v>
      </c>
      <c r="F187" s="9"/>
    </row>
    <row r="188" spans="1:6" x14ac:dyDescent="0.25">
      <c r="A188">
        <v>0</v>
      </c>
      <c r="B188">
        <v>0</v>
      </c>
      <c r="C188">
        <v>0</v>
      </c>
      <c r="D188">
        <v>0</v>
      </c>
      <c r="E188">
        <v>0</v>
      </c>
      <c r="F188" s="9"/>
    </row>
    <row r="189" spans="1:6" x14ac:dyDescent="0.25">
      <c r="A189">
        <v>0</v>
      </c>
      <c r="B189">
        <v>0</v>
      </c>
      <c r="C189">
        <v>0</v>
      </c>
      <c r="D189">
        <v>0</v>
      </c>
      <c r="E189">
        <v>0</v>
      </c>
      <c r="F189" s="9"/>
    </row>
    <row r="190" spans="1:6" x14ac:dyDescent="0.25">
      <c r="A190">
        <v>0</v>
      </c>
      <c r="B190">
        <v>0</v>
      </c>
      <c r="C190">
        <v>0</v>
      </c>
      <c r="D190">
        <v>0</v>
      </c>
      <c r="E190">
        <v>0</v>
      </c>
      <c r="F190" s="9"/>
    </row>
    <row r="191" spans="1:6" x14ac:dyDescent="0.25">
      <c r="A191">
        <v>0</v>
      </c>
      <c r="B191">
        <v>0</v>
      </c>
      <c r="C191">
        <v>0</v>
      </c>
      <c r="D191">
        <v>0</v>
      </c>
      <c r="E191">
        <v>0</v>
      </c>
      <c r="F191" s="9"/>
    </row>
    <row r="192" spans="1:6" x14ac:dyDescent="0.25">
      <c r="A192">
        <v>0</v>
      </c>
      <c r="B192">
        <v>0</v>
      </c>
      <c r="C192">
        <v>0</v>
      </c>
      <c r="D192">
        <v>0</v>
      </c>
      <c r="E192">
        <v>0</v>
      </c>
      <c r="F192" s="9"/>
    </row>
    <row r="193" spans="1:6" x14ac:dyDescent="0.25">
      <c r="A193">
        <v>0</v>
      </c>
      <c r="B193">
        <v>0</v>
      </c>
      <c r="C193">
        <v>0</v>
      </c>
      <c r="D193">
        <v>0</v>
      </c>
      <c r="E193">
        <v>0</v>
      </c>
      <c r="F193" s="9"/>
    </row>
    <row r="194" spans="1:6" x14ac:dyDescent="0.25">
      <c r="A194">
        <v>0</v>
      </c>
      <c r="B194">
        <v>0</v>
      </c>
      <c r="C194">
        <v>0</v>
      </c>
      <c r="D194">
        <v>0</v>
      </c>
      <c r="E194">
        <v>0</v>
      </c>
      <c r="F194" s="9"/>
    </row>
    <row r="195" spans="1:6" x14ac:dyDescent="0.25">
      <c r="A195">
        <v>0</v>
      </c>
      <c r="B195">
        <v>0</v>
      </c>
      <c r="C195">
        <v>0</v>
      </c>
      <c r="D195">
        <v>0</v>
      </c>
      <c r="E195">
        <v>0</v>
      </c>
      <c r="F195" s="9"/>
    </row>
    <row r="196" spans="1:6" x14ac:dyDescent="0.25">
      <c r="A196">
        <v>0</v>
      </c>
      <c r="B196">
        <v>0</v>
      </c>
      <c r="C196">
        <v>0</v>
      </c>
      <c r="D196">
        <v>0</v>
      </c>
      <c r="E196">
        <v>0</v>
      </c>
      <c r="F196" s="9"/>
    </row>
    <row r="197" spans="1:6" x14ac:dyDescent="0.25">
      <c r="A197">
        <v>0</v>
      </c>
      <c r="B197">
        <v>0</v>
      </c>
      <c r="C197">
        <v>0</v>
      </c>
      <c r="D197">
        <v>0</v>
      </c>
      <c r="E197">
        <v>0</v>
      </c>
      <c r="F197" s="9"/>
    </row>
    <row r="198" spans="1:6" x14ac:dyDescent="0.25">
      <c r="A198">
        <v>0</v>
      </c>
      <c r="B198">
        <v>0</v>
      </c>
      <c r="C198">
        <v>0</v>
      </c>
      <c r="D198">
        <v>0</v>
      </c>
      <c r="E198">
        <v>0</v>
      </c>
      <c r="F198" s="9"/>
    </row>
    <row r="199" spans="1:6" x14ac:dyDescent="0.25">
      <c r="A199">
        <v>0</v>
      </c>
      <c r="B199">
        <v>0</v>
      </c>
      <c r="C199">
        <v>0</v>
      </c>
      <c r="D199">
        <v>0</v>
      </c>
      <c r="E199">
        <v>0</v>
      </c>
      <c r="F199" s="9"/>
    </row>
    <row r="200" spans="1:6" x14ac:dyDescent="0.25">
      <c r="A200">
        <v>0</v>
      </c>
      <c r="B200">
        <v>0</v>
      </c>
      <c r="C200">
        <v>0</v>
      </c>
      <c r="D200">
        <v>0</v>
      </c>
      <c r="E200">
        <v>0</v>
      </c>
      <c r="F200" s="9"/>
    </row>
    <row r="201" spans="1:6" x14ac:dyDescent="0.25">
      <c r="A201">
        <v>0</v>
      </c>
      <c r="B201">
        <v>0</v>
      </c>
      <c r="C201">
        <v>0</v>
      </c>
      <c r="D201">
        <v>0</v>
      </c>
      <c r="E201">
        <v>0</v>
      </c>
      <c r="F201" s="9"/>
    </row>
    <row r="202" spans="1:6" x14ac:dyDescent="0.25">
      <c r="A202">
        <v>0</v>
      </c>
      <c r="B202">
        <v>0</v>
      </c>
      <c r="C202">
        <v>0</v>
      </c>
      <c r="D202">
        <v>0</v>
      </c>
      <c r="E202">
        <v>0</v>
      </c>
      <c r="F202" s="9"/>
    </row>
    <row r="203" spans="1:6" x14ac:dyDescent="0.25">
      <c r="A203">
        <v>0</v>
      </c>
      <c r="B203">
        <v>0</v>
      </c>
      <c r="C203">
        <v>0</v>
      </c>
      <c r="D203">
        <v>0</v>
      </c>
      <c r="E203">
        <v>0</v>
      </c>
      <c r="F203" s="9"/>
    </row>
    <row r="204" spans="1:6" x14ac:dyDescent="0.25">
      <c r="A204">
        <v>0</v>
      </c>
      <c r="B204">
        <v>0</v>
      </c>
      <c r="C204">
        <v>0</v>
      </c>
      <c r="D204">
        <v>0</v>
      </c>
      <c r="E204">
        <v>0</v>
      </c>
      <c r="F204" s="9"/>
    </row>
    <row r="205" spans="1:6" x14ac:dyDescent="0.25">
      <c r="A205">
        <v>0</v>
      </c>
      <c r="B205">
        <v>0</v>
      </c>
      <c r="C205">
        <v>0</v>
      </c>
      <c r="D205">
        <v>0</v>
      </c>
      <c r="E205">
        <v>0</v>
      </c>
      <c r="F205" s="9"/>
    </row>
    <row r="206" spans="1:6" x14ac:dyDescent="0.25">
      <c r="A206">
        <v>0</v>
      </c>
      <c r="B206">
        <v>0</v>
      </c>
      <c r="C206">
        <v>0</v>
      </c>
      <c r="D206">
        <v>0</v>
      </c>
      <c r="E206">
        <v>0</v>
      </c>
      <c r="F206" s="9"/>
    </row>
    <row r="207" spans="1:6" x14ac:dyDescent="0.25">
      <c r="A207">
        <v>0</v>
      </c>
      <c r="B207">
        <v>0</v>
      </c>
      <c r="C207">
        <v>0</v>
      </c>
      <c r="D207">
        <v>0</v>
      </c>
      <c r="E207">
        <v>0</v>
      </c>
      <c r="F207" s="9"/>
    </row>
    <row r="208" spans="1:6" x14ac:dyDescent="0.25">
      <c r="A208">
        <v>0</v>
      </c>
      <c r="B208">
        <v>0</v>
      </c>
      <c r="C208">
        <v>0</v>
      </c>
      <c r="D208">
        <v>0</v>
      </c>
      <c r="E208">
        <v>0</v>
      </c>
      <c r="F208" s="9"/>
    </row>
    <row r="209" spans="1:6" x14ac:dyDescent="0.25">
      <c r="A209">
        <v>0</v>
      </c>
      <c r="B209">
        <v>0</v>
      </c>
      <c r="C209">
        <v>0</v>
      </c>
      <c r="D209">
        <v>0</v>
      </c>
      <c r="E209">
        <v>0</v>
      </c>
      <c r="F209" s="9"/>
    </row>
    <row r="210" spans="1:6" x14ac:dyDescent="0.25">
      <c r="A210">
        <v>0</v>
      </c>
      <c r="B210">
        <v>0</v>
      </c>
      <c r="C210">
        <v>0</v>
      </c>
      <c r="D210">
        <v>0</v>
      </c>
      <c r="E210">
        <v>0</v>
      </c>
      <c r="F210" s="9"/>
    </row>
    <row r="211" spans="1:6" x14ac:dyDescent="0.25">
      <c r="A211">
        <v>0</v>
      </c>
      <c r="B211">
        <v>0</v>
      </c>
      <c r="C211">
        <v>0</v>
      </c>
      <c r="D211">
        <v>0</v>
      </c>
      <c r="E211">
        <v>0</v>
      </c>
      <c r="F211" s="9"/>
    </row>
    <row r="212" spans="1:6" x14ac:dyDescent="0.25">
      <c r="A212">
        <v>0</v>
      </c>
      <c r="B212">
        <v>0</v>
      </c>
      <c r="C212">
        <v>0</v>
      </c>
      <c r="D212">
        <v>0</v>
      </c>
      <c r="E212">
        <v>0</v>
      </c>
      <c r="F212" s="9"/>
    </row>
    <row r="213" spans="1:6" x14ac:dyDescent="0.25">
      <c r="A213">
        <v>0</v>
      </c>
      <c r="B213">
        <v>0</v>
      </c>
      <c r="C213">
        <v>0</v>
      </c>
      <c r="D213">
        <v>0</v>
      </c>
      <c r="E213">
        <v>0</v>
      </c>
      <c r="F213" s="9"/>
    </row>
    <row r="214" spans="1:6" x14ac:dyDescent="0.25">
      <c r="A214">
        <v>0</v>
      </c>
      <c r="B214">
        <v>0</v>
      </c>
      <c r="C214">
        <v>0</v>
      </c>
      <c r="D214">
        <v>0</v>
      </c>
      <c r="E214">
        <v>0</v>
      </c>
      <c r="F214" s="9"/>
    </row>
    <row r="215" spans="1:6" x14ac:dyDescent="0.25">
      <c r="A215">
        <v>0</v>
      </c>
      <c r="B215">
        <v>0</v>
      </c>
      <c r="C215">
        <v>0</v>
      </c>
      <c r="D215">
        <v>0</v>
      </c>
      <c r="E215">
        <v>0</v>
      </c>
      <c r="F215" s="9"/>
    </row>
    <row r="216" spans="1:6" x14ac:dyDescent="0.25">
      <c r="A216">
        <v>0</v>
      </c>
      <c r="B216">
        <v>0</v>
      </c>
      <c r="C216">
        <v>0</v>
      </c>
      <c r="D216">
        <v>0</v>
      </c>
      <c r="E216">
        <v>0</v>
      </c>
      <c r="F216" s="9"/>
    </row>
    <row r="217" spans="1:6" x14ac:dyDescent="0.25">
      <c r="A217">
        <v>0</v>
      </c>
      <c r="B217">
        <v>0</v>
      </c>
      <c r="C217">
        <v>0</v>
      </c>
      <c r="D217">
        <v>0</v>
      </c>
      <c r="E217">
        <v>0</v>
      </c>
      <c r="F217" s="9"/>
    </row>
    <row r="218" spans="1:6" x14ac:dyDescent="0.25">
      <c r="A218">
        <v>0</v>
      </c>
      <c r="B218">
        <v>0</v>
      </c>
      <c r="C218">
        <v>0</v>
      </c>
      <c r="D218">
        <v>0</v>
      </c>
      <c r="E218">
        <v>0</v>
      </c>
      <c r="F218" s="9"/>
    </row>
    <row r="219" spans="1:6" x14ac:dyDescent="0.25">
      <c r="A219">
        <v>0</v>
      </c>
      <c r="B219">
        <v>0</v>
      </c>
      <c r="C219">
        <v>0</v>
      </c>
      <c r="D219">
        <v>0</v>
      </c>
      <c r="E219">
        <v>0</v>
      </c>
      <c r="F219" s="9"/>
    </row>
    <row r="220" spans="1:6" x14ac:dyDescent="0.25">
      <c r="A220">
        <v>0</v>
      </c>
      <c r="B220">
        <v>0</v>
      </c>
      <c r="C220">
        <v>0</v>
      </c>
      <c r="D220">
        <v>0</v>
      </c>
      <c r="E220">
        <v>0</v>
      </c>
      <c r="F220" s="9"/>
    </row>
    <row r="221" spans="1:6" x14ac:dyDescent="0.25">
      <c r="A221">
        <v>0</v>
      </c>
      <c r="B221">
        <v>0</v>
      </c>
      <c r="C221">
        <v>0</v>
      </c>
      <c r="D221">
        <v>0</v>
      </c>
      <c r="E221">
        <v>0</v>
      </c>
      <c r="F221" s="9"/>
    </row>
    <row r="222" spans="1:6" x14ac:dyDescent="0.25">
      <c r="A222">
        <v>0</v>
      </c>
      <c r="B222">
        <v>0</v>
      </c>
      <c r="C222">
        <v>0</v>
      </c>
      <c r="D222">
        <v>0</v>
      </c>
      <c r="E222">
        <v>0</v>
      </c>
      <c r="F222" s="9"/>
    </row>
    <row r="223" spans="1:6" x14ac:dyDescent="0.25">
      <c r="A223">
        <v>0</v>
      </c>
      <c r="B223">
        <v>0</v>
      </c>
      <c r="C223">
        <v>0</v>
      </c>
      <c r="D223">
        <v>0</v>
      </c>
      <c r="E223">
        <v>0</v>
      </c>
      <c r="F223" s="9"/>
    </row>
    <row r="224" spans="1:6" x14ac:dyDescent="0.25">
      <c r="A224">
        <v>0</v>
      </c>
      <c r="B224">
        <v>0</v>
      </c>
      <c r="C224">
        <v>0</v>
      </c>
      <c r="D224">
        <v>0</v>
      </c>
      <c r="E224">
        <v>0</v>
      </c>
      <c r="F224" s="9"/>
    </row>
    <row r="225" spans="1:6" x14ac:dyDescent="0.25">
      <c r="A225">
        <v>0</v>
      </c>
      <c r="B225">
        <v>0</v>
      </c>
      <c r="C225">
        <v>0</v>
      </c>
      <c r="D225">
        <v>0</v>
      </c>
      <c r="E225">
        <v>0</v>
      </c>
      <c r="F225" s="9"/>
    </row>
    <row r="226" spans="1:6" x14ac:dyDescent="0.25">
      <c r="A226">
        <v>0</v>
      </c>
      <c r="B226">
        <v>0</v>
      </c>
      <c r="C226">
        <v>0</v>
      </c>
      <c r="D226">
        <v>0</v>
      </c>
      <c r="E226">
        <v>0</v>
      </c>
      <c r="F226" s="9"/>
    </row>
    <row r="227" spans="1:6" x14ac:dyDescent="0.25">
      <c r="A227">
        <v>0</v>
      </c>
      <c r="B227">
        <v>0</v>
      </c>
      <c r="C227">
        <v>0</v>
      </c>
      <c r="D227">
        <v>0</v>
      </c>
      <c r="E227">
        <v>0</v>
      </c>
      <c r="F227" s="9"/>
    </row>
    <row r="228" spans="1:6" x14ac:dyDescent="0.25">
      <c r="A228">
        <v>0</v>
      </c>
      <c r="B228">
        <v>0</v>
      </c>
      <c r="C228">
        <v>0</v>
      </c>
      <c r="D228">
        <v>0</v>
      </c>
      <c r="E228">
        <v>0</v>
      </c>
      <c r="F228" s="9"/>
    </row>
    <row r="229" spans="1:6" x14ac:dyDescent="0.25">
      <c r="A229">
        <v>0</v>
      </c>
      <c r="B229">
        <v>0</v>
      </c>
      <c r="C229">
        <v>0</v>
      </c>
      <c r="D229">
        <v>0</v>
      </c>
      <c r="E229">
        <v>0</v>
      </c>
      <c r="F229" s="9"/>
    </row>
    <row r="230" spans="1:6" x14ac:dyDescent="0.25">
      <c r="A230">
        <v>0</v>
      </c>
      <c r="B230">
        <v>0</v>
      </c>
      <c r="C230">
        <v>0</v>
      </c>
      <c r="D230">
        <v>0</v>
      </c>
      <c r="E230">
        <v>0</v>
      </c>
      <c r="F230" s="9"/>
    </row>
    <row r="231" spans="1:6" x14ac:dyDescent="0.25">
      <c r="A231">
        <v>0</v>
      </c>
      <c r="B231">
        <v>0</v>
      </c>
      <c r="C231">
        <v>0</v>
      </c>
      <c r="D231">
        <v>0</v>
      </c>
      <c r="E231">
        <v>0</v>
      </c>
      <c r="F231" s="9"/>
    </row>
    <row r="232" spans="1:6" x14ac:dyDescent="0.25">
      <c r="A232">
        <v>0</v>
      </c>
      <c r="B232">
        <v>0</v>
      </c>
      <c r="C232">
        <v>0</v>
      </c>
      <c r="D232">
        <v>0</v>
      </c>
      <c r="E232">
        <v>0</v>
      </c>
      <c r="F232" s="9"/>
    </row>
    <row r="233" spans="1:6" x14ac:dyDescent="0.25">
      <c r="A233">
        <v>0</v>
      </c>
      <c r="B233">
        <v>0</v>
      </c>
      <c r="C233">
        <v>0</v>
      </c>
      <c r="D233">
        <v>0</v>
      </c>
      <c r="E233">
        <v>0</v>
      </c>
      <c r="F233" s="9"/>
    </row>
    <row r="234" spans="1:6" x14ac:dyDescent="0.25">
      <c r="A234">
        <v>0</v>
      </c>
      <c r="B234">
        <v>0</v>
      </c>
      <c r="C234">
        <v>0</v>
      </c>
      <c r="D234">
        <v>0</v>
      </c>
      <c r="E234">
        <v>0</v>
      </c>
      <c r="F234" s="9"/>
    </row>
    <row r="235" spans="1:6" x14ac:dyDescent="0.25">
      <c r="A235">
        <v>0</v>
      </c>
      <c r="B235">
        <v>0</v>
      </c>
      <c r="C235">
        <v>0</v>
      </c>
      <c r="D235">
        <v>0</v>
      </c>
      <c r="E235">
        <v>0</v>
      </c>
      <c r="F235" s="9"/>
    </row>
    <row r="236" spans="1:6" x14ac:dyDescent="0.25">
      <c r="A236">
        <v>0</v>
      </c>
      <c r="B236">
        <v>0</v>
      </c>
      <c r="C236">
        <v>0</v>
      </c>
      <c r="D236">
        <v>0</v>
      </c>
      <c r="E236">
        <v>0</v>
      </c>
      <c r="F236" s="9"/>
    </row>
    <row r="237" spans="1:6" x14ac:dyDescent="0.25">
      <c r="A237">
        <v>0</v>
      </c>
      <c r="B237">
        <v>0</v>
      </c>
      <c r="C237">
        <v>0</v>
      </c>
      <c r="D237">
        <v>0</v>
      </c>
      <c r="E237">
        <v>0</v>
      </c>
      <c r="F237" s="9"/>
    </row>
    <row r="238" spans="1:6" x14ac:dyDescent="0.25">
      <c r="A238">
        <v>0</v>
      </c>
      <c r="B238">
        <v>0</v>
      </c>
      <c r="C238">
        <v>0</v>
      </c>
      <c r="D238">
        <v>0</v>
      </c>
      <c r="E238">
        <v>0</v>
      </c>
      <c r="F238" s="9"/>
    </row>
    <row r="239" spans="1:6" x14ac:dyDescent="0.25">
      <c r="A239">
        <v>0</v>
      </c>
      <c r="B239">
        <v>0</v>
      </c>
      <c r="C239">
        <v>0</v>
      </c>
      <c r="D239">
        <v>0</v>
      </c>
      <c r="E239">
        <v>0</v>
      </c>
      <c r="F239" s="9"/>
    </row>
    <row r="240" spans="1:6" x14ac:dyDescent="0.25">
      <c r="A240">
        <v>0</v>
      </c>
      <c r="B240">
        <v>0</v>
      </c>
      <c r="C240">
        <v>0</v>
      </c>
      <c r="D240">
        <v>0</v>
      </c>
      <c r="E240">
        <v>0</v>
      </c>
      <c r="F240" s="9"/>
    </row>
    <row r="241" spans="1:6" x14ac:dyDescent="0.25">
      <c r="A241">
        <v>0</v>
      </c>
      <c r="B241">
        <v>0</v>
      </c>
      <c r="C241">
        <v>0</v>
      </c>
      <c r="D241">
        <v>0</v>
      </c>
      <c r="E241">
        <v>0</v>
      </c>
      <c r="F241" s="9"/>
    </row>
    <row r="242" spans="1:6" x14ac:dyDescent="0.25">
      <c r="A242">
        <v>0</v>
      </c>
      <c r="B242">
        <v>0</v>
      </c>
      <c r="C242">
        <v>0</v>
      </c>
      <c r="D242">
        <v>0</v>
      </c>
      <c r="E242">
        <v>0</v>
      </c>
      <c r="F242" s="9"/>
    </row>
    <row r="243" spans="1:6" x14ac:dyDescent="0.25">
      <c r="A243">
        <v>0</v>
      </c>
      <c r="B243">
        <v>0</v>
      </c>
      <c r="C243">
        <v>0</v>
      </c>
      <c r="D243">
        <v>0</v>
      </c>
      <c r="E243">
        <v>0</v>
      </c>
      <c r="F243" s="9"/>
    </row>
    <row r="244" spans="1:6" x14ac:dyDescent="0.25">
      <c r="A244">
        <v>0</v>
      </c>
      <c r="B244">
        <v>0</v>
      </c>
      <c r="C244">
        <v>0</v>
      </c>
      <c r="D244">
        <v>0</v>
      </c>
      <c r="E244">
        <v>0</v>
      </c>
      <c r="F244" s="9"/>
    </row>
    <row r="245" spans="1:6" x14ac:dyDescent="0.25">
      <c r="A245">
        <v>0</v>
      </c>
      <c r="B245">
        <v>0</v>
      </c>
      <c r="C245">
        <v>0</v>
      </c>
      <c r="D245">
        <v>0</v>
      </c>
      <c r="E245">
        <v>0</v>
      </c>
      <c r="F245" s="9"/>
    </row>
    <row r="246" spans="1:6" x14ac:dyDescent="0.25">
      <c r="A246">
        <v>0</v>
      </c>
      <c r="B246">
        <v>0</v>
      </c>
      <c r="C246">
        <v>0</v>
      </c>
      <c r="D246">
        <v>0</v>
      </c>
      <c r="E246">
        <v>0</v>
      </c>
      <c r="F246" s="9"/>
    </row>
    <row r="247" spans="1:6" x14ac:dyDescent="0.25">
      <c r="A247">
        <v>0</v>
      </c>
      <c r="B247">
        <v>0</v>
      </c>
      <c r="C247">
        <v>0</v>
      </c>
      <c r="D247">
        <v>0</v>
      </c>
      <c r="E247">
        <v>0</v>
      </c>
      <c r="F247" s="9"/>
    </row>
    <row r="248" spans="1:6" x14ac:dyDescent="0.25">
      <c r="A248">
        <v>0</v>
      </c>
      <c r="B248">
        <v>0</v>
      </c>
      <c r="C248">
        <v>0</v>
      </c>
      <c r="D248">
        <v>0</v>
      </c>
      <c r="E248">
        <v>0</v>
      </c>
      <c r="F248" s="9"/>
    </row>
    <row r="249" spans="1:6" x14ac:dyDescent="0.25">
      <c r="A249">
        <v>0</v>
      </c>
      <c r="B249">
        <v>0</v>
      </c>
      <c r="C249">
        <v>0</v>
      </c>
      <c r="D249">
        <v>0</v>
      </c>
      <c r="E249">
        <v>0</v>
      </c>
      <c r="F249" s="9"/>
    </row>
    <row r="250" spans="1:6" x14ac:dyDescent="0.25">
      <c r="A250">
        <v>0</v>
      </c>
      <c r="B250">
        <v>0</v>
      </c>
      <c r="C250">
        <v>0</v>
      </c>
      <c r="D250">
        <v>0</v>
      </c>
      <c r="E250">
        <v>0</v>
      </c>
      <c r="F250" s="9"/>
    </row>
    <row r="251" spans="1:6" x14ac:dyDescent="0.25">
      <c r="A251">
        <v>0</v>
      </c>
      <c r="B251">
        <v>0</v>
      </c>
      <c r="C251">
        <v>0</v>
      </c>
      <c r="D251">
        <v>0</v>
      </c>
      <c r="E251">
        <v>0</v>
      </c>
      <c r="F251" s="9"/>
    </row>
    <row r="252" spans="1:6" x14ac:dyDescent="0.25">
      <c r="A252">
        <v>0</v>
      </c>
      <c r="B252">
        <v>0</v>
      </c>
      <c r="C252">
        <v>0</v>
      </c>
      <c r="D252">
        <v>0</v>
      </c>
      <c r="E252">
        <v>0</v>
      </c>
      <c r="F252" s="9"/>
    </row>
    <row r="253" spans="1:6" x14ac:dyDescent="0.25">
      <c r="A253">
        <v>0</v>
      </c>
      <c r="B253">
        <v>0</v>
      </c>
      <c r="C253">
        <v>0</v>
      </c>
      <c r="D253">
        <v>0</v>
      </c>
      <c r="E253">
        <v>0</v>
      </c>
      <c r="F253" s="9"/>
    </row>
    <row r="254" spans="1:6" x14ac:dyDescent="0.25">
      <c r="A254">
        <v>0</v>
      </c>
      <c r="B254">
        <v>0</v>
      </c>
      <c r="C254">
        <v>0</v>
      </c>
      <c r="D254">
        <v>0</v>
      </c>
      <c r="E254">
        <v>0</v>
      </c>
      <c r="F254" s="9"/>
    </row>
    <row r="255" spans="1:6" x14ac:dyDescent="0.25">
      <c r="A255">
        <v>0</v>
      </c>
      <c r="B255">
        <v>0</v>
      </c>
      <c r="C255">
        <v>0</v>
      </c>
      <c r="D255">
        <v>0</v>
      </c>
      <c r="E255">
        <v>0</v>
      </c>
      <c r="F255" s="9"/>
    </row>
    <row r="256" spans="1:6" x14ac:dyDescent="0.25">
      <c r="A256">
        <v>0</v>
      </c>
      <c r="B256">
        <v>0</v>
      </c>
      <c r="C256">
        <v>0</v>
      </c>
      <c r="D256">
        <v>0</v>
      </c>
      <c r="E256">
        <v>0</v>
      </c>
      <c r="F256" s="9"/>
    </row>
    <row r="257" spans="1:6" x14ac:dyDescent="0.25">
      <c r="A257">
        <v>0</v>
      </c>
      <c r="B257">
        <v>0</v>
      </c>
      <c r="C257">
        <v>0</v>
      </c>
      <c r="D257">
        <v>0</v>
      </c>
      <c r="E257">
        <v>0</v>
      </c>
      <c r="F257" s="9"/>
    </row>
    <row r="258" spans="1:6" x14ac:dyDescent="0.25">
      <c r="A258">
        <v>0</v>
      </c>
      <c r="B258">
        <v>0</v>
      </c>
      <c r="C258">
        <v>0</v>
      </c>
      <c r="D258">
        <v>0</v>
      </c>
      <c r="E258">
        <v>0</v>
      </c>
      <c r="F258" s="9"/>
    </row>
    <row r="259" spans="1:6" x14ac:dyDescent="0.25">
      <c r="A259">
        <v>0</v>
      </c>
      <c r="B259">
        <v>0</v>
      </c>
      <c r="C259">
        <v>0</v>
      </c>
      <c r="D259">
        <v>0</v>
      </c>
      <c r="E259">
        <v>0</v>
      </c>
      <c r="F259" s="9"/>
    </row>
    <row r="260" spans="1:6" x14ac:dyDescent="0.25">
      <c r="A260">
        <v>0</v>
      </c>
      <c r="B260">
        <v>0</v>
      </c>
      <c r="C260">
        <v>0</v>
      </c>
      <c r="D260">
        <v>0</v>
      </c>
      <c r="E260">
        <v>0</v>
      </c>
      <c r="F260" s="9"/>
    </row>
    <row r="261" spans="1:6" x14ac:dyDescent="0.25">
      <c r="A261">
        <v>0</v>
      </c>
      <c r="B261">
        <v>0</v>
      </c>
      <c r="C261">
        <v>0</v>
      </c>
      <c r="D261">
        <v>0</v>
      </c>
      <c r="E261">
        <v>0</v>
      </c>
      <c r="F261" s="9"/>
    </row>
    <row r="262" spans="1:6" x14ac:dyDescent="0.25">
      <c r="A262">
        <v>0</v>
      </c>
      <c r="B262">
        <v>0</v>
      </c>
      <c r="C262">
        <v>0</v>
      </c>
      <c r="D262">
        <v>0</v>
      </c>
      <c r="E262">
        <v>0</v>
      </c>
      <c r="F262" s="9"/>
    </row>
    <row r="263" spans="1:6" x14ac:dyDescent="0.25">
      <c r="A263">
        <v>0</v>
      </c>
      <c r="B263">
        <v>0</v>
      </c>
      <c r="C263">
        <v>0</v>
      </c>
      <c r="D263">
        <v>0</v>
      </c>
      <c r="E263">
        <v>0</v>
      </c>
      <c r="F263" s="9"/>
    </row>
    <row r="264" spans="1:6" x14ac:dyDescent="0.25">
      <c r="A264">
        <v>0</v>
      </c>
      <c r="B264">
        <v>0</v>
      </c>
      <c r="C264">
        <v>0</v>
      </c>
      <c r="D264">
        <v>0</v>
      </c>
      <c r="E264">
        <v>0</v>
      </c>
      <c r="F264" s="9"/>
    </row>
    <row r="265" spans="1:6" x14ac:dyDescent="0.25">
      <c r="A265">
        <v>0</v>
      </c>
      <c r="B265">
        <v>0</v>
      </c>
      <c r="C265">
        <v>0</v>
      </c>
      <c r="D265">
        <v>0</v>
      </c>
      <c r="E265">
        <v>0</v>
      </c>
      <c r="F265" s="9"/>
    </row>
    <row r="266" spans="1:6" x14ac:dyDescent="0.25">
      <c r="A266">
        <v>0</v>
      </c>
      <c r="B266">
        <v>0</v>
      </c>
      <c r="C266">
        <v>0</v>
      </c>
      <c r="D266">
        <v>0</v>
      </c>
      <c r="E266">
        <v>0</v>
      </c>
      <c r="F266" s="9"/>
    </row>
    <row r="267" spans="1:6" x14ac:dyDescent="0.25">
      <c r="A267">
        <v>0</v>
      </c>
      <c r="B267">
        <v>0</v>
      </c>
      <c r="C267">
        <v>0</v>
      </c>
      <c r="D267">
        <v>0</v>
      </c>
      <c r="E267">
        <v>0</v>
      </c>
      <c r="F267" s="9"/>
    </row>
    <row r="268" spans="1:6" x14ac:dyDescent="0.25">
      <c r="A268">
        <v>0</v>
      </c>
      <c r="B268">
        <v>0</v>
      </c>
      <c r="C268">
        <v>0</v>
      </c>
      <c r="D268">
        <v>0</v>
      </c>
      <c r="E268">
        <v>0</v>
      </c>
      <c r="F268" s="9"/>
    </row>
    <row r="269" spans="1:6" x14ac:dyDescent="0.25">
      <c r="A269">
        <v>0</v>
      </c>
      <c r="B269">
        <v>0</v>
      </c>
      <c r="C269">
        <v>0</v>
      </c>
      <c r="D269">
        <v>0</v>
      </c>
      <c r="E269">
        <v>0</v>
      </c>
      <c r="F269" s="9"/>
    </row>
    <row r="270" spans="1:6" x14ac:dyDescent="0.25">
      <c r="A270">
        <v>0</v>
      </c>
      <c r="B270">
        <v>0</v>
      </c>
      <c r="C270">
        <v>0</v>
      </c>
      <c r="D270">
        <v>0</v>
      </c>
      <c r="E270">
        <v>0</v>
      </c>
      <c r="F270" s="9"/>
    </row>
    <row r="271" spans="1:6" x14ac:dyDescent="0.25">
      <c r="A271">
        <v>0</v>
      </c>
      <c r="B271">
        <v>0</v>
      </c>
      <c r="C271">
        <v>0</v>
      </c>
      <c r="D271">
        <v>0</v>
      </c>
      <c r="E271">
        <v>0</v>
      </c>
      <c r="F271" s="9"/>
    </row>
    <row r="272" spans="1:6" x14ac:dyDescent="0.25">
      <c r="A272">
        <v>0</v>
      </c>
      <c r="B272">
        <v>0</v>
      </c>
      <c r="C272">
        <v>0</v>
      </c>
      <c r="D272">
        <v>0</v>
      </c>
      <c r="E272">
        <v>0</v>
      </c>
      <c r="F272" s="9"/>
    </row>
    <row r="273" spans="1:6" x14ac:dyDescent="0.25">
      <c r="A273">
        <v>0</v>
      </c>
      <c r="B273">
        <v>0</v>
      </c>
      <c r="C273">
        <v>0</v>
      </c>
      <c r="D273">
        <v>0</v>
      </c>
      <c r="E273">
        <v>0</v>
      </c>
      <c r="F273" s="9"/>
    </row>
    <row r="274" spans="1:6" x14ac:dyDescent="0.25">
      <c r="A274">
        <v>0</v>
      </c>
      <c r="B274">
        <v>0</v>
      </c>
      <c r="C274">
        <v>0</v>
      </c>
      <c r="D274">
        <v>0</v>
      </c>
      <c r="E274">
        <v>0</v>
      </c>
      <c r="F274" s="9"/>
    </row>
    <row r="275" spans="1:6" x14ac:dyDescent="0.25">
      <c r="A275">
        <v>0</v>
      </c>
      <c r="B275">
        <v>0</v>
      </c>
      <c r="C275">
        <v>0</v>
      </c>
      <c r="D275">
        <v>0</v>
      </c>
      <c r="E275">
        <v>0</v>
      </c>
      <c r="F275" s="9"/>
    </row>
    <row r="276" spans="1:6" x14ac:dyDescent="0.25">
      <c r="A276">
        <v>0</v>
      </c>
      <c r="B276">
        <v>0</v>
      </c>
      <c r="C276">
        <v>0</v>
      </c>
      <c r="D276">
        <v>0</v>
      </c>
      <c r="E276">
        <v>0</v>
      </c>
      <c r="F276" s="9"/>
    </row>
    <row r="277" spans="1:6" x14ac:dyDescent="0.25">
      <c r="A277">
        <v>0</v>
      </c>
      <c r="B277">
        <v>0</v>
      </c>
      <c r="C277">
        <v>0</v>
      </c>
      <c r="D277">
        <v>0</v>
      </c>
      <c r="E277">
        <v>0</v>
      </c>
      <c r="F277" s="9"/>
    </row>
    <row r="278" spans="1:6" x14ac:dyDescent="0.25">
      <c r="A278">
        <v>0</v>
      </c>
      <c r="B278">
        <v>0</v>
      </c>
      <c r="C278">
        <v>0</v>
      </c>
      <c r="D278">
        <v>0</v>
      </c>
      <c r="E278">
        <v>0</v>
      </c>
      <c r="F278" s="9"/>
    </row>
    <row r="279" spans="1:6" x14ac:dyDescent="0.25">
      <c r="A279">
        <v>0</v>
      </c>
      <c r="B279">
        <v>0</v>
      </c>
      <c r="C279">
        <v>0</v>
      </c>
      <c r="D279">
        <v>0</v>
      </c>
      <c r="E279">
        <v>0</v>
      </c>
      <c r="F279" s="9"/>
    </row>
    <row r="280" spans="1:6" x14ac:dyDescent="0.25">
      <c r="A280">
        <v>0</v>
      </c>
      <c r="B280">
        <v>0</v>
      </c>
      <c r="C280">
        <v>0</v>
      </c>
      <c r="D280">
        <v>0</v>
      </c>
      <c r="E280">
        <v>0</v>
      </c>
      <c r="F280" s="9"/>
    </row>
    <row r="281" spans="1:6" x14ac:dyDescent="0.25">
      <c r="A281">
        <v>0</v>
      </c>
      <c r="B281">
        <v>0</v>
      </c>
      <c r="C281">
        <v>0</v>
      </c>
      <c r="D281">
        <v>0</v>
      </c>
      <c r="E281">
        <v>0</v>
      </c>
      <c r="F281" s="9"/>
    </row>
    <row r="282" spans="1:6" x14ac:dyDescent="0.25">
      <c r="A282">
        <v>0</v>
      </c>
      <c r="B282">
        <v>0</v>
      </c>
      <c r="C282">
        <v>0</v>
      </c>
      <c r="D282">
        <v>0</v>
      </c>
      <c r="E282">
        <v>0</v>
      </c>
      <c r="F282" s="9"/>
    </row>
    <row r="283" spans="1:6" x14ac:dyDescent="0.25">
      <c r="A283">
        <v>0</v>
      </c>
      <c r="B283">
        <v>0</v>
      </c>
      <c r="C283">
        <v>0</v>
      </c>
      <c r="D283">
        <v>0</v>
      </c>
      <c r="E283">
        <v>0</v>
      </c>
      <c r="F283" s="9"/>
    </row>
    <row r="284" spans="1:6" x14ac:dyDescent="0.25">
      <c r="A284">
        <v>0</v>
      </c>
      <c r="B284">
        <v>0</v>
      </c>
      <c r="C284">
        <v>0</v>
      </c>
      <c r="D284">
        <v>0</v>
      </c>
      <c r="E284">
        <v>0</v>
      </c>
      <c r="F284" s="9"/>
    </row>
    <row r="285" spans="1:6" x14ac:dyDescent="0.25">
      <c r="A285">
        <v>0</v>
      </c>
      <c r="B285">
        <v>0</v>
      </c>
      <c r="C285">
        <v>0</v>
      </c>
      <c r="D285">
        <v>0</v>
      </c>
      <c r="E285">
        <v>0</v>
      </c>
      <c r="F285" s="9"/>
    </row>
    <row r="286" spans="1:6" x14ac:dyDescent="0.25">
      <c r="A286">
        <v>0</v>
      </c>
      <c r="B286">
        <v>0</v>
      </c>
      <c r="C286">
        <v>0</v>
      </c>
      <c r="D286">
        <v>0</v>
      </c>
      <c r="E286">
        <v>0</v>
      </c>
      <c r="F286" s="9"/>
    </row>
    <row r="287" spans="1:6" x14ac:dyDescent="0.25">
      <c r="A287">
        <v>0</v>
      </c>
      <c r="B287">
        <v>0</v>
      </c>
      <c r="C287">
        <v>0</v>
      </c>
      <c r="D287">
        <v>0</v>
      </c>
      <c r="E287">
        <v>0</v>
      </c>
      <c r="F287" s="9"/>
    </row>
    <row r="288" spans="1:6" x14ac:dyDescent="0.25">
      <c r="A288">
        <v>0</v>
      </c>
      <c r="B288">
        <v>0</v>
      </c>
      <c r="C288">
        <v>0</v>
      </c>
      <c r="D288">
        <v>0</v>
      </c>
      <c r="E288">
        <v>0</v>
      </c>
      <c r="F288" s="9"/>
    </row>
    <row r="289" spans="1:6" x14ac:dyDescent="0.25">
      <c r="A289">
        <v>0</v>
      </c>
      <c r="B289">
        <v>0</v>
      </c>
      <c r="C289">
        <v>0</v>
      </c>
      <c r="D289">
        <v>0</v>
      </c>
      <c r="E289">
        <v>0</v>
      </c>
      <c r="F289" s="9"/>
    </row>
    <row r="290" spans="1:6" x14ac:dyDescent="0.25">
      <c r="A290">
        <v>0</v>
      </c>
      <c r="B290">
        <v>0</v>
      </c>
      <c r="C290">
        <v>0</v>
      </c>
      <c r="D290">
        <v>0</v>
      </c>
      <c r="E290">
        <v>0</v>
      </c>
      <c r="F290" s="9"/>
    </row>
    <row r="291" spans="1:6" x14ac:dyDescent="0.25">
      <c r="A291">
        <v>0</v>
      </c>
      <c r="B291">
        <v>0</v>
      </c>
      <c r="C291">
        <v>0</v>
      </c>
      <c r="D291">
        <v>0</v>
      </c>
      <c r="E291">
        <v>0</v>
      </c>
      <c r="F291" s="9"/>
    </row>
    <row r="292" spans="1:6" x14ac:dyDescent="0.25">
      <c r="A292">
        <v>0</v>
      </c>
      <c r="B292">
        <v>0</v>
      </c>
      <c r="C292">
        <v>0</v>
      </c>
      <c r="D292">
        <v>0</v>
      </c>
      <c r="E292">
        <v>0</v>
      </c>
      <c r="F292" s="9"/>
    </row>
    <row r="293" spans="1:6" x14ac:dyDescent="0.25">
      <c r="A293">
        <v>0</v>
      </c>
      <c r="B293">
        <v>0</v>
      </c>
      <c r="C293">
        <v>0</v>
      </c>
      <c r="D293">
        <v>0</v>
      </c>
      <c r="E293">
        <v>0</v>
      </c>
      <c r="F293" s="9"/>
    </row>
    <row r="294" spans="1:6" x14ac:dyDescent="0.25">
      <c r="A294">
        <v>0</v>
      </c>
      <c r="B294">
        <v>0</v>
      </c>
      <c r="C294">
        <v>0</v>
      </c>
      <c r="D294">
        <v>0</v>
      </c>
      <c r="E294">
        <v>0</v>
      </c>
      <c r="F294" s="9"/>
    </row>
    <row r="295" spans="1:6" x14ac:dyDescent="0.25">
      <c r="A295">
        <v>0</v>
      </c>
      <c r="B295">
        <v>0</v>
      </c>
      <c r="C295">
        <v>0</v>
      </c>
      <c r="D295">
        <v>0</v>
      </c>
      <c r="E295">
        <v>0</v>
      </c>
      <c r="F295" s="9"/>
    </row>
    <row r="296" spans="1:6" x14ac:dyDescent="0.25">
      <c r="A296">
        <v>0</v>
      </c>
      <c r="B296">
        <v>0</v>
      </c>
      <c r="C296">
        <v>0</v>
      </c>
      <c r="D296">
        <v>0</v>
      </c>
      <c r="E296">
        <v>0</v>
      </c>
      <c r="F296" s="9"/>
    </row>
    <row r="297" spans="1:6" x14ac:dyDescent="0.25">
      <c r="A297">
        <v>0</v>
      </c>
      <c r="B297">
        <v>0</v>
      </c>
      <c r="C297">
        <v>0</v>
      </c>
      <c r="D297">
        <v>0</v>
      </c>
      <c r="E297">
        <v>0</v>
      </c>
      <c r="F297" s="9"/>
    </row>
    <row r="298" spans="1:6" x14ac:dyDescent="0.25">
      <c r="A298">
        <v>0</v>
      </c>
      <c r="B298">
        <v>0</v>
      </c>
      <c r="C298">
        <v>0</v>
      </c>
      <c r="D298">
        <v>0</v>
      </c>
      <c r="E298">
        <v>0</v>
      </c>
      <c r="F298" s="9"/>
    </row>
    <row r="299" spans="1:6" x14ac:dyDescent="0.25">
      <c r="A299">
        <v>0</v>
      </c>
      <c r="B299">
        <v>0</v>
      </c>
      <c r="C299">
        <v>0</v>
      </c>
      <c r="D299">
        <v>0</v>
      </c>
      <c r="E299">
        <v>0</v>
      </c>
      <c r="F299" s="9"/>
    </row>
    <row r="300" spans="1:6" x14ac:dyDescent="0.25">
      <c r="A300">
        <v>0</v>
      </c>
      <c r="B300">
        <v>0</v>
      </c>
      <c r="C300">
        <v>0</v>
      </c>
      <c r="D300">
        <v>0</v>
      </c>
      <c r="E300">
        <v>0</v>
      </c>
      <c r="F300" s="9"/>
    </row>
    <row r="301" spans="1:6" x14ac:dyDescent="0.25">
      <c r="A301">
        <v>0</v>
      </c>
      <c r="B301">
        <v>0</v>
      </c>
      <c r="C301">
        <v>0</v>
      </c>
      <c r="D301">
        <v>0</v>
      </c>
      <c r="E301">
        <v>0</v>
      </c>
      <c r="F301" s="9"/>
    </row>
    <row r="302" spans="1:6" x14ac:dyDescent="0.25">
      <c r="A302">
        <v>0</v>
      </c>
      <c r="B302">
        <v>0</v>
      </c>
      <c r="C302">
        <v>0</v>
      </c>
      <c r="D302">
        <v>0</v>
      </c>
      <c r="E302">
        <v>0</v>
      </c>
      <c r="F302" s="9"/>
    </row>
    <row r="303" spans="1:6" x14ac:dyDescent="0.25">
      <c r="A303">
        <v>0</v>
      </c>
      <c r="B303">
        <v>0</v>
      </c>
      <c r="C303">
        <v>0</v>
      </c>
      <c r="D303">
        <v>0</v>
      </c>
      <c r="E303">
        <v>0</v>
      </c>
      <c r="F303" s="9"/>
    </row>
    <row r="304" spans="1:6" x14ac:dyDescent="0.25">
      <c r="A304">
        <v>0</v>
      </c>
      <c r="B304">
        <v>0</v>
      </c>
      <c r="C304">
        <v>0</v>
      </c>
      <c r="D304">
        <v>0</v>
      </c>
      <c r="E304">
        <v>0</v>
      </c>
      <c r="F304" s="9"/>
    </row>
    <row r="305" spans="1:6" x14ac:dyDescent="0.25">
      <c r="A305">
        <v>0</v>
      </c>
      <c r="B305">
        <v>0</v>
      </c>
      <c r="C305">
        <v>0</v>
      </c>
      <c r="D305">
        <v>0</v>
      </c>
      <c r="E305">
        <v>0</v>
      </c>
      <c r="F305" s="9"/>
    </row>
    <row r="306" spans="1:6" x14ac:dyDescent="0.25">
      <c r="A306">
        <v>0</v>
      </c>
      <c r="B306">
        <v>0</v>
      </c>
      <c r="C306">
        <v>0</v>
      </c>
      <c r="D306">
        <v>0</v>
      </c>
      <c r="E306">
        <v>0</v>
      </c>
      <c r="F306" s="9"/>
    </row>
    <row r="307" spans="1:6" x14ac:dyDescent="0.25">
      <c r="A307">
        <v>0</v>
      </c>
      <c r="B307">
        <v>0</v>
      </c>
      <c r="C307">
        <v>0</v>
      </c>
      <c r="D307">
        <v>0</v>
      </c>
      <c r="E307">
        <v>0</v>
      </c>
      <c r="F307" s="9"/>
    </row>
    <row r="308" spans="1:6" x14ac:dyDescent="0.25">
      <c r="A308">
        <v>0</v>
      </c>
      <c r="B308">
        <v>0</v>
      </c>
      <c r="C308">
        <v>0</v>
      </c>
      <c r="D308">
        <v>0</v>
      </c>
      <c r="E308">
        <v>0</v>
      </c>
      <c r="F308" s="9"/>
    </row>
    <row r="309" spans="1:6" x14ac:dyDescent="0.25">
      <c r="A309">
        <v>0</v>
      </c>
      <c r="B309">
        <v>0</v>
      </c>
      <c r="C309">
        <v>0</v>
      </c>
      <c r="D309">
        <v>0</v>
      </c>
      <c r="E309">
        <v>0</v>
      </c>
      <c r="F309" s="9"/>
    </row>
    <row r="310" spans="1:6" x14ac:dyDescent="0.25">
      <c r="A310">
        <v>0</v>
      </c>
      <c r="B310">
        <v>0</v>
      </c>
      <c r="C310">
        <v>0</v>
      </c>
      <c r="D310">
        <v>0</v>
      </c>
      <c r="E310">
        <v>0</v>
      </c>
      <c r="F310" s="9"/>
    </row>
    <row r="311" spans="1:6" x14ac:dyDescent="0.25">
      <c r="A311">
        <v>0</v>
      </c>
      <c r="B311">
        <v>0</v>
      </c>
      <c r="C311">
        <v>0</v>
      </c>
      <c r="D311">
        <v>0</v>
      </c>
      <c r="E311">
        <v>0</v>
      </c>
      <c r="F311" s="9"/>
    </row>
    <row r="312" spans="1:6" x14ac:dyDescent="0.25">
      <c r="A312">
        <v>0</v>
      </c>
      <c r="B312">
        <v>0</v>
      </c>
      <c r="C312">
        <v>0</v>
      </c>
      <c r="D312">
        <v>0</v>
      </c>
      <c r="E312">
        <v>0</v>
      </c>
      <c r="F312" s="9"/>
    </row>
    <row r="313" spans="1:6" x14ac:dyDescent="0.25">
      <c r="A313">
        <v>0</v>
      </c>
      <c r="B313">
        <v>0</v>
      </c>
      <c r="C313">
        <v>0</v>
      </c>
      <c r="D313">
        <v>0</v>
      </c>
      <c r="E313">
        <v>0</v>
      </c>
      <c r="F313" s="9"/>
    </row>
    <row r="314" spans="1:6" x14ac:dyDescent="0.25">
      <c r="A314">
        <v>0</v>
      </c>
      <c r="B314">
        <v>0</v>
      </c>
      <c r="C314">
        <v>0</v>
      </c>
      <c r="D314">
        <v>0</v>
      </c>
      <c r="E314">
        <v>0</v>
      </c>
      <c r="F314" s="9"/>
    </row>
    <row r="315" spans="1:6" x14ac:dyDescent="0.25">
      <c r="A315">
        <v>0</v>
      </c>
      <c r="B315">
        <v>0</v>
      </c>
      <c r="C315">
        <v>0</v>
      </c>
      <c r="D315">
        <v>0</v>
      </c>
      <c r="E315">
        <v>0</v>
      </c>
      <c r="F315" s="9"/>
    </row>
    <row r="316" spans="1:6" x14ac:dyDescent="0.25">
      <c r="A316">
        <v>0</v>
      </c>
      <c r="B316">
        <v>0</v>
      </c>
      <c r="C316">
        <v>0</v>
      </c>
      <c r="D316">
        <v>0</v>
      </c>
      <c r="E316">
        <v>0</v>
      </c>
      <c r="F316" s="9"/>
    </row>
    <row r="317" spans="1:6" x14ac:dyDescent="0.25">
      <c r="A317">
        <v>0</v>
      </c>
      <c r="B317">
        <v>0</v>
      </c>
      <c r="C317">
        <v>0</v>
      </c>
      <c r="D317">
        <v>0</v>
      </c>
      <c r="E317">
        <v>0</v>
      </c>
      <c r="F317" s="9"/>
    </row>
    <row r="318" spans="1:6" x14ac:dyDescent="0.25">
      <c r="A318">
        <v>0</v>
      </c>
      <c r="B318">
        <v>0</v>
      </c>
      <c r="C318">
        <v>0</v>
      </c>
      <c r="D318">
        <v>0</v>
      </c>
      <c r="E318">
        <v>0</v>
      </c>
      <c r="F318" s="9"/>
    </row>
    <row r="319" spans="1:6" x14ac:dyDescent="0.25">
      <c r="A319">
        <v>0</v>
      </c>
      <c r="B319">
        <v>0</v>
      </c>
      <c r="C319">
        <v>0</v>
      </c>
      <c r="D319">
        <v>0</v>
      </c>
      <c r="E319">
        <v>0</v>
      </c>
      <c r="F319" s="9"/>
    </row>
    <row r="320" spans="1:6" x14ac:dyDescent="0.25">
      <c r="A320">
        <v>0</v>
      </c>
      <c r="B320">
        <v>0</v>
      </c>
      <c r="C320">
        <v>0</v>
      </c>
      <c r="D320">
        <v>0</v>
      </c>
      <c r="E320">
        <v>0</v>
      </c>
      <c r="F320" s="9"/>
    </row>
    <row r="321" spans="1:6" x14ac:dyDescent="0.25">
      <c r="A321">
        <v>0</v>
      </c>
      <c r="B321">
        <v>0</v>
      </c>
      <c r="C321">
        <v>0</v>
      </c>
      <c r="D321">
        <v>0</v>
      </c>
      <c r="E321">
        <v>0</v>
      </c>
      <c r="F321" s="9"/>
    </row>
    <row r="322" spans="1:6" x14ac:dyDescent="0.25">
      <c r="A322">
        <v>0</v>
      </c>
      <c r="B322">
        <v>0</v>
      </c>
      <c r="C322">
        <v>0</v>
      </c>
      <c r="D322">
        <v>0</v>
      </c>
      <c r="E322">
        <v>0</v>
      </c>
      <c r="F322" s="9"/>
    </row>
    <row r="323" spans="1:6" x14ac:dyDescent="0.25">
      <c r="A323">
        <v>0</v>
      </c>
      <c r="B323">
        <v>0</v>
      </c>
      <c r="C323">
        <v>0</v>
      </c>
      <c r="D323">
        <v>0</v>
      </c>
      <c r="E323">
        <v>0</v>
      </c>
      <c r="F323" s="9"/>
    </row>
    <row r="324" spans="1:6" x14ac:dyDescent="0.25">
      <c r="A324">
        <v>0</v>
      </c>
      <c r="B324">
        <v>0</v>
      </c>
      <c r="C324">
        <v>0</v>
      </c>
      <c r="D324">
        <v>0</v>
      </c>
      <c r="E324">
        <v>0</v>
      </c>
      <c r="F324" s="9"/>
    </row>
    <row r="325" spans="1:6" x14ac:dyDescent="0.25">
      <c r="A325">
        <v>0</v>
      </c>
      <c r="B325">
        <v>0</v>
      </c>
      <c r="C325">
        <v>0</v>
      </c>
      <c r="D325">
        <v>0</v>
      </c>
      <c r="E325">
        <v>0</v>
      </c>
      <c r="F325" s="9"/>
    </row>
    <row r="326" spans="1:6" x14ac:dyDescent="0.25">
      <c r="A326">
        <v>0</v>
      </c>
      <c r="B326">
        <v>0</v>
      </c>
      <c r="C326">
        <v>0</v>
      </c>
      <c r="D326">
        <v>0</v>
      </c>
      <c r="E326">
        <v>0</v>
      </c>
      <c r="F326" s="9"/>
    </row>
    <row r="327" spans="1:6" x14ac:dyDescent="0.25">
      <c r="A327">
        <v>0</v>
      </c>
      <c r="B327">
        <v>0</v>
      </c>
      <c r="C327">
        <v>0</v>
      </c>
      <c r="D327">
        <v>0</v>
      </c>
      <c r="E327">
        <v>0</v>
      </c>
      <c r="F327" s="9"/>
    </row>
    <row r="328" spans="1:6" x14ac:dyDescent="0.25">
      <c r="A328">
        <v>0</v>
      </c>
      <c r="B328">
        <v>0</v>
      </c>
      <c r="C328">
        <v>0</v>
      </c>
      <c r="D328">
        <v>0</v>
      </c>
      <c r="E328">
        <v>0</v>
      </c>
      <c r="F328" s="9"/>
    </row>
    <row r="329" spans="1:6" x14ac:dyDescent="0.25">
      <c r="A329">
        <v>0</v>
      </c>
      <c r="B329">
        <v>0</v>
      </c>
      <c r="C329">
        <v>0</v>
      </c>
      <c r="D329">
        <v>0</v>
      </c>
      <c r="E329">
        <v>0</v>
      </c>
      <c r="F329" s="9"/>
    </row>
    <row r="330" spans="1:6" x14ac:dyDescent="0.25">
      <c r="A330">
        <v>0</v>
      </c>
      <c r="B330">
        <v>0</v>
      </c>
      <c r="C330">
        <v>0</v>
      </c>
      <c r="D330">
        <v>0</v>
      </c>
      <c r="E330">
        <v>0</v>
      </c>
      <c r="F330" s="9"/>
    </row>
    <row r="331" spans="1:6" x14ac:dyDescent="0.25">
      <c r="A331">
        <v>0</v>
      </c>
      <c r="B331">
        <v>0</v>
      </c>
      <c r="C331">
        <v>0</v>
      </c>
      <c r="D331">
        <v>0</v>
      </c>
      <c r="E331">
        <v>0</v>
      </c>
      <c r="F331" s="9"/>
    </row>
    <row r="332" spans="1:6" x14ac:dyDescent="0.25">
      <c r="A332">
        <v>0</v>
      </c>
      <c r="B332">
        <v>0</v>
      </c>
      <c r="C332">
        <v>0</v>
      </c>
      <c r="D332">
        <v>0</v>
      </c>
      <c r="E332">
        <v>0</v>
      </c>
      <c r="F332" s="9"/>
    </row>
    <row r="333" spans="1:6" x14ac:dyDescent="0.25">
      <c r="A333">
        <v>0</v>
      </c>
      <c r="B333">
        <v>0</v>
      </c>
      <c r="C333">
        <v>0</v>
      </c>
      <c r="D333">
        <v>0</v>
      </c>
      <c r="E333">
        <v>0</v>
      </c>
      <c r="F333" s="9"/>
    </row>
    <row r="334" spans="1:6" x14ac:dyDescent="0.25">
      <c r="A334">
        <v>0</v>
      </c>
      <c r="B334">
        <v>0</v>
      </c>
      <c r="C334">
        <v>0</v>
      </c>
      <c r="D334">
        <v>0</v>
      </c>
      <c r="E334">
        <v>0</v>
      </c>
      <c r="F334" s="9"/>
    </row>
    <row r="335" spans="1:6" x14ac:dyDescent="0.25">
      <c r="A335">
        <v>0</v>
      </c>
      <c r="B335">
        <v>0</v>
      </c>
      <c r="C335">
        <v>0</v>
      </c>
      <c r="D335">
        <v>0</v>
      </c>
      <c r="E335">
        <v>0</v>
      </c>
      <c r="F335" s="9"/>
    </row>
    <row r="336" spans="1:6" x14ac:dyDescent="0.25">
      <c r="A336">
        <v>0</v>
      </c>
      <c r="B336">
        <v>0</v>
      </c>
      <c r="C336">
        <v>0</v>
      </c>
      <c r="D336">
        <v>0</v>
      </c>
      <c r="E336">
        <v>0</v>
      </c>
      <c r="F336" s="9"/>
    </row>
    <row r="337" spans="1:6" x14ac:dyDescent="0.25">
      <c r="A337">
        <v>0</v>
      </c>
      <c r="B337">
        <v>0</v>
      </c>
      <c r="C337">
        <v>0</v>
      </c>
      <c r="D337">
        <v>0</v>
      </c>
      <c r="E337">
        <v>0</v>
      </c>
      <c r="F337" s="9"/>
    </row>
    <row r="338" spans="1:6" x14ac:dyDescent="0.25">
      <c r="A338">
        <v>0</v>
      </c>
      <c r="B338">
        <v>0</v>
      </c>
      <c r="C338">
        <v>0</v>
      </c>
      <c r="D338">
        <v>0</v>
      </c>
      <c r="E338">
        <v>0</v>
      </c>
      <c r="F338" s="9"/>
    </row>
    <row r="339" spans="1:6" x14ac:dyDescent="0.25">
      <c r="A339">
        <v>0</v>
      </c>
      <c r="B339">
        <v>0</v>
      </c>
      <c r="C339">
        <v>0</v>
      </c>
      <c r="D339">
        <v>0</v>
      </c>
      <c r="E339">
        <v>0</v>
      </c>
      <c r="F339" s="9"/>
    </row>
    <row r="340" spans="1:6" x14ac:dyDescent="0.25">
      <c r="A340">
        <v>0</v>
      </c>
      <c r="B340">
        <v>0</v>
      </c>
      <c r="C340">
        <v>0</v>
      </c>
      <c r="D340">
        <v>0</v>
      </c>
      <c r="E340">
        <v>0</v>
      </c>
      <c r="F340" s="9"/>
    </row>
    <row r="341" spans="1:6" x14ac:dyDescent="0.25">
      <c r="A341">
        <v>0</v>
      </c>
      <c r="B341">
        <v>0</v>
      </c>
      <c r="C341">
        <v>0</v>
      </c>
      <c r="D341">
        <v>0</v>
      </c>
      <c r="E341">
        <v>0</v>
      </c>
      <c r="F341" s="9"/>
    </row>
    <row r="342" spans="1:6" x14ac:dyDescent="0.25">
      <c r="A342">
        <v>0</v>
      </c>
      <c r="B342">
        <v>0</v>
      </c>
      <c r="C342">
        <v>0</v>
      </c>
      <c r="D342">
        <v>0</v>
      </c>
      <c r="E342">
        <v>0</v>
      </c>
      <c r="F342" s="9"/>
    </row>
    <row r="343" spans="1:6" x14ac:dyDescent="0.25">
      <c r="A343">
        <v>0</v>
      </c>
      <c r="B343">
        <v>0</v>
      </c>
      <c r="C343">
        <v>0</v>
      </c>
      <c r="D343">
        <v>0</v>
      </c>
      <c r="E343">
        <v>0</v>
      </c>
      <c r="F343" s="9"/>
    </row>
    <row r="344" spans="1:6" x14ac:dyDescent="0.25">
      <c r="A344">
        <v>0</v>
      </c>
      <c r="B344">
        <v>0</v>
      </c>
      <c r="C344">
        <v>0</v>
      </c>
      <c r="D344">
        <v>0</v>
      </c>
      <c r="E344">
        <v>0</v>
      </c>
      <c r="F344" s="9"/>
    </row>
    <row r="345" spans="1:6" x14ac:dyDescent="0.25">
      <c r="A345">
        <v>0</v>
      </c>
      <c r="B345">
        <v>0</v>
      </c>
      <c r="C345">
        <v>0</v>
      </c>
      <c r="D345">
        <v>0</v>
      </c>
      <c r="E345">
        <v>0</v>
      </c>
      <c r="F345" s="9"/>
    </row>
    <row r="346" spans="1:6" x14ac:dyDescent="0.25">
      <c r="A346">
        <v>0</v>
      </c>
      <c r="B346">
        <v>0</v>
      </c>
      <c r="C346">
        <v>0</v>
      </c>
      <c r="D346">
        <v>0</v>
      </c>
      <c r="E346">
        <v>0</v>
      </c>
      <c r="F346" s="9"/>
    </row>
    <row r="347" spans="1:6" x14ac:dyDescent="0.25">
      <c r="A347">
        <v>0</v>
      </c>
      <c r="B347">
        <v>0</v>
      </c>
      <c r="C347">
        <v>0</v>
      </c>
      <c r="D347">
        <v>0</v>
      </c>
      <c r="E347">
        <v>0</v>
      </c>
      <c r="F347" s="9"/>
    </row>
    <row r="348" spans="1:6" x14ac:dyDescent="0.25">
      <c r="A348">
        <v>0</v>
      </c>
      <c r="B348">
        <v>0</v>
      </c>
      <c r="C348">
        <v>0</v>
      </c>
      <c r="D348">
        <v>0</v>
      </c>
      <c r="E348">
        <v>0</v>
      </c>
      <c r="F348" s="9"/>
    </row>
    <row r="349" spans="1:6" x14ac:dyDescent="0.25">
      <c r="A349">
        <v>0</v>
      </c>
      <c r="B349">
        <v>0</v>
      </c>
      <c r="C349">
        <v>0</v>
      </c>
      <c r="D349">
        <v>0</v>
      </c>
      <c r="E349">
        <v>0</v>
      </c>
      <c r="F349" s="9"/>
    </row>
    <row r="350" spans="1:6" x14ac:dyDescent="0.25">
      <c r="A350">
        <v>0</v>
      </c>
      <c r="B350">
        <v>0</v>
      </c>
      <c r="C350">
        <v>0</v>
      </c>
      <c r="D350">
        <v>0</v>
      </c>
      <c r="E350">
        <v>0</v>
      </c>
      <c r="F350" s="9"/>
    </row>
    <row r="351" spans="1:6" x14ac:dyDescent="0.25">
      <c r="A351">
        <v>0</v>
      </c>
      <c r="B351">
        <v>0</v>
      </c>
      <c r="C351">
        <v>0</v>
      </c>
      <c r="D351">
        <v>0</v>
      </c>
      <c r="E351">
        <v>0</v>
      </c>
      <c r="F351" s="9"/>
    </row>
    <row r="352" spans="1:6" x14ac:dyDescent="0.25">
      <c r="A352">
        <v>0</v>
      </c>
      <c r="B352">
        <v>0</v>
      </c>
      <c r="C352">
        <v>0</v>
      </c>
      <c r="D352">
        <v>0</v>
      </c>
      <c r="E352">
        <v>0</v>
      </c>
      <c r="F352" s="9"/>
    </row>
    <row r="353" spans="1:6" x14ac:dyDescent="0.25">
      <c r="A353">
        <v>0</v>
      </c>
      <c r="B353">
        <v>0</v>
      </c>
      <c r="C353">
        <v>0</v>
      </c>
      <c r="D353">
        <v>0</v>
      </c>
      <c r="E353">
        <v>0</v>
      </c>
      <c r="F353" s="9"/>
    </row>
    <row r="354" spans="1:6" x14ac:dyDescent="0.25">
      <c r="A354">
        <v>0</v>
      </c>
      <c r="B354">
        <v>0</v>
      </c>
      <c r="C354">
        <v>0</v>
      </c>
      <c r="D354">
        <v>0</v>
      </c>
      <c r="E354">
        <v>0</v>
      </c>
      <c r="F354" s="9"/>
    </row>
    <row r="355" spans="1:6" x14ac:dyDescent="0.25">
      <c r="A355">
        <v>0</v>
      </c>
      <c r="B355">
        <v>0</v>
      </c>
      <c r="C355">
        <v>0</v>
      </c>
      <c r="D355">
        <v>0</v>
      </c>
      <c r="E355">
        <v>0</v>
      </c>
      <c r="F355" s="9"/>
    </row>
    <row r="356" spans="1:6" x14ac:dyDescent="0.25">
      <c r="A356">
        <v>0</v>
      </c>
      <c r="B356">
        <v>0</v>
      </c>
      <c r="C356">
        <v>0</v>
      </c>
      <c r="D356">
        <v>0</v>
      </c>
      <c r="E356">
        <v>0</v>
      </c>
      <c r="F356" s="9"/>
    </row>
    <row r="357" spans="1:6" x14ac:dyDescent="0.25">
      <c r="A357">
        <v>0</v>
      </c>
      <c r="B357">
        <v>0</v>
      </c>
      <c r="C357">
        <v>0</v>
      </c>
      <c r="D357">
        <v>0</v>
      </c>
      <c r="E357">
        <v>0</v>
      </c>
      <c r="F357" s="9"/>
    </row>
    <row r="358" spans="1:6" x14ac:dyDescent="0.25">
      <c r="A358">
        <v>0</v>
      </c>
      <c r="B358">
        <v>0</v>
      </c>
      <c r="C358">
        <v>0</v>
      </c>
      <c r="D358">
        <v>0</v>
      </c>
      <c r="E358">
        <v>0</v>
      </c>
      <c r="F358" s="9"/>
    </row>
    <row r="359" spans="1:6" x14ac:dyDescent="0.25">
      <c r="A359">
        <v>0</v>
      </c>
      <c r="B359">
        <v>0</v>
      </c>
      <c r="C359">
        <v>0</v>
      </c>
      <c r="D359">
        <v>0</v>
      </c>
      <c r="E359">
        <v>0</v>
      </c>
      <c r="F359" s="9"/>
    </row>
    <row r="360" spans="1:6" x14ac:dyDescent="0.25">
      <c r="A360">
        <v>0</v>
      </c>
      <c r="B360">
        <v>0</v>
      </c>
      <c r="C360">
        <v>0</v>
      </c>
      <c r="D360">
        <v>0</v>
      </c>
      <c r="E360">
        <v>0</v>
      </c>
      <c r="F360" s="9"/>
    </row>
    <row r="361" spans="1:6" x14ac:dyDescent="0.25">
      <c r="A361">
        <v>0</v>
      </c>
      <c r="B361">
        <v>0</v>
      </c>
      <c r="C361">
        <v>0</v>
      </c>
      <c r="D361">
        <v>0</v>
      </c>
      <c r="E361">
        <v>0</v>
      </c>
      <c r="F361" s="9"/>
    </row>
    <row r="362" spans="1:6" x14ac:dyDescent="0.25">
      <c r="A362">
        <v>0</v>
      </c>
      <c r="B362">
        <v>0</v>
      </c>
      <c r="C362">
        <v>0</v>
      </c>
      <c r="D362">
        <v>0</v>
      </c>
      <c r="E362">
        <v>0</v>
      </c>
      <c r="F362" s="9"/>
    </row>
    <row r="363" spans="1:6" x14ac:dyDescent="0.25">
      <c r="A363">
        <v>0</v>
      </c>
      <c r="B363">
        <v>0</v>
      </c>
      <c r="C363">
        <v>0</v>
      </c>
      <c r="D363">
        <v>0</v>
      </c>
      <c r="E363">
        <v>0</v>
      </c>
      <c r="F363" s="9"/>
    </row>
    <row r="364" spans="1:6" x14ac:dyDescent="0.25">
      <c r="A364">
        <v>0</v>
      </c>
      <c r="B364">
        <v>0</v>
      </c>
      <c r="C364">
        <v>0</v>
      </c>
      <c r="D364">
        <v>0</v>
      </c>
      <c r="E364">
        <v>0</v>
      </c>
      <c r="F364" s="9"/>
    </row>
    <row r="365" spans="1:6" x14ac:dyDescent="0.25">
      <c r="A365">
        <v>0</v>
      </c>
      <c r="B365">
        <v>0</v>
      </c>
      <c r="C365">
        <v>0</v>
      </c>
      <c r="D365">
        <v>0</v>
      </c>
      <c r="E365">
        <v>0</v>
      </c>
      <c r="F365" s="9"/>
    </row>
    <row r="366" spans="1:6" x14ac:dyDescent="0.25">
      <c r="A366">
        <v>0</v>
      </c>
      <c r="B366">
        <v>0</v>
      </c>
      <c r="C366">
        <v>0</v>
      </c>
      <c r="D366">
        <v>0</v>
      </c>
      <c r="E366">
        <v>0</v>
      </c>
      <c r="F366" s="9"/>
    </row>
    <row r="367" spans="1:6" x14ac:dyDescent="0.25">
      <c r="A367">
        <v>0</v>
      </c>
      <c r="B367">
        <v>0</v>
      </c>
      <c r="C367">
        <v>0</v>
      </c>
      <c r="D367">
        <v>0</v>
      </c>
      <c r="E367">
        <v>0</v>
      </c>
      <c r="F367" s="9"/>
    </row>
    <row r="368" spans="1:6" x14ac:dyDescent="0.25">
      <c r="A368">
        <v>0</v>
      </c>
      <c r="B368">
        <v>0</v>
      </c>
      <c r="C368">
        <v>0</v>
      </c>
      <c r="D368">
        <v>0</v>
      </c>
      <c r="E368">
        <v>0</v>
      </c>
      <c r="F368" s="9"/>
    </row>
    <row r="369" spans="1:6" x14ac:dyDescent="0.25">
      <c r="A369">
        <v>0</v>
      </c>
      <c r="B369">
        <v>0</v>
      </c>
      <c r="C369">
        <v>0</v>
      </c>
      <c r="D369">
        <v>0</v>
      </c>
      <c r="E369">
        <v>0</v>
      </c>
      <c r="F369" s="9"/>
    </row>
    <row r="370" spans="1:6" x14ac:dyDescent="0.25">
      <c r="A370">
        <v>0</v>
      </c>
      <c r="B370">
        <v>0</v>
      </c>
      <c r="C370">
        <v>0</v>
      </c>
      <c r="D370">
        <v>0</v>
      </c>
      <c r="E370">
        <v>0</v>
      </c>
      <c r="F370" s="9"/>
    </row>
    <row r="371" spans="1:6" x14ac:dyDescent="0.25">
      <c r="A371">
        <v>0</v>
      </c>
      <c r="B371">
        <v>0</v>
      </c>
      <c r="C371">
        <v>0</v>
      </c>
      <c r="D371">
        <v>0</v>
      </c>
      <c r="E371">
        <v>0</v>
      </c>
      <c r="F371" s="9"/>
    </row>
    <row r="372" spans="1:6" x14ac:dyDescent="0.25">
      <c r="A372">
        <v>0</v>
      </c>
      <c r="B372">
        <v>0</v>
      </c>
      <c r="C372">
        <v>0</v>
      </c>
      <c r="D372">
        <v>0</v>
      </c>
      <c r="E372">
        <v>0</v>
      </c>
      <c r="F372" s="9"/>
    </row>
    <row r="373" spans="1:6" x14ac:dyDescent="0.25">
      <c r="A373">
        <v>0</v>
      </c>
      <c r="B373">
        <v>0</v>
      </c>
      <c r="C373">
        <v>0</v>
      </c>
      <c r="D373">
        <v>0</v>
      </c>
      <c r="E373">
        <v>0</v>
      </c>
      <c r="F373" s="9"/>
    </row>
    <row r="374" spans="1:6" x14ac:dyDescent="0.25">
      <c r="A374">
        <v>0</v>
      </c>
      <c r="B374">
        <v>0</v>
      </c>
      <c r="C374">
        <v>0</v>
      </c>
      <c r="D374">
        <v>0</v>
      </c>
      <c r="E374">
        <v>0</v>
      </c>
      <c r="F374" s="9"/>
    </row>
    <row r="375" spans="1:6" x14ac:dyDescent="0.25">
      <c r="A375">
        <v>0</v>
      </c>
      <c r="B375">
        <v>0</v>
      </c>
      <c r="C375">
        <v>0</v>
      </c>
      <c r="D375">
        <v>0</v>
      </c>
      <c r="E375">
        <v>0</v>
      </c>
      <c r="F375" s="9"/>
    </row>
    <row r="376" spans="1:6" x14ac:dyDescent="0.25">
      <c r="A376">
        <v>0</v>
      </c>
      <c r="B376">
        <v>0</v>
      </c>
      <c r="C376">
        <v>0</v>
      </c>
      <c r="D376">
        <v>0</v>
      </c>
      <c r="E376">
        <v>0</v>
      </c>
      <c r="F376" s="9"/>
    </row>
    <row r="377" spans="1:6" x14ac:dyDescent="0.25">
      <c r="A377">
        <v>0</v>
      </c>
      <c r="B377">
        <v>0</v>
      </c>
      <c r="C377">
        <v>0</v>
      </c>
      <c r="D377">
        <v>0</v>
      </c>
      <c r="E377">
        <v>0</v>
      </c>
      <c r="F377" s="9"/>
    </row>
    <row r="378" spans="1:6" x14ac:dyDescent="0.25">
      <c r="A378">
        <v>0</v>
      </c>
      <c r="B378">
        <v>0</v>
      </c>
      <c r="C378">
        <v>0</v>
      </c>
      <c r="D378">
        <v>0</v>
      </c>
      <c r="E378">
        <v>0</v>
      </c>
      <c r="F378" s="9"/>
    </row>
    <row r="379" spans="1:6" x14ac:dyDescent="0.25">
      <c r="A379">
        <v>0</v>
      </c>
      <c r="B379">
        <v>0</v>
      </c>
      <c r="C379">
        <v>0</v>
      </c>
      <c r="D379">
        <v>0</v>
      </c>
      <c r="E379">
        <v>0</v>
      </c>
      <c r="F379" s="9"/>
    </row>
    <row r="380" spans="1:6" x14ac:dyDescent="0.25">
      <c r="A380">
        <v>0</v>
      </c>
      <c r="B380">
        <v>0</v>
      </c>
      <c r="C380">
        <v>0</v>
      </c>
      <c r="D380">
        <v>0</v>
      </c>
      <c r="E380">
        <v>0</v>
      </c>
      <c r="F380" s="9"/>
    </row>
    <row r="381" spans="1:6" x14ac:dyDescent="0.25">
      <c r="A381">
        <v>0</v>
      </c>
      <c r="B381">
        <v>0</v>
      </c>
      <c r="C381">
        <v>0</v>
      </c>
      <c r="D381">
        <v>0</v>
      </c>
      <c r="E381">
        <v>0</v>
      </c>
      <c r="F381" s="9"/>
    </row>
    <row r="382" spans="1:6" x14ac:dyDescent="0.25">
      <c r="A382">
        <v>0</v>
      </c>
      <c r="B382">
        <v>0</v>
      </c>
      <c r="C382">
        <v>0</v>
      </c>
      <c r="D382">
        <v>0</v>
      </c>
      <c r="E382">
        <v>0</v>
      </c>
      <c r="F382" s="9"/>
    </row>
    <row r="383" spans="1:6" x14ac:dyDescent="0.25">
      <c r="A383">
        <v>0</v>
      </c>
      <c r="B383">
        <v>0</v>
      </c>
      <c r="C383">
        <v>0</v>
      </c>
      <c r="D383">
        <v>0</v>
      </c>
      <c r="E383">
        <v>0</v>
      </c>
      <c r="F383" s="9"/>
    </row>
    <row r="384" spans="1:6" x14ac:dyDescent="0.25">
      <c r="A384">
        <v>0</v>
      </c>
      <c r="B384">
        <v>0</v>
      </c>
      <c r="C384">
        <v>0</v>
      </c>
      <c r="D384">
        <v>0</v>
      </c>
      <c r="E384">
        <v>0</v>
      </c>
      <c r="F384" s="9"/>
    </row>
    <row r="385" spans="1:6" x14ac:dyDescent="0.25">
      <c r="A385">
        <v>0</v>
      </c>
      <c r="B385">
        <v>0</v>
      </c>
      <c r="C385">
        <v>0</v>
      </c>
      <c r="D385">
        <v>0</v>
      </c>
      <c r="E385">
        <v>0</v>
      </c>
      <c r="F385" s="9"/>
    </row>
    <row r="386" spans="1:6" x14ac:dyDescent="0.25">
      <c r="A386">
        <v>0</v>
      </c>
      <c r="B386">
        <v>0</v>
      </c>
      <c r="C386">
        <v>0</v>
      </c>
      <c r="D386">
        <v>0</v>
      </c>
      <c r="E386">
        <v>0</v>
      </c>
      <c r="F386" s="9"/>
    </row>
    <row r="387" spans="1:6" x14ac:dyDescent="0.25">
      <c r="A387">
        <v>0</v>
      </c>
      <c r="B387">
        <v>0</v>
      </c>
      <c r="C387">
        <v>0</v>
      </c>
      <c r="D387">
        <v>0</v>
      </c>
      <c r="E387">
        <v>0</v>
      </c>
      <c r="F387" s="9"/>
    </row>
    <row r="388" spans="1:6" x14ac:dyDescent="0.25">
      <c r="A388">
        <v>0</v>
      </c>
      <c r="B388">
        <v>0</v>
      </c>
      <c r="C388">
        <v>0</v>
      </c>
      <c r="D388">
        <v>0</v>
      </c>
      <c r="E388">
        <v>0</v>
      </c>
      <c r="F388" s="9"/>
    </row>
    <row r="389" spans="1:6" x14ac:dyDescent="0.25">
      <c r="A389">
        <v>0</v>
      </c>
      <c r="B389">
        <v>0</v>
      </c>
      <c r="C389">
        <v>0</v>
      </c>
      <c r="D389">
        <v>0</v>
      </c>
      <c r="E389">
        <v>0</v>
      </c>
      <c r="F389" s="9"/>
    </row>
    <row r="390" spans="1:6" x14ac:dyDescent="0.25">
      <c r="A390">
        <v>0</v>
      </c>
      <c r="B390">
        <v>0</v>
      </c>
      <c r="C390">
        <v>0</v>
      </c>
      <c r="D390">
        <v>0</v>
      </c>
      <c r="E390">
        <v>0</v>
      </c>
      <c r="F390" s="9"/>
    </row>
    <row r="391" spans="1:6" x14ac:dyDescent="0.25">
      <c r="A391">
        <v>0</v>
      </c>
      <c r="B391">
        <v>0</v>
      </c>
      <c r="C391">
        <v>0</v>
      </c>
      <c r="D391">
        <v>0</v>
      </c>
      <c r="E391">
        <v>0</v>
      </c>
      <c r="F391" s="9"/>
    </row>
    <row r="392" spans="1:6" x14ac:dyDescent="0.25">
      <c r="A392">
        <v>0</v>
      </c>
      <c r="B392">
        <v>0</v>
      </c>
      <c r="C392">
        <v>0</v>
      </c>
      <c r="D392">
        <v>0</v>
      </c>
      <c r="E392">
        <v>0</v>
      </c>
      <c r="F392" s="9"/>
    </row>
    <row r="393" spans="1:6" x14ac:dyDescent="0.25">
      <c r="A393">
        <v>0</v>
      </c>
      <c r="B393">
        <v>0</v>
      </c>
      <c r="C393">
        <v>0</v>
      </c>
      <c r="D393">
        <v>0</v>
      </c>
      <c r="E393">
        <v>0</v>
      </c>
      <c r="F393" s="9"/>
    </row>
    <row r="394" spans="1:6" x14ac:dyDescent="0.25">
      <c r="A394">
        <v>0</v>
      </c>
      <c r="B394">
        <v>0</v>
      </c>
      <c r="C394">
        <v>0</v>
      </c>
      <c r="D394">
        <v>0</v>
      </c>
      <c r="E394">
        <v>0</v>
      </c>
      <c r="F394" s="9"/>
    </row>
    <row r="395" spans="1:6" x14ac:dyDescent="0.25">
      <c r="A395">
        <v>0</v>
      </c>
      <c r="B395">
        <v>0</v>
      </c>
      <c r="C395">
        <v>0</v>
      </c>
      <c r="D395">
        <v>0</v>
      </c>
      <c r="E395">
        <v>0</v>
      </c>
      <c r="F395" s="9"/>
    </row>
    <row r="396" spans="1:6" x14ac:dyDescent="0.25">
      <c r="A396">
        <v>0</v>
      </c>
      <c r="B396">
        <v>0</v>
      </c>
      <c r="C396">
        <v>0</v>
      </c>
      <c r="D396">
        <v>0</v>
      </c>
      <c r="E396">
        <v>0</v>
      </c>
      <c r="F396" s="9"/>
    </row>
    <row r="397" spans="1:6" x14ac:dyDescent="0.25">
      <c r="A397">
        <v>0</v>
      </c>
      <c r="B397">
        <v>0</v>
      </c>
      <c r="C397">
        <v>0</v>
      </c>
      <c r="D397">
        <v>0</v>
      </c>
      <c r="E397">
        <v>0</v>
      </c>
      <c r="F397" s="9"/>
    </row>
    <row r="398" spans="1:6" x14ac:dyDescent="0.25">
      <c r="A398">
        <v>0</v>
      </c>
      <c r="B398">
        <v>0</v>
      </c>
      <c r="C398">
        <v>0</v>
      </c>
      <c r="D398">
        <v>0</v>
      </c>
      <c r="E398">
        <v>0</v>
      </c>
      <c r="F398" s="9"/>
    </row>
    <row r="399" spans="1:6" x14ac:dyDescent="0.25">
      <c r="A399">
        <v>0</v>
      </c>
      <c r="B399">
        <v>0</v>
      </c>
      <c r="C399">
        <v>0</v>
      </c>
      <c r="D399">
        <v>0</v>
      </c>
      <c r="E399">
        <v>0</v>
      </c>
      <c r="F399" s="9"/>
    </row>
    <row r="400" spans="1:6" x14ac:dyDescent="0.25">
      <c r="A400">
        <v>0</v>
      </c>
      <c r="B400">
        <v>0</v>
      </c>
      <c r="C400">
        <v>0</v>
      </c>
      <c r="D400">
        <v>0</v>
      </c>
      <c r="E400">
        <v>0</v>
      </c>
      <c r="F400" s="9"/>
    </row>
    <row r="401" spans="1:6" x14ac:dyDescent="0.25">
      <c r="A401">
        <v>0</v>
      </c>
      <c r="B401">
        <v>0</v>
      </c>
      <c r="C401">
        <v>0</v>
      </c>
      <c r="D401">
        <v>0</v>
      </c>
      <c r="E401">
        <v>0</v>
      </c>
      <c r="F401" s="9"/>
    </row>
    <row r="402" spans="1:6" x14ac:dyDescent="0.25">
      <c r="A402">
        <v>0</v>
      </c>
      <c r="B402">
        <v>0</v>
      </c>
      <c r="C402">
        <v>0</v>
      </c>
      <c r="D402">
        <v>0</v>
      </c>
      <c r="E402">
        <v>0</v>
      </c>
      <c r="F402" s="9"/>
    </row>
    <row r="403" spans="1:6" x14ac:dyDescent="0.25">
      <c r="A403">
        <v>0</v>
      </c>
      <c r="B403">
        <v>0</v>
      </c>
      <c r="C403">
        <v>0</v>
      </c>
      <c r="D403">
        <v>0</v>
      </c>
      <c r="E403">
        <v>0</v>
      </c>
      <c r="F403" s="9"/>
    </row>
    <row r="404" spans="1:6" x14ac:dyDescent="0.25">
      <c r="A404">
        <v>0</v>
      </c>
      <c r="B404">
        <v>0</v>
      </c>
      <c r="C404">
        <v>0</v>
      </c>
      <c r="D404">
        <v>0</v>
      </c>
      <c r="E404">
        <v>0</v>
      </c>
      <c r="F404" s="9"/>
    </row>
    <row r="405" spans="1:6" x14ac:dyDescent="0.25">
      <c r="A405">
        <v>0</v>
      </c>
      <c r="B405">
        <v>0</v>
      </c>
      <c r="C405">
        <v>0</v>
      </c>
      <c r="D405">
        <v>0</v>
      </c>
      <c r="E405">
        <v>0</v>
      </c>
      <c r="F405" s="9"/>
    </row>
    <row r="406" spans="1:6" x14ac:dyDescent="0.25">
      <c r="A406">
        <v>0</v>
      </c>
      <c r="B406">
        <v>0</v>
      </c>
      <c r="C406">
        <v>0</v>
      </c>
      <c r="D406">
        <v>0</v>
      </c>
      <c r="E406">
        <v>0</v>
      </c>
      <c r="F406" s="9"/>
    </row>
    <row r="407" spans="1:6" x14ac:dyDescent="0.25">
      <c r="A407">
        <v>0</v>
      </c>
      <c r="B407">
        <v>0</v>
      </c>
      <c r="C407">
        <v>0</v>
      </c>
      <c r="D407">
        <v>0</v>
      </c>
      <c r="E407">
        <v>0</v>
      </c>
      <c r="F407" s="9"/>
    </row>
    <row r="408" spans="1:6" x14ac:dyDescent="0.25">
      <c r="A408">
        <v>0</v>
      </c>
      <c r="B408">
        <v>0</v>
      </c>
      <c r="C408">
        <v>0</v>
      </c>
      <c r="D408">
        <v>0</v>
      </c>
      <c r="E408">
        <v>0</v>
      </c>
      <c r="F408" s="9"/>
    </row>
    <row r="409" spans="1:6" x14ac:dyDescent="0.25">
      <c r="A409">
        <v>0</v>
      </c>
      <c r="B409">
        <v>0</v>
      </c>
      <c r="C409">
        <v>0</v>
      </c>
      <c r="D409">
        <v>0</v>
      </c>
      <c r="E409">
        <v>0</v>
      </c>
      <c r="F409" s="9"/>
    </row>
    <row r="410" spans="1:6" x14ac:dyDescent="0.25">
      <c r="A410">
        <v>0</v>
      </c>
      <c r="B410">
        <v>0</v>
      </c>
      <c r="C410">
        <v>0</v>
      </c>
      <c r="D410">
        <v>0</v>
      </c>
      <c r="E410">
        <v>0</v>
      </c>
      <c r="F410" s="9"/>
    </row>
    <row r="411" spans="1:6" x14ac:dyDescent="0.25">
      <c r="A411">
        <v>0</v>
      </c>
      <c r="B411">
        <v>0</v>
      </c>
      <c r="C411">
        <v>0</v>
      </c>
      <c r="D411">
        <v>0</v>
      </c>
      <c r="E411">
        <v>0</v>
      </c>
      <c r="F411" s="9"/>
    </row>
    <row r="412" spans="1:6" x14ac:dyDescent="0.25">
      <c r="A412">
        <v>0</v>
      </c>
      <c r="B412">
        <v>0</v>
      </c>
      <c r="C412">
        <v>0</v>
      </c>
      <c r="D412">
        <v>0</v>
      </c>
      <c r="E412">
        <v>0</v>
      </c>
      <c r="F412" s="9"/>
    </row>
    <row r="413" spans="1:6" x14ac:dyDescent="0.25">
      <c r="A413">
        <v>0</v>
      </c>
      <c r="B413">
        <v>0</v>
      </c>
      <c r="C413">
        <v>0</v>
      </c>
      <c r="D413">
        <v>0</v>
      </c>
      <c r="E413">
        <v>0</v>
      </c>
      <c r="F413" s="9"/>
    </row>
    <row r="414" spans="1:6" x14ac:dyDescent="0.25">
      <c r="A414">
        <v>0</v>
      </c>
      <c r="B414">
        <v>0</v>
      </c>
      <c r="C414">
        <v>0</v>
      </c>
      <c r="D414">
        <v>0</v>
      </c>
      <c r="E414">
        <v>0</v>
      </c>
      <c r="F414" s="9"/>
    </row>
    <row r="415" spans="1:6" x14ac:dyDescent="0.25">
      <c r="A415">
        <v>0</v>
      </c>
      <c r="B415">
        <v>0</v>
      </c>
      <c r="C415">
        <v>0</v>
      </c>
      <c r="D415">
        <v>0</v>
      </c>
      <c r="E415">
        <v>0</v>
      </c>
      <c r="F415" s="9"/>
    </row>
    <row r="416" spans="1:6" x14ac:dyDescent="0.25">
      <c r="A416">
        <v>0</v>
      </c>
      <c r="B416">
        <v>0</v>
      </c>
      <c r="C416">
        <v>0</v>
      </c>
      <c r="D416">
        <v>0</v>
      </c>
      <c r="E416">
        <v>0</v>
      </c>
      <c r="F416" s="9"/>
    </row>
    <row r="417" spans="1:6" x14ac:dyDescent="0.25">
      <c r="A417">
        <v>0</v>
      </c>
      <c r="B417">
        <v>0</v>
      </c>
      <c r="C417">
        <v>0</v>
      </c>
      <c r="D417">
        <v>0</v>
      </c>
      <c r="E417">
        <v>0</v>
      </c>
      <c r="F417" s="9"/>
    </row>
    <row r="418" spans="1:6" x14ac:dyDescent="0.25">
      <c r="A418">
        <v>0</v>
      </c>
      <c r="B418">
        <v>0</v>
      </c>
      <c r="C418">
        <v>0</v>
      </c>
      <c r="D418">
        <v>0</v>
      </c>
      <c r="E418">
        <v>0</v>
      </c>
      <c r="F418" s="9"/>
    </row>
    <row r="419" spans="1:6" x14ac:dyDescent="0.25">
      <c r="A419">
        <v>0</v>
      </c>
      <c r="B419">
        <v>0</v>
      </c>
      <c r="C419">
        <v>0</v>
      </c>
      <c r="D419">
        <v>0</v>
      </c>
      <c r="E419">
        <v>0</v>
      </c>
      <c r="F419" s="9"/>
    </row>
    <row r="420" spans="1:6" x14ac:dyDescent="0.25">
      <c r="A420">
        <v>0</v>
      </c>
      <c r="B420">
        <v>0</v>
      </c>
      <c r="C420">
        <v>0</v>
      </c>
      <c r="D420">
        <v>0</v>
      </c>
      <c r="E420">
        <v>0</v>
      </c>
      <c r="F420" s="9"/>
    </row>
    <row r="421" spans="1:6" x14ac:dyDescent="0.25">
      <c r="A421">
        <v>0</v>
      </c>
      <c r="B421">
        <v>0</v>
      </c>
      <c r="C421">
        <v>0</v>
      </c>
      <c r="D421">
        <v>0</v>
      </c>
      <c r="E421">
        <v>0</v>
      </c>
      <c r="F421" s="9"/>
    </row>
    <row r="422" spans="1:6" x14ac:dyDescent="0.25">
      <c r="A422">
        <v>0</v>
      </c>
      <c r="B422">
        <v>0</v>
      </c>
      <c r="C422">
        <v>0</v>
      </c>
      <c r="D422">
        <v>0</v>
      </c>
      <c r="E422">
        <v>0</v>
      </c>
      <c r="F422" s="9"/>
    </row>
    <row r="423" spans="1:6" x14ac:dyDescent="0.25">
      <c r="A423">
        <v>0</v>
      </c>
      <c r="B423">
        <v>0</v>
      </c>
      <c r="C423">
        <v>0</v>
      </c>
      <c r="D423">
        <v>0</v>
      </c>
      <c r="E423">
        <v>0</v>
      </c>
      <c r="F423" s="9"/>
    </row>
    <row r="424" spans="1:6" x14ac:dyDescent="0.25">
      <c r="A424">
        <v>0</v>
      </c>
      <c r="B424">
        <v>0</v>
      </c>
      <c r="C424">
        <v>0</v>
      </c>
      <c r="D424">
        <v>0</v>
      </c>
      <c r="E424">
        <v>0</v>
      </c>
      <c r="F424" s="9"/>
    </row>
    <row r="425" spans="1:6" x14ac:dyDescent="0.25">
      <c r="A425">
        <v>0</v>
      </c>
      <c r="B425">
        <v>0</v>
      </c>
      <c r="C425">
        <v>0</v>
      </c>
      <c r="D425">
        <v>0</v>
      </c>
      <c r="E425">
        <v>0</v>
      </c>
      <c r="F425" s="9"/>
    </row>
    <row r="426" spans="1:6" x14ac:dyDescent="0.25">
      <c r="A426">
        <v>0</v>
      </c>
      <c r="B426">
        <v>0</v>
      </c>
      <c r="C426">
        <v>0</v>
      </c>
      <c r="D426">
        <v>0</v>
      </c>
      <c r="E426">
        <v>0</v>
      </c>
      <c r="F426" s="9"/>
    </row>
    <row r="427" spans="1:6" x14ac:dyDescent="0.25">
      <c r="A427">
        <v>0</v>
      </c>
      <c r="B427">
        <v>0</v>
      </c>
      <c r="C427">
        <v>0</v>
      </c>
      <c r="D427">
        <v>0</v>
      </c>
      <c r="E427">
        <v>0</v>
      </c>
      <c r="F427" s="9"/>
    </row>
    <row r="428" spans="1:6" x14ac:dyDescent="0.25">
      <c r="A428">
        <v>0</v>
      </c>
      <c r="B428">
        <v>0</v>
      </c>
      <c r="C428">
        <v>0</v>
      </c>
      <c r="D428">
        <v>0</v>
      </c>
      <c r="E428">
        <v>0</v>
      </c>
      <c r="F428" s="9"/>
    </row>
    <row r="429" spans="1:6" x14ac:dyDescent="0.25">
      <c r="A429">
        <v>0</v>
      </c>
      <c r="B429">
        <v>0</v>
      </c>
      <c r="C429">
        <v>0</v>
      </c>
      <c r="D429">
        <v>0</v>
      </c>
      <c r="E429">
        <v>0</v>
      </c>
      <c r="F429" s="9"/>
    </row>
    <row r="430" spans="1:6" x14ac:dyDescent="0.25">
      <c r="A430">
        <v>0</v>
      </c>
      <c r="B430">
        <v>0</v>
      </c>
      <c r="C430">
        <v>0</v>
      </c>
      <c r="D430">
        <v>0</v>
      </c>
      <c r="E430">
        <v>0</v>
      </c>
      <c r="F430" s="9"/>
    </row>
    <row r="431" spans="1:6" x14ac:dyDescent="0.25">
      <c r="A431">
        <v>0</v>
      </c>
      <c r="B431">
        <v>0</v>
      </c>
      <c r="C431">
        <v>0</v>
      </c>
      <c r="D431">
        <v>0</v>
      </c>
      <c r="E431">
        <v>0</v>
      </c>
      <c r="F431" s="9"/>
    </row>
    <row r="432" spans="1:6" x14ac:dyDescent="0.25">
      <c r="A432">
        <v>0</v>
      </c>
      <c r="B432">
        <v>0</v>
      </c>
      <c r="C432">
        <v>0</v>
      </c>
      <c r="D432">
        <v>0</v>
      </c>
      <c r="E432">
        <v>0</v>
      </c>
      <c r="F432" s="9"/>
    </row>
    <row r="433" spans="1:6" x14ac:dyDescent="0.25">
      <c r="A433">
        <v>0</v>
      </c>
      <c r="B433">
        <v>0</v>
      </c>
      <c r="C433">
        <v>0</v>
      </c>
      <c r="D433">
        <v>0</v>
      </c>
      <c r="E433">
        <v>0</v>
      </c>
      <c r="F433" s="9"/>
    </row>
    <row r="434" spans="1:6" x14ac:dyDescent="0.25">
      <c r="A434">
        <v>0</v>
      </c>
      <c r="B434">
        <v>0</v>
      </c>
      <c r="C434">
        <v>0</v>
      </c>
      <c r="D434">
        <v>0</v>
      </c>
      <c r="E434">
        <v>0</v>
      </c>
      <c r="F434" s="9"/>
    </row>
    <row r="435" spans="1:6" x14ac:dyDescent="0.25">
      <c r="A435">
        <v>0</v>
      </c>
      <c r="B435">
        <v>0</v>
      </c>
      <c r="C435">
        <v>0</v>
      </c>
      <c r="D435">
        <v>0</v>
      </c>
      <c r="E435">
        <v>0</v>
      </c>
      <c r="F435" s="9"/>
    </row>
    <row r="436" spans="1:6" x14ac:dyDescent="0.25">
      <c r="A436">
        <v>0</v>
      </c>
      <c r="B436">
        <v>0</v>
      </c>
      <c r="C436">
        <v>0</v>
      </c>
      <c r="D436">
        <v>0</v>
      </c>
      <c r="E436">
        <v>0</v>
      </c>
      <c r="F436" s="9"/>
    </row>
    <row r="437" spans="1:6" x14ac:dyDescent="0.25">
      <c r="A437">
        <v>0</v>
      </c>
      <c r="B437">
        <v>0</v>
      </c>
      <c r="C437">
        <v>0</v>
      </c>
      <c r="D437">
        <v>0</v>
      </c>
      <c r="E437">
        <v>0</v>
      </c>
      <c r="F437" s="9"/>
    </row>
    <row r="438" spans="1:6" x14ac:dyDescent="0.25">
      <c r="A438">
        <v>0</v>
      </c>
      <c r="B438">
        <v>0</v>
      </c>
      <c r="C438">
        <v>0</v>
      </c>
      <c r="D438">
        <v>0</v>
      </c>
      <c r="E438">
        <v>0</v>
      </c>
      <c r="F438" s="9"/>
    </row>
    <row r="439" spans="1:6" x14ac:dyDescent="0.25">
      <c r="A439">
        <v>0</v>
      </c>
      <c r="B439">
        <v>0</v>
      </c>
      <c r="C439">
        <v>0</v>
      </c>
      <c r="D439">
        <v>0</v>
      </c>
      <c r="E439">
        <v>0</v>
      </c>
      <c r="F439" s="9"/>
    </row>
    <row r="440" spans="1:6" x14ac:dyDescent="0.25">
      <c r="A440">
        <v>0</v>
      </c>
      <c r="B440">
        <v>0</v>
      </c>
      <c r="C440">
        <v>0</v>
      </c>
      <c r="D440">
        <v>0</v>
      </c>
      <c r="E440">
        <v>0</v>
      </c>
      <c r="F440" s="9"/>
    </row>
    <row r="441" spans="1:6" x14ac:dyDescent="0.25">
      <c r="A441">
        <v>0</v>
      </c>
      <c r="B441">
        <v>0</v>
      </c>
      <c r="C441">
        <v>0</v>
      </c>
      <c r="D441">
        <v>0</v>
      </c>
      <c r="E441">
        <v>0</v>
      </c>
      <c r="F441" s="9"/>
    </row>
    <row r="442" spans="1:6" x14ac:dyDescent="0.25">
      <c r="A442">
        <v>0</v>
      </c>
      <c r="B442">
        <v>0</v>
      </c>
      <c r="C442">
        <v>0</v>
      </c>
      <c r="D442">
        <v>0</v>
      </c>
      <c r="E442">
        <v>0</v>
      </c>
      <c r="F442" s="9"/>
    </row>
    <row r="443" spans="1:6" x14ac:dyDescent="0.25">
      <c r="A443">
        <v>0</v>
      </c>
      <c r="B443">
        <v>0</v>
      </c>
      <c r="C443">
        <v>0</v>
      </c>
      <c r="D443">
        <v>0</v>
      </c>
      <c r="E443">
        <v>0</v>
      </c>
      <c r="F443" s="9"/>
    </row>
    <row r="444" spans="1:6" x14ac:dyDescent="0.25">
      <c r="A444">
        <v>0</v>
      </c>
      <c r="B444">
        <v>0</v>
      </c>
      <c r="C444">
        <v>0</v>
      </c>
      <c r="D444">
        <v>0</v>
      </c>
      <c r="E444">
        <v>0</v>
      </c>
      <c r="F444" s="9"/>
    </row>
    <row r="445" spans="1:6" x14ac:dyDescent="0.25">
      <c r="A445">
        <v>0</v>
      </c>
      <c r="B445">
        <v>0</v>
      </c>
      <c r="C445">
        <v>0</v>
      </c>
      <c r="D445">
        <v>0</v>
      </c>
      <c r="E445">
        <v>0</v>
      </c>
      <c r="F445" s="9"/>
    </row>
    <row r="446" spans="1:6" x14ac:dyDescent="0.25">
      <c r="A446">
        <v>0</v>
      </c>
      <c r="B446">
        <v>0</v>
      </c>
      <c r="C446">
        <v>0</v>
      </c>
      <c r="D446">
        <v>0</v>
      </c>
      <c r="E446">
        <v>0</v>
      </c>
      <c r="F446" s="9"/>
    </row>
    <row r="447" spans="1:6" x14ac:dyDescent="0.25">
      <c r="A447">
        <v>0</v>
      </c>
      <c r="B447">
        <v>0</v>
      </c>
      <c r="C447">
        <v>0</v>
      </c>
      <c r="D447">
        <v>0</v>
      </c>
      <c r="E447">
        <v>0</v>
      </c>
      <c r="F447" s="9"/>
    </row>
    <row r="448" spans="1:6" x14ac:dyDescent="0.25">
      <c r="A448">
        <v>0</v>
      </c>
      <c r="B448">
        <v>0</v>
      </c>
      <c r="C448">
        <v>0</v>
      </c>
      <c r="D448">
        <v>0</v>
      </c>
      <c r="E448">
        <v>0</v>
      </c>
      <c r="F448" s="9"/>
    </row>
    <row r="449" spans="1:6" x14ac:dyDescent="0.25">
      <c r="A449">
        <v>0</v>
      </c>
      <c r="B449">
        <v>0</v>
      </c>
      <c r="C449">
        <v>0</v>
      </c>
      <c r="D449">
        <v>0</v>
      </c>
      <c r="E449">
        <v>0</v>
      </c>
      <c r="F449" s="9"/>
    </row>
    <row r="450" spans="1:6" x14ac:dyDescent="0.25">
      <c r="A450">
        <v>0</v>
      </c>
      <c r="B450">
        <v>0</v>
      </c>
      <c r="C450">
        <v>0</v>
      </c>
      <c r="D450">
        <v>0</v>
      </c>
      <c r="E450">
        <v>0</v>
      </c>
      <c r="F450" s="9"/>
    </row>
    <row r="451" spans="1:6" x14ac:dyDescent="0.25">
      <c r="A451">
        <v>0</v>
      </c>
      <c r="B451">
        <v>0</v>
      </c>
      <c r="C451">
        <v>0</v>
      </c>
      <c r="D451">
        <v>0</v>
      </c>
      <c r="E451">
        <v>0</v>
      </c>
      <c r="F451" s="9"/>
    </row>
    <row r="452" spans="1:6" x14ac:dyDescent="0.25">
      <c r="A452">
        <v>0</v>
      </c>
      <c r="B452">
        <v>0</v>
      </c>
      <c r="C452">
        <v>0</v>
      </c>
      <c r="D452">
        <v>0</v>
      </c>
      <c r="E452">
        <v>0</v>
      </c>
      <c r="F452" s="9"/>
    </row>
    <row r="453" spans="1:6" x14ac:dyDescent="0.25">
      <c r="A453">
        <v>0</v>
      </c>
      <c r="B453">
        <v>0</v>
      </c>
      <c r="C453">
        <v>0</v>
      </c>
      <c r="D453">
        <v>0</v>
      </c>
      <c r="E453">
        <v>0</v>
      </c>
      <c r="F453" s="9"/>
    </row>
    <row r="454" spans="1:6" x14ac:dyDescent="0.25">
      <c r="A454">
        <v>0</v>
      </c>
      <c r="B454">
        <v>0</v>
      </c>
      <c r="C454">
        <v>0</v>
      </c>
      <c r="D454">
        <v>0</v>
      </c>
      <c r="E454">
        <v>0</v>
      </c>
      <c r="F454" s="9"/>
    </row>
    <row r="455" spans="1:6" x14ac:dyDescent="0.25">
      <c r="A455">
        <v>0</v>
      </c>
      <c r="B455">
        <v>0</v>
      </c>
      <c r="C455">
        <v>0</v>
      </c>
      <c r="D455">
        <v>0</v>
      </c>
      <c r="E455">
        <v>0</v>
      </c>
      <c r="F455" s="9"/>
    </row>
    <row r="456" spans="1:6" x14ac:dyDescent="0.25">
      <c r="A456">
        <v>0</v>
      </c>
      <c r="B456">
        <v>0</v>
      </c>
      <c r="C456">
        <v>0</v>
      </c>
      <c r="D456">
        <v>0</v>
      </c>
      <c r="E456">
        <v>0</v>
      </c>
      <c r="F456" s="9"/>
    </row>
    <row r="457" spans="1:6" x14ac:dyDescent="0.25">
      <c r="A457">
        <v>0</v>
      </c>
      <c r="B457">
        <v>0</v>
      </c>
      <c r="C457">
        <v>0</v>
      </c>
      <c r="D457">
        <v>0</v>
      </c>
      <c r="E457">
        <v>0</v>
      </c>
      <c r="F457" s="9"/>
    </row>
    <row r="458" spans="1:6" x14ac:dyDescent="0.25">
      <c r="A458">
        <v>0</v>
      </c>
      <c r="B458">
        <v>0</v>
      </c>
      <c r="C458">
        <v>0</v>
      </c>
      <c r="D458">
        <v>0</v>
      </c>
      <c r="E458">
        <v>0</v>
      </c>
      <c r="F458" s="9"/>
    </row>
    <row r="459" spans="1:6" x14ac:dyDescent="0.25">
      <c r="A459">
        <v>0</v>
      </c>
      <c r="B459">
        <v>0</v>
      </c>
      <c r="C459">
        <v>0</v>
      </c>
      <c r="D459">
        <v>0</v>
      </c>
      <c r="E459">
        <v>0</v>
      </c>
      <c r="F459" s="9"/>
    </row>
    <row r="460" spans="1:6" x14ac:dyDescent="0.25">
      <c r="A460">
        <v>0</v>
      </c>
      <c r="B460">
        <v>0</v>
      </c>
      <c r="C460">
        <v>0</v>
      </c>
      <c r="D460">
        <v>0</v>
      </c>
      <c r="E460">
        <v>0</v>
      </c>
      <c r="F460" s="9"/>
    </row>
    <row r="461" spans="1:6" x14ac:dyDescent="0.25">
      <c r="A461">
        <v>0</v>
      </c>
      <c r="B461">
        <v>0</v>
      </c>
      <c r="C461">
        <v>0</v>
      </c>
      <c r="D461">
        <v>0</v>
      </c>
      <c r="E461">
        <v>0</v>
      </c>
      <c r="F461" s="9"/>
    </row>
    <row r="462" spans="1:6" x14ac:dyDescent="0.25">
      <c r="A462">
        <v>0</v>
      </c>
      <c r="B462">
        <v>0</v>
      </c>
      <c r="C462">
        <v>0</v>
      </c>
      <c r="D462">
        <v>0</v>
      </c>
      <c r="E462">
        <v>0</v>
      </c>
      <c r="F462" s="9"/>
    </row>
    <row r="463" spans="1:6" x14ac:dyDescent="0.25">
      <c r="A463">
        <v>0</v>
      </c>
      <c r="B463">
        <v>0</v>
      </c>
      <c r="C463">
        <v>0</v>
      </c>
      <c r="D463">
        <v>0</v>
      </c>
      <c r="E463">
        <v>0</v>
      </c>
      <c r="F463" s="9"/>
    </row>
    <row r="464" spans="1:6" x14ac:dyDescent="0.25">
      <c r="A464">
        <v>0</v>
      </c>
      <c r="B464">
        <v>0</v>
      </c>
      <c r="C464">
        <v>0</v>
      </c>
      <c r="D464">
        <v>0</v>
      </c>
      <c r="E464">
        <v>0</v>
      </c>
      <c r="F464" s="9"/>
    </row>
    <row r="465" spans="1:6" x14ac:dyDescent="0.25">
      <c r="A465">
        <v>0</v>
      </c>
      <c r="B465">
        <v>0</v>
      </c>
      <c r="C465">
        <v>0</v>
      </c>
      <c r="D465">
        <v>0</v>
      </c>
      <c r="E465">
        <v>0</v>
      </c>
      <c r="F465" s="9"/>
    </row>
    <row r="466" spans="1:6" x14ac:dyDescent="0.25">
      <c r="A466">
        <v>0</v>
      </c>
      <c r="B466">
        <v>0</v>
      </c>
      <c r="C466">
        <v>0</v>
      </c>
      <c r="D466">
        <v>0</v>
      </c>
      <c r="E466">
        <v>0</v>
      </c>
      <c r="F466" s="9"/>
    </row>
    <row r="467" spans="1:6" x14ac:dyDescent="0.25">
      <c r="A467">
        <v>0</v>
      </c>
      <c r="B467">
        <v>0</v>
      </c>
      <c r="C467">
        <v>0</v>
      </c>
      <c r="D467">
        <v>0</v>
      </c>
      <c r="E467">
        <v>0</v>
      </c>
      <c r="F467" s="9"/>
    </row>
    <row r="468" spans="1:6" x14ac:dyDescent="0.25">
      <c r="A468">
        <v>0</v>
      </c>
      <c r="B468">
        <v>0</v>
      </c>
      <c r="C468">
        <v>0</v>
      </c>
      <c r="D468">
        <v>0</v>
      </c>
      <c r="E468">
        <v>0</v>
      </c>
      <c r="F468" s="9"/>
    </row>
    <row r="469" spans="1:6" x14ac:dyDescent="0.25">
      <c r="A469">
        <v>0</v>
      </c>
      <c r="B469">
        <v>0</v>
      </c>
      <c r="C469">
        <v>0</v>
      </c>
      <c r="D469">
        <v>0</v>
      </c>
      <c r="E469">
        <v>0</v>
      </c>
      <c r="F469" s="9"/>
    </row>
    <row r="470" spans="1:6" x14ac:dyDescent="0.25">
      <c r="A470">
        <v>0</v>
      </c>
      <c r="B470">
        <v>0</v>
      </c>
      <c r="C470">
        <v>0</v>
      </c>
      <c r="D470">
        <v>0</v>
      </c>
      <c r="E470">
        <v>0</v>
      </c>
      <c r="F470" s="9"/>
    </row>
    <row r="471" spans="1:6" x14ac:dyDescent="0.25">
      <c r="A471">
        <v>0</v>
      </c>
      <c r="B471">
        <v>0</v>
      </c>
      <c r="C471">
        <v>0</v>
      </c>
      <c r="D471">
        <v>0</v>
      </c>
      <c r="E471">
        <v>0</v>
      </c>
      <c r="F471" s="9"/>
    </row>
    <row r="472" spans="1:6" x14ac:dyDescent="0.25">
      <c r="A472">
        <v>0</v>
      </c>
      <c r="B472">
        <v>0</v>
      </c>
      <c r="C472">
        <v>0</v>
      </c>
      <c r="D472">
        <v>0</v>
      </c>
      <c r="E472">
        <v>0</v>
      </c>
      <c r="F472" s="9"/>
    </row>
    <row r="473" spans="1:6" x14ac:dyDescent="0.25">
      <c r="A473">
        <v>0</v>
      </c>
      <c r="B473">
        <v>0</v>
      </c>
      <c r="C473">
        <v>0</v>
      </c>
      <c r="D473">
        <v>0</v>
      </c>
      <c r="E473">
        <v>0</v>
      </c>
      <c r="F473" s="9"/>
    </row>
    <row r="474" spans="1:6" x14ac:dyDescent="0.25">
      <c r="A474">
        <v>0</v>
      </c>
      <c r="B474">
        <v>0</v>
      </c>
      <c r="C474">
        <v>0</v>
      </c>
      <c r="D474">
        <v>0</v>
      </c>
      <c r="E474">
        <v>0</v>
      </c>
      <c r="F474" s="9"/>
    </row>
    <row r="475" spans="1:6" x14ac:dyDescent="0.25">
      <c r="A475">
        <v>0</v>
      </c>
      <c r="B475">
        <v>0</v>
      </c>
      <c r="C475">
        <v>0</v>
      </c>
      <c r="D475">
        <v>0</v>
      </c>
      <c r="E475">
        <v>0</v>
      </c>
      <c r="F475" s="9"/>
    </row>
    <row r="476" spans="1:6" x14ac:dyDescent="0.25">
      <c r="A476">
        <v>0</v>
      </c>
      <c r="B476">
        <v>0</v>
      </c>
      <c r="C476">
        <v>0</v>
      </c>
      <c r="D476">
        <v>0</v>
      </c>
      <c r="E476">
        <v>0</v>
      </c>
      <c r="F476" s="9"/>
    </row>
    <row r="477" spans="1:6" x14ac:dyDescent="0.25">
      <c r="A477">
        <v>0</v>
      </c>
      <c r="B477">
        <v>0</v>
      </c>
      <c r="C477">
        <v>0</v>
      </c>
      <c r="D477">
        <v>0</v>
      </c>
      <c r="E477">
        <v>0</v>
      </c>
      <c r="F477" s="9"/>
    </row>
    <row r="478" spans="1:6" x14ac:dyDescent="0.25">
      <c r="A478">
        <v>0</v>
      </c>
      <c r="B478">
        <v>0</v>
      </c>
      <c r="C478">
        <v>0</v>
      </c>
      <c r="D478">
        <v>0</v>
      </c>
      <c r="E478">
        <v>0</v>
      </c>
      <c r="F478" s="9"/>
    </row>
    <row r="479" spans="1:6" x14ac:dyDescent="0.25">
      <c r="A479">
        <v>0</v>
      </c>
      <c r="B479">
        <v>0</v>
      </c>
      <c r="C479">
        <v>0</v>
      </c>
      <c r="D479">
        <v>0</v>
      </c>
      <c r="E479">
        <v>0</v>
      </c>
      <c r="F479" s="9"/>
    </row>
    <row r="480" spans="1:6" x14ac:dyDescent="0.25">
      <c r="A480">
        <v>0</v>
      </c>
      <c r="B480">
        <v>0</v>
      </c>
      <c r="C480">
        <v>0</v>
      </c>
      <c r="D480">
        <v>0</v>
      </c>
      <c r="E480">
        <v>0</v>
      </c>
      <c r="F480" s="9"/>
    </row>
    <row r="481" spans="1:6" x14ac:dyDescent="0.25">
      <c r="A481">
        <v>0</v>
      </c>
      <c r="B481">
        <v>0</v>
      </c>
      <c r="C481">
        <v>0</v>
      </c>
      <c r="D481">
        <v>0</v>
      </c>
      <c r="E481">
        <v>0</v>
      </c>
      <c r="F481" s="9"/>
    </row>
    <row r="482" spans="1:6" x14ac:dyDescent="0.25">
      <c r="A482">
        <v>0</v>
      </c>
      <c r="B482">
        <v>0</v>
      </c>
      <c r="C482">
        <v>0</v>
      </c>
      <c r="D482">
        <v>0</v>
      </c>
      <c r="E482">
        <v>0</v>
      </c>
      <c r="F482" s="9"/>
    </row>
    <row r="483" spans="1:6" x14ac:dyDescent="0.25">
      <c r="A483">
        <v>0</v>
      </c>
      <c r="B483">
        <v>0</v>
      </c>
      <c r="C483">
        <v>0</v>
      </c>
      <c r="D483">
        <v>0</v>
      </c>
      <c r="E483">
        <v>0</v>
      </c>
      <c r="F483" s="9"/>
    </row>
    <row r="484" spans="1:6" x14ac:dyDescent="0.25">
      <c r="A484">
        <v>0</v>
      </c>
      <c r="B484">
        <v>0</v>
      </c>
      <c r="C484">
        <v>0</v>
      </c>
      <c r="D484">
        <v>0</v>
      </c>
      <c r="E484">
        <v>0</v>
      </c>
      <c r="F484" s="9"/>
    </row>
    <row r="485" spans="1:6" x14ac:dyDescent="0.25">
      <c r="A485">
        <v>0</v>
      </c>
      <c r="B485">
        <v>0</v>
      </c>
      <c r="C485">
        <v>0</v>
      </c>
      <c r="D485">
        <v>0</v>
      </c>
      <c r="E485">
        <v>0</v>
      </c>
      <c r="F485" s="9"/>
    </row>
    <row r="486" spans="1:6" x14ac:dyDescent="0.25">
      <c r="A486">
        <v>0</v>
      </c>
      <c r="B486">
        <v>0</v>
      </c>
      <c r="C486">
        <v>0</v>
      </c>
      <c r="D486">
        <v>0</v>
      </c>
      <c r="E486">
        <v>0</v>
      </c>
      <c r="F486" s="9"/>
    </row>
    <row r="487" spans="1:6" x14ac:dyDescent="0.25">
      <c r="A487">
        <v>0</v>
      </c>
      <c r="B487">
        <v>0</v>
      </c>
      <c r="C487">
        <v>0</v>
      </c>
      <c r="D487">
        <v>0</v>
      </c>
      <c r="E487">
        <v>0</v>
      </c>
      <c r="F487" s="9"/>
    </row>
    <row r="488" spans="1:6" x14ac:dyDescent="0.25">
      <c r="A488">
        <v>0</v>
      </c>
      <c r="B488">
        <v>0</v>
      </c>
      <c r="C488">
        <v>0</v>
      </c>
      <c r="D488">
        <v>0</v>
      </c>
      <c r="E488">
        <v>0</v>
      </c>
      <c r="F488" s="9"/>
    </row>
    <row r="489" spans="1:6" x14ac:dyDescent="0.25">
      <c r="A489">
        <v>0</v>
      </c>
      <c r="B489">
        <v>0</v>
      </c>
      <c r="C489">
        <v>0</v>
      </c>
      <c r="D489">
        <v>0</v>
      </c>
      <c r="E489">
        <v>0</v>
      </c>
      <c r="F489" s="9"/>
    </row>
    <row r="490" spans="1:6" x14ac:dyDescent="0.25">
      <c r="A490">
        <v>0</v>
      </c>
      <c r="B490">
        <v>0</v>
      </c>
      <c r="C490">
        <v>0</v>
      </c>
      <c r="D490">
        <v>0</v>
      </c>
      <c r="E490">
        <v>0</v>
      </c>
      <c r="F490" s="9"/>
    </row>
    <row r="491" spans="1:6" x14ac:dyDescent="0.25">
      <c r="A491">
        <v>0</v>
      </c>
      <c r="B491">
        <v>0</v>
      </c>
      <c r="C491">
        <v>0</v>
      </c>
      <c r="D491">
        <v>0</v>
      </c>
      <c r="E491">
        <v>0</v>
      </c>
      <c r="F491" s="9"/>
    </row>
    <row r="492" spans="1:6" x14ac:dyDescent="0.25">
      <c r="A492">
        <v>0</v>
      </c>
      <c r="B492">
        <v>0</v>
      </c>
      <c r="C492">
        <v>0</v>
      </c>
      <c r="D492">
        <v>0</v>
      </c>
      <c r="E492">
        <v>0</v>
      </c>
      <c r="F492" s="9"/>
    </row>
    <row r="493" spans="1:6" x14ac:dyDescent="0.25">
      <c r="A493">
        <v>0</v>
      </c>
      <c r="B493">
        <v>0</v>
      </c>
      <c r="C493">
        <v>0</v>
      </c>
      <c r="D493">
        <v>0</v>
      </c>
      <c r="E493">
        <v>0</v>
      </c>
      <c r="F493" s="9"/>
    </row>
    <row r="494" spans="1:6" x14ac:dyDescent="0.25">
      <c r="A494">
        <v>0</v>
      </c>
      <c r="B494">
        <v>0</v>
      </c>
      <c r="C494">
        <v>0</v>
      </c>
      <c r="D494">
        <v>0</v>
      </c>
      <c r="E494">
        <v>0</v>
      </c>
      <c r="F494" s="9"/>
    </row>
    <row r="495" spans="1:6" x14ac:dyDescent="0.25">
      <c r="A495">
        <v>0</v>
      </c>
      <c r="B495">
        <v>0</v>
      </c>
      <c r="C495">
        <v>0</v>
      </c>
      <c r="D495">
        <v>0</v>
      </c>
      <c r="E495">
        <v>0</v>
      </c>
      <c r="F495" s="9"/>
    </row>
    <row r="496" spans="1:6" x14ac:dyDescent="0.25">
      <c r="A496">
        <v>0</v>
      </c>
      <c r="B496">
        <v>0</v>
      </c>
      <c r="C496">
        <v>0</v>
      </c>
      <c r="D496">
        <v>0</v>
      </c>
      <c r="E496">
        <v>0</v>
      </c>
      <c r="F496" s="9"/>
    </row>
    <row r="497" spans="1:6" x14ac:dyDescent="0.25">
      <c r="A497">
        <v>0</v>
      </c>
      <c r="B497">
        <v>0</v>
      </c>
      <c r="C497">
        <v>0</v>
      </c>
      <c r="D497">
        <v>0</v>
      </c>
      <c r="E497">
        <v>0</v>
      </c>
      <c r="F497" s="9"/>
    </row>
    <row r="498" spans="1:6" x14ac:dyDescent="0.25">
      <c r="A498">
        <v>0</v>
      </c>
      <c r="B498">
        <v>0</v>
      </c>
      <c r="C498">
        <v>0</v>
      </c>
      <c r="D498">
        <v>0</v>
      </c>
      <c r="E498">
        <v>0</v>
      </c>
      <c r="F498" s="9"/>
    </row>
    <row r="499" spans="1:6" x14ac:dyDescent="0.25">
      <c r="A499">
        <v>0</v>
      </c>
      <c r="B499">
        <v>0</v>
      </c>
      <c r="C499">
        <v>0</v>
      </c>
      <c r="D499">
        <v>0</v>
      </c>
      <c r="E499">
        <v>0</v>
      </c>
      <c r="F499" s="9"/>
    </row>
    <row r="500" spans="1:6" x14ac:dyDescent="0.25">
      <c r="A500">
        <v>0</v>
      </c>
      <c r="B500">
        <v>0</v>
      </c>
      <c r="C500">
        <v>0</v>
      </c>
      <c r="D500">
        <v>0</v>
      </c>
      <c r="E500">
        <v>0</v>
      </c>
      <c r="F50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500"/>
  <sheetViews>
    <sheetView topLeftCell="A23" workbookViewId="0">
      <selection activeCell="B40" sqref="B40"/>
    </sheetView>
  </sheetViews>
  <sheetFormatPr defaultColWidth="9.140625" defaultRowHeight="15" x14ac:dyDescent="0.25"/>
  <cols>
    <col min="1" max="2" width="46.7109375" style="37" bestFit="1" customWidth="1"/>
    <col min="3" max="3" width="7" style="37" bestFit="1" customWidth="1"/>
    <col min="4" max="4" width="12.42578125" style="37" bestFit="1" customWidth="1"/>
    <col min="5" max="5" width="7" style="37" bestFit="1" customWidth="1"/>
    <col min="6" max="11" width="9.140625" style="37" customWidth="1"/>
    <col min="12" max="16384" width="9.140625" style="37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6</v>
      </c>
      <c r="C2">
        <v>0</v>
      </c>
      <c r="D2">
        <v>0</v>
      </c>
      <c r="E2">
        <v>0</v>
      </c>
    </row>
    <row r="3" spans="1:5" x14ac:dyDescent="0.25">
      <c r="A3" t="s">
        <v>8</v>
      </c>
      <c r="B3" t="s">
        <v>8</v>
      </c>
      <c r="C3">
        <v>0</v>
      </c>
      <c r="D3">
        <v>0</v>
      </c>
      <c r="E3">
        <v>0</v>
      </c>
    </row>
    <row r="4" spans="1:5" x14ac:dyDescent="0.25">
      <c r="A4" t="s">
        <v>10</v>
      </c>
      <c r="B4" t="s">
        <v>10</v>
      </c>
      <c r="C4" t="s">
        <v>11</v>
      </c>
      <c r="D4">
        <v>0</v>
      </c>
      <c r="E4">
        <v>0</v>
      </c>
    </row>
    <row r="5" spans="1:5" x14ac:dyDescent="0.25">
      <c r="A5" t="s">
        <v>13</v>
      </c>
      <c r="B5" t="s">
        <v>14</v>
      </c>
      <c r="C5" t="s">
        <v>15</v>
      </c>
      <c r="D5">
        <v>0</v>
      </c>
      <c r="E5">
        <v>0</v>
      </c>
    </row>
    <row r="6" spans="1:5" x14ac:dyDescent="0.25">
      <c r="A6" t="s">
        <v>17</v>
      </c>
      <c r="B6" t="s">
        <v>14</v>
      </c>
      <c r="C6" t="s">
        <v>15</v>
      </c>
      <c r="D6">
        <v>0</v>
      </c>
      <c r="E6">
        <v>0</v>
      </c>
    </row>
    <row r="7" spans="1:5" x14ac:dyDescent="0.25">
      <c r="A7" t="s">
        <v>19</v>
      </c>
      <c r="B7" t="s">
        <v>14</v>
      </c>
      <c r="C7" t="s">
        <v>15</v>
      </c>
      <c r="D7">
        <v>0</v>
      </c>
      <c r="E7">
        <v>0</v>
      </c>
    </row>
    <row r="8" spans="1:5" x14ac:dyDescent="0.25">
      <c r="A8" t="s">
        <v>7</v>
      </c>
      <c r="B8" t="s">
        <v>7</v>
      </c>
      <c r="C8" t="s">
        <v>21</v>
      </c>
      <c r="D8">
        <v>0</v>
      </c>
      <c r="E8">
        <v>0</v>
      </c>
    </row>
    <row r="9" spans="1:5" x14ac:dyDescent="0.25">
      <c r="A9" t="s">
        <v>23</v>
      </c>
      <c r="B9" t="s">
        <v>24</v>
      </c>
      <c r="C9">
        <v>0</v>
      </c>
      <c r="D9">
        <v>0</v>
      </c>
      <c r="E9">
        <v>0</v>
      </c>
    </row>
    <row r="10" spans="1:5" x14ac:dyDescent="0.25">
      <c r="A10" t="s">
        <v>26</v>
      </c>
      <c r="B10" t="s">
        <v>24</v>
      </c>
      <c r="C10">
        <v>0</v>
      </c>
      <c r="D10">
        <v>0</v>
      </c>
      <c r="E10">
        <v>0</v>
      </c>
    </row>
    <row r="11" spans="1:5" x14ac:dyDescent="0.25">
      <c r="A11" t="s">
        <v>28</v>
      </c>
      <c r="B11" t="s">
        <v>24</v>
      </c>
      <c r="C11">
        <v>0</v>
      </c>
      <c r="D11">
        <v>0</v>
      </c>
      <c r="E11">
        <v>0</v>
      </c>
    </row>
    <row r="12" spans="1:5" x14ac:dyDescent="0.25">
      <c r="A12" t="s">
        <v>30</v>
      </c>
      <c r="B12" t="s">
        <v>31</v>
      </c>
      <c r="C12">
        <v>0</v>
      </c>
      <c r="D12">
        <v>0</v>
      </c>
      <c r="E12">
        <v>0</v>
      </c>
    </row>
    <row r="13" spans="1:5" x14ac:dyDescent="0.25">
      <c r="A13" t="s">
        <v>33</v>
      </c>
      <c r="B13" t="s">
        <v>31</v>
      </c>
      <c r="C13">
        <v>0</v>
      </c>
      <c r="D13">
        <v>0</v>
      </c>
      <c r="E13">
        <v>0</v>
      </c>
    </row>
    <row r="14" spans="1:5" x14ac:dyDescent="0.25">
      <c r="A14" t="s">
        <v>9</v>
      </c>
      <c r="B14" t="s">
        <v>12</v>
      </c>
      <c r="C14" t="s">
        <v>35</v>
      </c>
      <c r="D14">
        <v>0</v>
      </c>
      <c r="E14">
        <v>0</v>
      </c>
    </row>
    <row r="15" spans="1:5" x14ac:dyDescent="0.25">
      <c r="A15" t="s">
        <v>12</v>
      </c>
      <c r="B15" t="s">
        <v>12</v>
      </c>
      <c r="C15" t="s">
        <v>35</v>
      </c>
      <c r="D15">
        <v>0</v>
      </c>
      <c r="E15">
        <v>0</v>
      </c>
    </row>
    <row r="16" spans="1:5" x14ac:dyDescent="0.25">
      <c r="A16" t="s">
        <v>38</v>
      </c>
      <c r="B16" t="s">
        <v>38</v>
      </c>
      <c r="C16">
        <v>0</v>
      </c>
      <c r="D16">
        <v>0</v>
      </c>
      <c r="E16">
        <v>0</v>
      </c>
    </row>
    <row r="17" spans="1:5" x14ac:dyDescent="0.25">
      <c r="A17" t="s">
        <v>40</v>
      </c>
      <c r="B17" t="s">
        <v>40</v>
      </c>
      <c r="C17">
        <v>0</v>
      </c>
      <c r="D17">
        <v>0</v>
      </c>
      <c r="E17">
        <v>0</v>
      </c>
    </row>
    <row r="18" spans="1:5" x14ac:dyDescent="0.25">
      <c r="A18" t="s">
        <v>16</v>
      </c>
      <c r="B18" t="s">
        <v>16</v>
      </c>
      <c r="C18" t="s">
        <v>42</v>
      </c>
      <c r="D18">
        <v>0</v>
      </c>
      <c r="E18">
        <v>0</v>
      </c>
    </row>
    <row r="19" spans="1:5" x14ac:dyDescent="0.25">
      <c r="A19" t="s">
        <v>44</v>
      </c>
      <c r="B19" t="s">
        <v>40</v>
      </c>
      <c r="C19">
        <v>0</v>
      </c>
      <c r="D19">
        <v>0</v>
      </c>
      <c r="E19">
        <v>0</v>
      </c>
    </row>
    <row r="20" spans="1:5" x14ac:dyDescent="0.25">
      <c r="A20" t="s">
        <v>46</v>
      </c>
      <c r="B20" t="s">
        <v>40</v>
      </c>
      <c r="C20">
        <v>0</v>
      </c>
      <c r="D20">
        <v>0</v>
      </c>
      <c r="E20">
        <v>0</v>
      </c>
    </row>
    <row r="21" spans="1:5" x14ac:dyDescent="0.25">
      <c r="A21" t="s">
        <v>48</v>
      </c>
      <c r="B21" t="s">
        <v>40</v>
      </c>
      <c r="C21">
        <v>0</v>
      </c>
      <c r="D21">
        <v>0</v>
      </c>
      <c r="E21">
        <v>0</v>
      </c>
    </row>
    <row r="22" spans="1:5" x14ac:dyDescent="0.25">
      <c r="A22" t="s">
        <v>49</v>
      </c>
      <c r="B22" t="s">
        <v>50</v>
      </c>
      <c r="C22">
        <v>0</v>
      </c>
      <c r="D22">
        <v>0</v>
      </c>
      <c r="E22">
        <v>0</v>
      </c>
    </row>
    <row r="23" spans="1:5" x14ac:dyDescent="0.25">
      <c r="A23" t="s">
        <v>51</v>
      </c>
      <c r="B23" t="s">
        <v>52</v>
      </c>
      <c r="C23">
        <v>0</v>
      </c>
      <c r="D23">
        <v>0</v>
      </c>
      <c r="E23">
        <v>0</v>
      </c>
    </row>
    <row r="24" spans="1:5" x14ac:dyDescent="0.25">
      <c r="A24" t="s">
        <v>53</v>
      </c>
      <c r="B24" t="s">
        <v>54</v>
      </c>
      <c r="C24">
        <v>0</v>
      </c>
      <c r="D24">
        <v>0</v>
      </c>
      <c r="E24">
        <v>0</v>
      </c>
    </row>
    <row r="25" spans="1:5" x14ac:dyDescent="0.25">
      <c r="A25" t="s">
        <v>55</v>
      </c>
      <c r="B25" t="s">
        <v>56</v>
      </c>
      <c r="C25">
        <v>0</v>
      </c>
      <c r="D25">
        <v>0</v>
      </c>
      <c r="E25">
        <v>0</v>
      </c>
    </row>
    <row r="26" spans="1:5" x14ac:dyDescent="0.25">
      <c r="A26" t="s">
        <v>57</v>
      </c>
      <c r="B26" t="s">
        <v>58</v>
      </c>
      <c r="C26" t="s">
        <v>59</v>
      </c>
      <c r="D26">
        <v>0</v>
      </c>
      <c r="E26">
        <v>0</v>
      </c>
    </row>
    <row r="27" spans="1:5" x14ac:dyDescent="0.25">
      <c r="A27" t="s">
        <v>60</v>
      </c>
      <c r="B27" t="s">
        <v>58</v>
      </c>
      <c r="C27" t="s">
        <v>59</v>
      </c>
      <c r="D27">
        <v>0</v>
      </c>
      <c r="E27">
        <v>0</v>
      </c>
    </row>
    <row r="28" spans="1:5" x14ac:dyDescent="0.25">
      <c r="A28" t="s">
        <v>61</v>
      </c>
      <c r="B28" t="s">
        <v>58</v>
      </c>
      <c r="C28" t="s">
        <v>59</v>
      </c>
      <c r="D28">
        <v>0</v>
      </c>
      <c r="E28">
        <v>0</v>
      </c>
    </row>
    <row r="29" spans="1:5" x14ac:dyDescent="0.25">
      <c r="A29" t="s">
        <v>62</v>
      </c>
      <c r="B29" t="s">
        <v>62</v>
      </c>
      <c r="C29">
        <v>0</v>
      </c>
      <c r="D29">
        <v>0</v>
      </c>
      <c r="E29">
        <v>0</v>
      </c>
    </row>
    <row r="30" spans="1:5" x14ac:dyDescent="0.25">
      <c r="A30" t="s">
        <v>63</v>
      </c>
      <c r="B30" t="s">
        <v>63</v>
      </c>
      <c r="C30">
        <v>0</v>
      </c>
      <c r="D30">
        <v>0</v>
      </c>
      <c r="E30">
        <v>0</v>
      </c>
    </row>
    <row r="31" spans="1:5" x14ac:dyDescent="0.25">
      <c r="A31" t="s">
        <v>18</v>
      </c>
      <c r="B31" t="s">
        <v>18</v>
      </c>
      <c r="C31" t="s">
        <v>64</v>
      </c>
      <c r="D31">
        <v>0</v>
      </c>
      <c r="E31">
        <v>0</v>
      </c>
    </row>
    <row r="32" spans="1:5" x14ac:dyDescent="0.25">
      <c r="A32" t="s">
        <v>20</v>
      </c>
      <c r="B32" t="s">
        <v>18</v>
      </c>
      <c r="C32" t="s">
        <v>64</v>
      </c>
      <c r="D32">
        <v>0</v>
      </c>
      <c r="E32">
        <v>0</v>
      </c>
    </row>
    <row r="33" spans="1:5" x14ac:dyDescent="0.25">
      <c r="A33" t="s">
        <v>22</v>
      </c>
      <c r="B33" t="s">
        <v>22</v>
      </c>
      <c r="C33" t="s">
        <v>65</v>
      </c>
      <c r="D33">
        <v>0</v>
      </c>
      <c r="E33">
        <v>0</v>
      </c>
    </row>
    <row r="34" spans="1:5" x14ac:dyDescent="0.25">
      <c r="A34" t="s">
        <v>25</v>
      </c>
      <c r="B34" t="s">
        <v>22</v>
      </c>
      <c r="C34" t="s">
        <v>65</v>
      </c>
      <c r="D34">
        <v>0</v>
      </c>
      <c r="E34">
        <v>0</v>
      </c>
    </row>
    <row r="35" spans="1:5" x14ac:dyDescent="0.25">
      <c r="A35" t="s">
        <v>27</v>
      </c>
      <c r="B35" t="s">
        <v>27</v>
      </c>
      <c r="C35" t="s">
        <v>66</v>
      </c>
      <c r="D35">
        <v>0</v>
      </c>
      <c r="E35">
        <v>0</v>
      </c>
    </row>
    <row r="36" spans="1:5" x14ac:dyDescent="0.25">
      <c r="A36" t="s">
        <v>29</v>
      </c>
      <c r="B36" t="s">
        <v>29</v>
      </c>
      <c r="C36" t="s">
        <v>67</v>
      </c>
      <c r="D36">
        <v>0</v>
      </c>
      <c r="E36">
        <v>0</v>
      </c>
    </row>
    <row r="37" spans="1:5" x14ac:dyDescent="0.25">
      <c r="A37" t="s">
        <v>68</v>
      </c>
      <c r="B37" t="s">
        <v>69</v>
      </c>
      <c r="C37">
        <v>0</v>
      </c>
      <c r="D37">
        <v>0</v>
      </c>
      <c r="E37">
        <v>0</v>
      </c>
    </row>
    <row r="38" spans="1:5" x14ac:dyDescent="0.25">
      <c r="A38" t="s">
        <v>70</v>
      </c>
      <c r="B38" t="s">
        <v>70</v>
      </c>
      <c r="C38">
        <v>0</v>
      </c>
      <c r="D38">
        <v>0</v>
      </c>
      <c r="E38">
        <v>0</v>
      </c>
    </row>
    <row r="39" spans="1:5" x14ac:dyDescent="0.25">
      <c r="A39" t="s">
        <v>71</v>
      </c>
      <c r="B39" t="s">
        <v>71</v>
      </c>
      <c r="C39">
        <v>0</v>
      </c>
      <c r="D39">
        <v>0</v>
      </c>
      <c r="E39">
        <v>0</v>
      </c>
    </row>
    <row r="40" spans="1:5" x14ac:dyDescent="0.25">
      <c r="A40" t="s">
        <v>69</v>
      </c>
      <c r="B40" t="s">
        <v>69</v>
      </c>
      <c r="C40" t="s">
        <v>72</v>
      </c>
      <c r="D40" t="s">
        <v>73</v>
      </c>
      <c r="E40" t="s">
        <v>74</v>
      </c>
    </row>
    <row r="41" spans="1:5" x14ac:dyDescent="0.25">
      <c r="A41" t="s">
        <v>56</v>
      </c>
      <c r="B41" t="s">
        <v>56</v>
      </c>
      <c r="C41">
        <v>0</v>
      </c>
      <c r="D41">
        <v>0</v>
      </c>
      <c r="E41">
        <v>0</v>
      </c>
    </row>
    <row r="42" spans="1:5" x14ac:dyDescent="0.25">
      <c r="A42" t="s">
        <v>32</v>
      </c>
      <c r="B42" t="s">
        <v>32</v>
      </c>
      <c r="C42" t="s">
        <v>75</v>
      </c>
      <c r="D42">
        <v>0</v>
      </c>
      <c r="E42">
        <v>0</v>
      </c>
    </row>
    <row r="43" spans="1:5" x14ac:dyDescent="0.25">
      <c r="A43" t="s">
        <v>34</v>
      </c>
      <c r="B43" t="s">
        <v>34</v>
      </c>
      <c r="C43" t="s">
        <v>76</v>
      </c>
      <c r="D43">
        <v>0</v>
      </c>
      <c r="E43">
        <v>0</v>
      </c>
    </row>
    <row r="44" spans="1:5" x14ac:dyDescent="0.25">
      <c r="A44" t="s">
        <v>36</v>
      </c>
      <c r="B44" t="s">
        <v>36</v>
      </c>
      <c r="C44" t="s">
        <v>77</v>
      </c>
      <c r="D44">
        <v>0</v>
      </c>
      <c r="E44">
        <v>0</v>
      </c>
    </row>
    <row r="45" spans="1:5" x14ac:dyDescent="0.25">
      <c r="A45" t="s">
        <v>37</v>
      </c>
      <c r="B45" t="s">
        <v>37</v>
      </c>
      <c r="C45">
        <v>0</v>
      </c>
      <c r="D45">
        <v>0</v>
      </c>
      <c r="E45">
        <v>0</v>
      </c>
    </row>
    <row r="46" spans="1:5" x14ac:dyDescent="0.25">
      <c r="A46" t="s">
        <v>78</v>
      </c>
      <c r="B46" t="s">
        <v>78</v>
      </c>
      <c r="C46">
        <v>0</v>
      </c>
      <c r="D46">
        <v>0</v>
      </c>
      <c r="E46">
        <v>0</v>
      </c>
    </row>
    <row r="47" spans="1:5" x14ac:dyDescent="0.25">
      <c r="A47" t="s">
        <v>79</v>
      </c>
      <c r="B47" t="s">
        <v>79</v>
      </c>
      <c r="C47">
        <v>0</v>
      </c>
      <c r="D47">
        <v>0</v>
      </c>
      <c r="E47">
        <v>0</v>
      </c>
    </row>
    <row r="48" spans="1:5" x14ac:dyDescent="0.25">
      <c r="A48" t="s">
        <v>80</v>
      </c>
      <c r="B48" t="s">
        <v>80</v>
      </c>
      <c r="C48">
        <v>0</v>
      </c>
      <c r="D48">
        <v>0</v>
      </c>
      <c r="E48">
        <v>0</v>
      </c>
    </row>
    <row r="49" spans="1:5" x14ac:dyDescent="0.25">
      <c r="A49" t="s">
        <v>81</v>
      </c>
      <c r="B49" t="s">
        <v>54</v>
      </c>
      <c r="C49">
        <v>0</v>
      </c>
      <c r="D49">
        <v>0</v>
      </c>
      <c r="E49">
        <v>0</v>
      </c>
    </row>
    <row r="50" spans="1:5" x14ac:dyDescent="0.25">
      <c r="A50" t="s">
        <v>54</v>
      </c>
      <c r="B50" t="s">
        <v>54</v>
      </c>
      <c r="C50">
        <v>0</v>
      </c>
      <c r="D50">
        <v>0</v>
      </c>
      <c r="E50">
        <v>0</v>
      </c>
    </row>
    <row r="51" spans="1:5" x14ac:dyDescent="0.25">
      <c r="A51" t="s">
        <v>82</v>
      </c>
      <c r="B51" t="s">
        <v>82</v>
      </c>
      <c r="C51">
        <v>0</v>
      </c>
      <c r="D51">
        <v>0</v>
      </c>
      <c r="E51">
        <v>0</v>
      </c>
    </row>
    <row r="52" spans="1:5" x14ac:dyDescent="0.25">
      <c r="A52" t="s">
        <v>83</v>
      </c>
      <c r="B52" t="s">
        <v>84</v>
      </c>
      <c r="C52">
        <v>0</v>
      </c>
      <c r="D52">
        <v>0</v>
      </c>
      <c r="E52">
        <v>0</v>
      </c>
    </row>
    <row r="53" spans="1:5" x14ac:dyDescent="0.25">
      <c r="A53" t="s">
        <v>84</v>
      </c>
      <c r="B53" t="s">
        <v>84</v>
      </c>
      <c r="C53">
        <v>0</v>
      </c>
      <c r="D53">
        <v>0</v>
      </c>
      <c r="E53">
        <v>0</v>
      </c>
    </row>
    <row r="54" spans="1:5" x14ac:dyDescent="0.25">
      <c r="A54" t="s">
        <v>85</v>
      </c>
      <c r="B54" t="s">
        <v>58</v>
      </c>
      <c r="C54" t="s">
        <v>59</v>
      </c>
      <c r="D54">
        <v>0</v>
      </c>
      <c r="E54">
        <v>0</v>
      </c>
    </row>
    <row r="55" spans="1:5" x14ac:dyDescent="0.25">
      <c r="A55" t="s">
        <v>86</v>
      </c>
      <c r="B55" t="s">
        <v>58</v>
      </c>
      <c r="C55" t="s">
        <v>59</v>
      </c>
      <c r="D55">
        <v>0</v>
      </c>
      <c r="E55">
        <v>0</v>
      </c>
    </row>
    <row r="56" spans="1:5" x14ac:dyDescent="0.25">
      <c r="A56" t="s">
        <v>87</v>
      </c>
      <c r="B56" t="s">
        <v>58</v>
      </c>
      <c r="C56" t="s">
        <v>59</v>
      </c>
      <c r="D56">
        <v>0</v>
      </c>
      <c r="E56">
        <v>0</v>
      </c>
    </row>
    <row r="57" spans="1:5" x14ac:dyDescent="0.25">
      <c r="A57" t="s">
        <v>88</v>
      </c>
      <c r="B57" t="s">
        <v>88</v>
      </c>
      <c r="C57">
        <v>0</v>
      </c>
      <c r="D57">
        <v>0</v>
      </c>
      <c r="E57">
        <v>0</v>
      </c>
    </row>
    <row r="58" spans="1:5" x14ac:dyDescent="0.25">
      <c r="A58" t="s">
        <v>89</v>
      </c>
      <c r="B58" t="s">
        <v>89</v>
      </c>
      <c r="C58">
        <v>0</v>
      </c>
      <c r="D58">
        <v>0</v>
      </c>
      <c r="E58">
        <v>0</v>
      </c>
    </row>
    <row r="59" spans="1:5" x14ac:dyDescent="0.25">
      <c r="A59" t="s">
        <v>90</v>
      </c>
      <c r="B59" t="s">
        <v>90</v>
      </c>
      <c r="C59">
        <v>0</v>
      </c>
      <c r="D59">
        <v>0</v>
      </c>
      <c r="E59">
        <v>0</v>
      </c>
    </row>
    <row r="60" spans="1:5" x14ac:dyDescent="0.25">
      <c r="A60" t="s">
        <v>91</v>
      </c>
      <c r="B60" t="s">
        <v>91</v>
      </c>
      <c r="C60">
        <v>0</v>
      </c>
      <c r="D60">
        <v>0</v>
      </c>
      <c r="E60">
        <v>0</v>
      </c>
    </row>
    <row r="61" spans="1:5" x14ac:dyDescent="0.25">
      <c r="A61" t="s">
        <v>92</v>
      </c>
      <c r="B61" t="s">
        <v>92</v>
      </c>
      <c r="C61">
        <v>0</v>
      </c>
      <c r="D61">
        <v>0</v>
      </c>
      <c r="E61">
        <v>0</v>
      </c>
    </row>
    <row r="62" spans="1:5" x14ac:dyDescent="0.25">
      <c r="A62" t="s">
        <v>93</v>
      </c>
      <c r="B62" t="s">
        <v>93</v>
      </c>
      <c r="C62">
        <v>0</v>
      </c>
      <c r="D62">
        <v>0</v>
      </c>
      <c r="E62">
        <v>0</v>
      </c>
    </row>
    <row r="63" spans="1:5" x14ac:dyDescent="0.25">
      <c r="A63" t="s">
        <v>47</v>
      </c>
      <c r="B63" t="s">
        <v>47</v>
      </c>
      <c r="C63" t="s">
        <v>94</v>
      </c>
      <c r="D63">
        <v>0</v>
      </c>
      <c r="E63">
        <v>0</v>
      </c>
    </row>
    <row r="64" spans="1:5" x14ac:dyDescent="0.25">
      <c r="A64" t="s">
        <v>95</v>
      </c>
      <c r="B64" t="s">
        <v>96</v>
      </c>
      <c r="C64">
        <v>0</v>
      </c>
      <c r="D64">
        <v>0</v>
      </c>
      <c r="E64">
        <v>0</v>
      </c>
    </row>
    <row r="65" spans="1:5" x14ac:dyDescent="0.25">
      <c r="A65" t="s">
        <v>97</v>
      </c>
      <c r="B65" t="s">
        <v>96</v>
      </c>
      <c r="C65">
        <v>0</v>
      </c>
      <c r="D65">
        <v>0</v>
      </c>
      <c r="E65">
        <v>0</v>
      </c>
    </row>
    <row r="66" spans="1:5" x14ac:dyDescent="0.25">
      <c r="A66" t="s">
        <v>98</v>
      </c>
      <c r="B66" t="s">
        <v>98</v>
      </c>
      <c r="C66">
        <v>0</v>
      </c>
      <c r="D66">
        <v>0</v>
      </c>
      <c r="E66">
        <v>0</v>
      </c>
    </row>
    <row r="67" spans="1:5" x14ac:dyDescent="0.25">
      <c r="A67" t="s">
        <v>99</v>
      </c>
      <c r="B67" t="s">
        <v>96</v>
      </c>
      <c r="C67">
        <v>0</v>
      </c>
      <c r="D67">
        <v>0</v>
      </c>
      <c r="E67">
        <v>0</v>
      </c>
    </row>
    <row r="68" spans="1:5" x14ac:dyDescent="0.25">
      <c r="A68" t="s">
        <v>100</v>
      </c>
      <c r="B68" t="s">
        <v>100</v>
      </c>
      <c r="C68">
        <v>0</v>
      </c>
      <c r="D68">
        <v>0</v>
      </c>
      <c r="E68">
        <v>0</v>
      </c>
    </row>
    <row r="69" spans="1:5" x14ac:dyDescent="0.25">
      <c r="A69" t="s">
        <v>101</v>
      </c>
      <c r="B69" t="s">
        <v>101</v>
      </c>
      <c r="C69">
        <v>0</v>
      </c>
      <c r="D69">
        <v>0</v>
      </c>
      <c r="E69">
        <v>0</v>
      </c>
    </row>
    <row r="70" spans="1:5" x14ac:dyDescent="0.25">
      <c r="A70" t="s">
        <v>102</v>
      </c>
      <c r="B70" t="s">
        <v>103</v>
      </c>
      <c r="C70" t="s">
        <v>104</v>
      </c>
      <c r="D70">
        <v>0</v>
      </c>
      <c r="E70">
        <v>0</v>
      </c>
    </row>
    <row r="71" spans="1:5" x14ac:dyDescent="0.25">
      <c r="A71" t="s">
        <v>105</v>
      </c>
      <c r="B71" t="s">
        <v>103</v>
      </c>
      <c r="C71" t="s">
        <v>104</v>
      </c>
      <c r="D71">
        <v>0</v>
      </c>
      <c r="E71">
        <v>0</v>
      </c>
    </row>
    <row r="72" spans="1:5" x14ac:dyDescent="0.25">
      <c r="A72" t="s">
        <v>106</v>
      </c>
      <c r="B72" t="s">
        <v>103</v>
      </c>
      <c r="C72" t="s">
        <v>104</v>
      </c>
      <c r="D72">
        <v>0</v>
      </c>
      <c r="E72">
        <v>0</v>
      </c>
    </row>
    <row r="73" spans="1:5" x14ac:dyDescent="0.25">
      <c r="A73" t="s">
        <v>107</v>
      </c>
      <c r="B73" t="s">
        <v>107</v>
      </c>
      <c r="C73" t="s">
        <v>108</v>
      </c>
      <c r="D73">
        <v>0</v>
      </c>
      <c r="E73">
        <v>0</v>
      </c>
    </row>
    <row r="74" spans="1:5" x14ac:dyDescent="0.25">
      <c r="A74" t="s">
        <v>109</v>
      </c>
      <c r="B74" t="s">
        <v>107</v>
      </c>
      <c r="C74" t="s">
        <v>108</v>
      </c>
      <c r="D74">
        <v>0</v>
      </c>
      <c r="E74">
        <v>0</v>
      </c>
    </row>
    <row r="75" spans="1:5" x14ac:dyDescent="0.25">
      <c r="A75" t="s">
        <v>110</v>
      </c>
      <c r="B75" t="s">
        <v>110</v>
      </c>
      <c r="C75">
        <v>0</v>
      </c>
      <c r="D75">
        <v>0</v>
      </c>
      <c r="E75">
        <v>0</v>
      </c>
    </row>
    <row r="76" spans="1:5" x14ac:dyDescent="0.25">
      <c r="A76" t="s">
        <v>111</v>
      </c>
      <c r="B76" t="s">
        <v>111</v>
      </c>
      <c r="C76">
        <v>0</v>
      </c>
      <c r="D76">
        <v>0</v>
      </c>
      <c r="E76">
        <v>0</v>
      </c>
    </row>
    <row r="77" spans="1:5" x14ac:dyDescent="0.25">
      <c r="A77" t="s">
        <v>112</v>
      </c>
      <c r="B77" t="s">
        <v>112</v>
      </c>
      <c r="C77">
        <v>0</v>
      </c>
      <c r="D77">
        <v>0</v>
      </c>
      <c r="E77">
        <v>0</v>
      </c>
    </row>
    <row r="78" spans="1:5" x14ac:dyDescent="0.25">
      <c r="A78" t="s">
        <v>113</v>
      </c>
      <c r="B78" t="s">
        <v>112</v>
      </c>
      <c r="C78">
        <v>0</v>
      </c>
      <c r="D78">
        <v>0</v>
      </c>
      <c r="E78">
        <v>0</v>
      </c>
    </row>
    <row r="79" spans="1:5" x14ac:dyDescent="0.25">
      <c r="A79" t="s">
        <v>39</v>
      </c>
      <c r="B79" t="s">
        <v>39</v>
      </c>
      <c r="C79" t="s">
        <v>114</v>
      </c>
      <c r="D79">
        <v>0</v>
      </c>
      <c r="E79">
        <v>0</v>
      </c>
    </row>
    <row r="80" spans="1:5" x14ac:dyDescent="0.25">
      <c r="A80" t="s">
        <v>115</v>
      </c>
      <c r="B80" t="s">
        <v>115</v>
      </c>
      <c r="C80">
        <v>0</v>
      </c>
      <c r="D80">
        <v>0</v>
      </c>
      <c r="E80">
        <v>0</v>
      </c>
    </row>
    <row r="81" spans="1:5" x14ac:dyDescent="0.25">
      <c r="A81" t="s">
        <v>116</v>
      </c>
      <c r="B81" t="s">
        <v>116</v>
      </c>
      <c r="C81">
        <v>0</v>
      </c>
      <c r="D81">
        <v>0</v>
      </c>
      <c r="E81">
        <v>0</v>
      </c>
    </row>
    <row r="82" spans="1:5" x14ac:dyDescent="0.25">
      <c r="A82" t="s">
        <v>117</v>
      </c>
      <c r="B82" t="s">
        <v>118</v>
      </c>
      <c r="C82" t="s">
        <v>119</v>
      </c>
      <c r="D82">
        <v>0</v>
      </c>
      <c r="E82">
        <v>0</v>
      </c>
    </row>
    <row r="83" spans="1:5" x14ac:dyDescent="0.25">
      <c r="A83" t="s">
        <v>120</v>
      </c>
      <c r="B83" t="s">
        <v>120</v>
      </c>
      <c r="C83">
        <v>0</v>
      </c>
      <c r="D83">
        <v>0</v>
      </c>
      <c r="E83">
        <v>0</v>
      </c>
    </row>
    <row r="84" spans="1:5" x14ac:dyDescent="0.25">
      <c r="A84" t="s">
        <v>121</v>
      </c>
      <c r="B84" t="s">
        <v>121</v>
      </c>
      <c r="C84">
        <v>0</v>
      </c>
      <c r="D84">
        <v>0</v>
      </c>
      <c r="E84">
        <v>0</v>
      </c>
    </row>
    <row r="85" spans="1:5" x14ac:dyDescent="0.25">
      <c r="A85" t="s">
        <v>122</v>
      </c>
      <c r="B85" t="s">
        <v>118</v>
      </c>
      <c r="C85" t="s">
        <v>72</v>
      </c>
      <c r="D85" t="s">
        <v>123</v>
      </c>
      <c r="E85" t="s">
        <v>124</v>
      </c>
    </row>
    <row r="86" spans="1:5" x14ac:dyDescent="0.25">
      <c r="A86" t="s">
        <v>125</v>
      </c>
      <c r="B86" t="s">
        <v>118</v>
      </c>
      <c r="C86" t="s">
        <v>72</v>
      </c>
      <c r="D86" t="s">
        <v>123</v>
      </c>
      <c r="E86" t="s">
        <v>124</v>
      </c>
    </row>
    <row r="87" spans="1:5" x14ac:dyDescent="0.25">
      <c r="A87" t="s">
        <v>126</v>
      </c>
      <c r="B87" t="s">
        <v>126</v>
      </c>
      <c r="C87">
        <v>0</v>
      </c>
      <c r="D87">
        <v>0</v>
      </c>
      <c r="E87">
        <v>0</v>
      </c>
    </row>
    <row r="88" spans="1:5" x14ac:dyDescent="0.25">
      <c r="A88" t="s">
        <v>127</v>
      </c>
      <c r="B88" t="s">
        <v>128</v>
      </c>
      <c r="C88">
        <v>0</v>
      </c>
      <c r="D88">
        <v>0</v>
      </c>
      <c r="E88">
        <v>0</v>
      </c>
    </row>
    <row r="89" spans="1:5" x14ac:dyDescent="0.25">
      <c r="A89" t="s">
        <v>129</v>
      </c>
      <c r="B89" t="s">
        <v>128</v>
      </c>
      <c r="C89">
        <v>0</v>
      </c>
      <c r="D89">
        <v>0</v>
      </c>
      <c r="E89">
        <v>0</v>
      </c>
    </row>
    <row r="90" spans="1:5" x14ac:dyDescent="0.25">
      <c r="A90" t="s">
        <v>41</v>
      </c>
      <c r="B90" t="s">
        <v>41</v>
      </c>
      <c r="C90" t="s">
        <v>130</v>
      </c>
      <c r="D90">
        <v>0</v>
      </c>
      <c r="E90">
        <v>0</v>
      </c>
    </row>
    <row r="91" spans="1:5" x14ac:dyDescent="0.25">
      <c r="A91" t="s">
        <v>43</v>
      </c>
      <c r="B91" t="s">
        <v>131</v>
      </c>
      <c r="C91" t="s">
        <v>132</v>
      </c>
      <c r="D91" t="s">
        <v>133</v>
      </c>
      <c r="E91" t="s">
        <v>134</v>
      </c>
    </row>
    <row r="92" spans="1:5" x14ac:dyDescent="0.25">
      <c r="A92" t="s">
        <v>135</v>
      </c>
      <c r="B92" t="s">
        <v>135</v>
      </c>
      <c r="C92" t="s">
        <v>136</v>
      </c>
      <c r="D92" t="s">
        <v>137</v>
      </c>
      <c r="E92">
        <v>0</v>
      </c>
    </row>
    <row r="93" spans="1:5" x14ac:dyDescent="0.25">
      <c r="A93" t="s">
        <v>138</v>
      </c>
      <c r="B93" t="s">
        <v>135</v>
      </c>
      <c r="C93" t="s">
        <v>136</v>
      </c>
      <c r="D93" t="s">
        <v>137</v>
      </c>
      <c r="E93">
        <v>0</v>
      </c>
    </row>
    <row r="94" spans="1:5" x14ac:dyDescent="0.25">
      <c r="A94" t="s">
        <v>45</v>
      </c>
      <c r="B94" t="s">
        <v>45</v>
      </c>
      <c r="C94" t="s">
        <v>139</v>
      </c>
      <c r="D94">
        <v>0</v>
      </c>
      <c r="E94">
        <v>0</v>
      </c>
    </row>
    <row r="95" spans="1:5" x14ac:dyDescent="0.25">
      <c r="A95" t="s">
        <v>140</v>
      </c>
      <c r="B95" t="s">
        <v>140</v>
      </c>
      <c r="C95">
        <v>0</v>
      </c>
      <c r="D95">
        <v>0</v>
      </c>
      <c r="E95">
        <v>0</v>
      </c>
    </row>
    <row r="96" spans="1:5" x14ac:dyDescent="0.25">
      <c r="A96" t="s">
        <v>141</v>
      </c>
      <c r="B96" t="s">
        <v>56</v>
      </c>
      <c r="C96">
        <v>0</v>
      </c>
      <c r="D96">
        <v>0</v>
      </c>
      <c r="E96">
        <v>0</v>
      </c>
    </row>
    <row r="97" spans="1:5" x14ac:dyDescent="0.25">
      <c r="A97">
        <v>0</v>
      </c>
      <c r="B97">
        <v>0</v>
      </c>
      <c r="C97">
        <v>0</v>
      </c>
      <c r="D97">
        <v>0</v>
      </c>
      <c r="E97">
        <v>0</v>
      </c>
    </row>
    <row r="98" spans="1:5" x14ac:dyDescent="0.25">
      <c r="A98">
        <v>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>
        <v>0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>
        <v>0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>
        <v>0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>
        <v>0</v>
      </c>
      <c r="B102">
        <v>0</v>
      </c>
      <c r="C102">
        <v>0</v>
      </c>
      <c r="D102">
        <v>0</v>
      </c>
      <c r="E102">
        <v>0</v>
      </c>
    </row>
    <row r="103" spans="1:5" x14ac:dyDescent="0.25">
      <c r="A103">
        <v>0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>
        <v>0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>
        <v>0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>
        <v>0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>
        <v>0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>
        <v>0</v>
      </c>
      <c r="B108">
        <v>0</v>
      </c>
      <c r="C108">
        <v>0</v>
      </c>
      <c r="D108">
        <v>0</v>
      </c>
      <c r="E108">
        <v>0</v>
      </c>
    </row>
    <row r="109" spans="1:5" x14ac:dyDescent="0.25">
      <c r="A109">
        <v>0</v>
      </c>
      <c r="B109">
        <v>0</v>
      </c>
      <c r="C109">
        <v>0</v>
      </c>
      <c r="D109">
        <v>0</v>
      </c>
      <c r="E109">
        <v>0</v>
      </c>
    </row>
    <row r="110" spans="1:5" x14ac:dyDescent="0.25">
      <c r="A110">
        <v>0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>
        <v>0</v>
      </c>
      <c r="B111">
        <v>0</v>
      </c>
      <c r="C111">
        <v>0</v>
      </c>
      <c r="D111">
        <v>0</v>
      </c>
      <c r="E111">
        <v>0</v>
      </c>
    </row>
    <row r="112" spans="1:5" x14ac:dyDescent="0.25">
      <c r="A112">
        <v>0</v>
      </c>
      <c r="B112">
        <v>0</v>
      </c>
      <c r="C112">
        <v>0</v>
      </c>
      <c r="D112">
        <v>0</v>
      </c>
      <c r="E112">
        <v>0</v>
      </c>
    </row>
    <row r="113" spans="1:5" x14ac:dyDescent="0.25">
      <c r="A113">
        <v>0</v>
      </c>
      <c r="B113">
        <v>0</v>
      </c>
      <c r="C113">
        <v>0</v>
      </c>
      <c r="D113">
        <v>0</v>
      </c>
      <c r="E113">
        <v>0</v>
      </c>
    </row>
    <row r="114" spans="1:5" x14ac:dyDescent="0.25">
      <c r="A114">
        <v>0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>
        <v>0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>
        <v>0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>
        <v>0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>
        <v>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>
        <v>0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>
        <v>0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>
        <v>0</v>
      </c>
      <c r="B121">
        <v>0</v>
      </c>
      <c r="C121">
        <v>0</v>
      </c>
      <c r="D121">
        <v>0</v>
      </c>
      <c r="E121">
        <v>0</v>
      </c>
    </row>
    <row r="122" spans="1:5" x14ac:dyDescent="0.25">
      <c r="A122">
        <v>0</v>
      </c>
      <c r="B122">
        <v>0</v>
      </c>
      <c r="C122">
        <v>0</v>
      </c>
      <c r="D122">
        <v>0</v>
      </c>
      <c r="E122">
        <v>0</v>
      </c>
    </row>
    <row r="123" spans="1:5" x14ac:dyDescent="0.25">
      <c r="A123">
        <v>0</v>
      </c>
      <c r="B123">
        <v>0</v>
      </c>
      <c r="C123">
        <v>0</v>
      </c>
      <c r="D123">
        <v>0</v>
      </c>
      <c r="E123">
        <v>0</v>
      </c>
    </row>
    <row r="124" spans="1:5" x14ac:dyDescent="0.25">
      <c r="A124">
        <v>0</v>
      </c>
      <c r="B124">
        <v>0</v>
      </c>
      <c r="C124">
        <v>0</v>
      </c>
      <c r="D124">
        <v>0</v>
      </c>
      <c r="E124">
        <v>0</v>
      </c>
    </row>
    <row r="125" spans="1:5" x14ac:dyDescent="0.25">
      <c r="A125">
        <v>0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>
        <v>0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>
        <v>0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>
        <v>0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>
        <v>0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>
        <v>0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>
        <v>0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>
        <v>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>
        <v>0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>
        <v>0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>
        <v>0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>
        <v>0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>
        <v>0</v>
      </c>
      <c r="B137">
        <v>0</v>
      </c>
      <c r="C137">
        <v>0</v>
      </c>
      <c r="D137">
        <v>0</v>
      </c>
      <c r="E137">
        <v>0</v>
      </c>
    </row>
    <row r="138" spans="1:5" x14ac:dyDescent="0.25">
      <c r="A138">
        <v>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>
        <v>0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>
        <v>0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>
        <v>0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>
        <v>0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>
        <v>0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>
        <v>0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>
        <v>0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>
        <v>0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>
        <v>0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>
        <v>0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>
        <v>0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>
        <v>0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>
        <v>0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>
        <v>0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>
        <v>0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>
        <v>0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>
        <v>0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>
        <v>0</v>
      </c>
      <c r="B156">
        <v>0</v>
      </c>
      <c r="C156">
        <v>0</v>
      </c>
      <c r="D156">
        <v>0</v>
      </c>
      <c r="E156">
        <v>0</v>
      </c>
    </row>
    <row r="157" spans="1:5" x14ac:dyDescent="0.25">
      <c r="A157">
        <v>0</v>
      </c>
      <c r="B157">
        <v>0</v>
      </c>
      <c r="C157">
        <v>0</v>
      </c>
      <c r="D157">
        <v>0</v>
      </c>
      <c r="E157">
        <v>0</v>
      </c>
    </row>
    <row r="158" spans="1:5" x14ac:dyDescent="0.25">
      <c r="A158">
        <v>0</v>
      </c>
      <c r="B158">
        <v>0</v>
      </c>
      <c r="C158">
        <v>0</v>
      </c>
      <c r="D158">
        <v>0</v>
      </c>
      <c r="E158">
        <v>0</v>
      </c>
    </row>
    <row r="159" spans="1:5" x14ac:dyDescent="0.25">
      <c r="A159">
        <v>0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>
        <v>0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>
        <v>0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>
        <v>0</v>
      </c>
      <c r="B162">
        <v>0</v>
      </c>
      <c r="C162">
        <v>0</v>
      </c>
      <c r="D162">
        <v>0</v>
      </c>
      <c r="E162">
        <v>0</v>
      </c>
    </row>
    <row r="163" spans="1:5" x14ac:dyDescent="0.25">
      <c r="A163">
        <v>0</v>
      </c>
      <c r="B163">
        <v>0</v>
      </c>
      <c r="C163">
        <v>0</v>
      </c>
      <c r="D163">
        <v>0</v>
      </c>
      <c r="E163">
        <v>0</v>
      </c>
    </row>
    <row r="164" spans="1:5" x14ac:dyDescent="0.25">
      <c r="A164">
        <v>0</v>
      </c>
      <c r="B164">
        <v>0</v>
      </c>
      <c r="C164">
        <v>0</v>
      </c>
      <c r="D164">
        <v>0</v>
      </c>
      <c r="E164">
        <v>0</v>
      </c>
    </row>
    <row r="165" spans="1:5" x14ac:dyDescent="0.25">
      <c r="A165">
        <v>0</v>
      </c>
      <c r="B165">
        <v>0</v>
      </c>
      <c r="C165">
        <v>0</v>
      </c>
      <c r="D165">
        <v>0</v>
      </c>
      <c r="E165">
        <v>0</v>
      </c>
    </row>
    <row r="166" spans="1:5" x14ac:dyDescent="0.25">
      <c r="A166">
        <v>0</v>
      </c>
      <c r="B166">
        <v>0</v>
      </c>
      <c r="C166">
        <v>0</v>
      </c>
      <c r="D166">
        <v>0</v>
      </c>
      <c r="E166">
        <v>0</v>
      </c>
    </row>
    <row r="167" spans="1:5" x14ac:dyDescent="0.25">
      <c r="A167">
        <v>0</v>
      </c>
      <c r="B167">
        <v>0</v>
      </c>
      <c r="C167">
        <v>0</v>
      </c>
      <c r="D167">
        <v>0</v>
      </c>
      <c r="E167">
        <v>0</v>
      </c>
    </row>
    <row r="168" spans="1:5" x14ac:dyDescent="0.25">
      <c r="A168">
        <v>0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>
        <v>0</v>
      </c>
      <c r="B169">
        <v>0</v>
      </c>
      <c r="C169">
        <v>0</v>
      </c>
      <c r="D169">
        <v>0</v>
      </c>
      <c r="E169">
        <v>0</v>
      </c>
    </row>
    <row r="170" spans="1:5" x14ac:dyDescent="0.25">
      <c r="A170">
        <v>0</v>
      </c>
      <c r="B170">
        <v>0</v>
      </c>
      <c r="C170">
        <v>0</v>
      </c>
      <c r="D170">
        <v>0</v>
      </c>
      <c r="E170">
        <v>0</v>
      </c>
    </row>
    <row r="171" spans="1:5" x14ac:dyDescent="0.25">
      <c r="A171">
        <v>0</v>
      </c>
      <c r="B171">
        <v>0</v>
      </c>
      <c r="C171">
        <v>0</v>
      </c>
      <c r="D171">
        <v>0</v>
      </c>
      <c r="E171">
        <v>0</v>
      </c>
    </row>
    <row r="172" spans="1:5" x14ac:dyDescent="0.25">
      <c r="A172">
        <v>0</v>
      </c>
      <c r="B172">
        <v>0</v>
      </c>
      <c r="C172">
        <v>0</v>
      </c>
      <c r="D172">
        <v>0</v>
      </c>
      <c r="E172">
        <v>0</v>
      </c>
    </row>
    <row r="173" spans="1:5" x14ac:dyDescent="0.25">
      <c r="A173">
        <v>0</v>
      </c>
      <c r="B173">
        <v>0</v>
      </c>
      <c r="C173">
        <v>0</v>
      </c>
      <c r="D173">
        <v>0</v>
      </c>
      <c r="E173">
        <v>0</v>
      </c>
    </row>
    <row r="174" spans="1:5" x14ac:dyDescent="0.25">
      <c r="A174">
        <v>0</v>
      </c>
      <c r="B174">
        <v>0</v>
      </c>
      <c r="C174">
        <v>0</v>
      </c>
      <c r="D174">
        <v>0</v>
      </c>
      <c r="E174">
        <v>0</v>
      </c>
    </row>
    <row r="175" spans="1:5" x14ac:dyDescent="0.25">
      <c r="A175">
        <v>0</v>
      </c>
      <c r="B175">
        <v>0</v>
      </c>
      <c r="C175">
        <v>0</v>
      </c>
      <c r="D175">
        <v>0</v>
      </c>
      <c r="E175">
        <v>0</v>
      </c>
    </row>
    <row r="176" spans="1:5" x14ac:dyDescent="0.25">
      <c r="A176">
        <v>0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>
        <v>0</v>
      </c>
      <c r="B177">
        <v>0</v>
      </c>
      <c r="C177">
        <v>0</v>
      </c>
      <c r="D177">
        <v>0</v>
      </c>
      <c r="E177">
        <v>0</v>
      </c>
    </row>
    <row r="178" spans="1:5" x14ac:dyDescent="0.25">
      <c r="A178">
        <v>0</v>
      </c>
      <c r="B178">
        <v>0</v>
      </c>
      <c r="C178">
        <v>0</v>
      </c>
      <c r="D178">
        <v>0</v>
      </c>
      <c r="E178">
        <v>0</v>
      </c>
    </row>
    <row r="179" spans="1:5" x14ac:dyDescent="0.25">
      <c r="A179">
        <v>0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>
        <v>0</v>
      </c>
      <c r="B180">
        <v>0</v>
      </c>
      <c r="C180">
        <v>0</v>
      </c>
      <c r="D180">
        <v>0</v>
      </c>
      <c r="E180">
        <v>0</v>
      </c>
    </row>
    <row r="181" spans="1:5" x14ac:dyDescent="0.25">
      <c r="A181">
        <v>0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>
        <v>0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>
        <v>0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>
        <v>0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>
        <v>0</v>
      </c>
      <c r="B185">
        <v>0</v>
      </c>
      <c r="C185">
        <v>0</v>
      </c>
      <c r="D185">
        <v>0</v>
      </c>
      <c r="E185">
        <v>0</v>
      </c>
    </row>
    <row r="186" spans="1:5" x14ac:dyDescent="0.25">
      <c r="A186">
        <v>0</v>
      </c>
      <c r="B186">
        <v>0</v>
      </c>
      <c r="C186">
        <v>0</v>
      </c>
      <c r="D186">
        <v>0</v>
      </c>
      <c r="E186">
        <v>0</v>
      </c>
    </row>
    <row r="187" spans="1:5" x14ac:dyDescent="0.25">
      <c r="A187">
        <v>0</v>
      </c>
      <c r="B187">
        <v>0</v>
      </c>
      <c r="C187">
        <v>0</v>
      </c>
      <c r="D187">
        <v>0</v>
      </c>
      <c r="E187">
        <v>0</v>
      </c>
    </row>
    <row r="188" spans="1:5" x14ac:dyDescent="0.25">
      <c r="A188">
        <v>0</v>
      </c>
      <c r="B188">
        <v>0</v>
      </c>
      <c r="C188">
        <v>0</v>
      </c>
      <c r="D188">
        <v>0</v>
      </c>
      <c r="E188">
        <v>0</v>
      </c>
    </row>
    <row r="189" spans="1:5" x14ac:dyDescent="0.25">
      <c r="A189">
        <v>0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>
        <v>0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>
        <v>0</v>
      </c>
      <c r="B191">
        <v>0</v>
      </c>
      <c r="C191">
        <v>0</v>
      </c>
      <c r="D191">
        <v>0</v>
      </c>
      <c r="E191">
        <v>0</v>
      </c>
    </row>
    <row r="192" spans="1:5" x14ac:dyDescent="0.25">
      <c r="A192">
        <v>0</v>
      </c>
      <c r="B192">
        <v>0</v>
      </c>
      <c r="C192">
        <v>0</v>
      </c>
      <c r="D192">
        <v>0</v>
      </c>
      <c r="E192">
        <v>0</v>
      </c>
    </row>
    <row r="193" spans="1:5" x14ac:dyDescent="0.25">
      <c r="A193">
        <v>0</v>
      </c>
      <c r="B193">
        <v>0</v>
      </c>
      <c r="C193">
        <v>0</v>
      </c>
      <c r="D193">
        <v>0</v>
      </c>
      <c r="E193">
        <v>0</v>
      </c>
    </row>
    <row r="194" spans="1:5" x14ac:dyDescent="0.25">
      <c r="A194">
        <v>0</v>
      </c>
      <c r="B194">
        <v>0</v>
      </c>
      <c r="C194">
        <v>0</v>
      </c>
      <c r="D194">
        <v>0</v>
      </c>
      <c r="E194">
        <v>0</v>
      </c>
    </row>
    <row r="195" spans="1:5" x14ac:dyDescent="0.25">
      <c r="A195">
        <v>0</v>
      </c>
      <c r="B195">
        <v>0</v>
      </c>
      <c r="C195">
        <v>0</v>
      </c>
      <c r="D195">
        <v>0</v>
      </c>
      <c r="E195">
        <v>0</v>
      </c>
    </row>
    <row r="196" spans="1:5" x14ac:dyDescent="0.25">
      <c r="A196">
        <v>0</v>
      </c>
      <c r="B196">
        <v>0</v>
      </c>
      <c r="C196">
        <v>0</v>
      </c>
      <c r="D196">
        <v>0</v>
      </c>
      <c r="E196">
        <v>0</v>
      </c>
    </row>
    <row r="197" spans="1:5" x14ac:dyDescent="0.25">
      <c r="A197">
        <v>0</v>
      </c>
      <c r="B197">
        <v>0</v>
      </c>
      <c r="C197">
        <v>0</v>
      </c>
      <c r="D197">
        <v>0</v>
      </c>
      <c r="E197">
        <v>0</v>
      </c>
    </row>
    <row r="198" spans="1:5" x14ac:dyDescent="0.25">
      <c r="A198">
        <v>0</v>
      </c>
      <c r="B198">
        <v>0</v>
      </c>
      <c r="C198">
        <v>0</v>
      </c>
      <c r="D198">
        <v>0</v>
      </c>
      <c r="E198">
        <v>0</v>
      </c>
    </row>
    <row r="199" spans="1:5" x14ac:dyDescent="0.25">
      <c r="A199">
        <v>0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>
        <v>0</v>
      </c>
      <c r="B200">
        <v>0</v>
      </c>
      <c r="C200">
        <v>0</v>
      </c>
      <c r="D200">
        <v>0</v>
      </c>
      <c r="E200">
        <v>0</v>
      </c>
    </row>
    <row r="201" spans="1:5" x14ac:dyDescent="0.25">
      <c r="A201">
        <v>0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>
        <v>0</v>
      </c>
      <c r="B202">
        <v>0</v>
      </c>
      <c r="C202">
        <v>0</v>
      </c>
      <c r="D202">
        <v>0</v>
      </c>
      <c r="E202">
        <v>0</v>
      </c>
    </row>
    <row r="203" spans="1:5" x14ac:dyDescent="0.25">
      <c r="A203">
        <v>0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>
        <v>0</v>
      </c>
      <c r="B204">
        <v>0</v>
      </c>
      <c r="C204">
        <v>0</v>
      </c>
      <c r="D204">
        <v>0</v>
      </c>
      <c r="E204">
        <v>0</v>
      </c>
    </row>
    <row r="205" spans="1:5" x14ac:dyDescent="0.25">
      <c r="A205">
        <v>0</v>
      </c>
      <c r="B205">
        <v>0</v>
      </c>
      <c r="C205">
        <v>0</v>
      </c>
      <c r="D205">
        <v>0</v>
      </c>
      <c r="E205">
        <v>0</v>
      </c>
    </row>
    <row r="206" spans="1:5" x14ac:dyDescent="0.25">
      <c r="A206">
        <v>0</v>
      </c>
      <c r="B206">
        <v>0</v>
      </c>
      <c r="C206">
        <v>0</v>
      </c>
      <c r="D206">
        <v>0</v>
      </c>
      <c r="E206">
        <v>0</v>
      </c>
    </row>
    <row r="207" spans="1:5" x14ac:dyDescent="0.25">
      <c r="A207">
        <v>0</v>
      </c>
      <c r="B207">
        <v>0</v>
      </c>
      <c r="C207">
        <v>0</v>
      </c>
      <c r="D207">
        <v>0</v>
      </c>
      <c r="E207">
        <v>0</v>
      </c>
    </row>
    <row r="208" spans="1:5" x14ac:dyDescent="0.25">
      <c r="A208">
        <v>0</v>
      </c>
      <c r="B208">
        <v>0</v>
      </c>
      <c r="C208">
        <v>0</v>
      </c>
      <c r="D208">
        <v>0</v>
      </c>
      <c r="E208">
        <v>0</v>
      </c>
    </row>
    <row r="209" spans="1:5" x14ac:dyDescent="0.25">
      <c r="A209">
        <v>0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>
        <v>0</v>
      </c>
      <c r="B210">
        <v>0</v>
      </c>
      <c r="C210">
        <v>0</v>
      </c>
      <c r="D210">
        <v>0</v>
      </c>
      <c r="E210">
        <v>0</v>
      </c>
    </row>
    <row r="211" spans="1:5" x14ac:dyDescent="0.25">
      <c r="A211">
        <v>0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>
        <v>0</v>
      </c>
      <c r="B212">
        <v>0</v>
      </c>
      <c r="C212">
        <v>0</v>
      </c>
      <c r="D212">
        <v>0</v>
      </c>
      <c r="E212">
        <v>0</v>
      </c>
    </row>
    <row r="213" spans="1:5" x14ac:dyDescent="0.25">
      <c r="A213">
        <v>0</v>
      </c>
      <c r="B213">
        <v>0</v>
      </c>
      <c r="C213">
        <v>0</v>
      </c>
      <c r="D213">
        <v>0</v>
      </c>
      <c r="E213">
        <v>0</v>
      </c>
    </row>
    <row r="214" spans="1:5" x14ac:dyDescent="0.25">
      <c r="A214">
        <v>0</v>
      </c>
      <c r="B214">
        <v>0</v>
      </c>
      <c r="C214">
        <v>0</v>
      </c>
      <c r="D214">
        <v>0</v>
      </c>
      <c r="E214">
        <v>0</v>
      </c>
    </row>
    <row r="215" spans="1:5" x14ac:dyDescent="0.25">
      <c r="A215">
        <v>0</v>
      </c>
      <c r="B215">
        <v>0</v>
      </c>
      <c r="C215">
        <v>0</v>
      </c>
      <c r="D215">
        <v>0</v>
      </c>
      <c r="E215">
        <v>0</v>
      </c>
    </row>
    <row r="216" spans="1:5" x14ac:dyDescent="0.25">
      <c r="A216">
        <v>0</v>
      </c>
      <c r="B216">
        <v>0</v>
      </c>
      <c r="C216">
        <v>0</v>
      </c>
      <c r="D216">
        <v>0</v>
      </c>
      <c r="E216">
        <v>0</v>
      </c>
    </row>
    <row r="217" spans="1:5" x14ac:dyDescent="0.25">
      <c r="A217">
        <v>0</v>
      </c>
      <c r="B217">
        <v>0</v>
      </c>
      <c r="C217">
        <v>0</v>
      </c>
      <c r="D217">
        <v>0</v>
      </c>
      <c r="E217">
        <v>0</v>
      </c>
    </row>
    <row r="218" spans="1:5" x14ac:dyDescent="0.25">
      <c r="A218">
        <v>0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>
        <v>0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>
        <v>0</v>
      </c>
      <c r="B220">
        <v>0</v>
      </c>
      <c r="C220">
        <v>0</v>
      </c>
      <c r="D220">
        <v>0</v>
      </c>
      <c r="E220">
        <v>0</v>
      </c>
    </row>
    <row r="221" spans="1:5" x14ac:dyDescent="0.25">
      <c r="A221">
        <v>0</v>
      </c>
      <c r="B221">
        <v>0</v>
      </c>
      <c r="C221">
        <v>0</v>
      </c>
      <c r="D221">
        <v>0</v>
      </c>
      <c r="E221">
        <v>0</v>
      </c>
    </row>
    <row r="222" spans="1:5" x14ac:dyDescent="0.25">
      <c r="A222">
        <v>0</v>
      </c>
      <c r="B222">
        <v>0</v>
      </c>
      <c r="C222">
        <v>0</v>
      </c>
      <c r="D222">
        <v>0</v>
      </c>
      <c r="E222">
        <v>0</v>
      </c>
    </row>
    <row r="223" spans="1:5" x14ac:dyDescent="0.25">
      <c r="A223">
        <v>0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>
        <v>0</v>
      </c>
      <c r="B224">
        <v>0</v>
      </c>
      <c r="C224">
        <v>0</v>
      </c>
      <c r="D224">
        <v>0</v>
      </c>
      <c r="E224">
        <v>0</v>
      </c>
    </row>
    <row r="225" spans="1:5" x14ac:dyDescent="0.25">
      <c r="A225">
        <v>0</v>
      </c>
      <c r="B225">
        <v>0</v>
      </c>
      <c r="C225">
        <v>0</v>
      </c>
      <c r="D225">
        <v>0</v>
      </c>
      <c r="E225">
        <v>0</v>
      </c>
    </row>
    <row r="226" spans="1:5" x14ac:dyDescent="0.25">
      <c r="A226">
        <v>0</v>
      </c>
      <c r="B226">
        <v>0</v>
      </c>
      <c r="C226">
        <v>0</v>
      </c>
      <c r="D226">
        <v>0</v>
      </c>
      <c r="E226">
        <v>0</v>
      </c>
    </row>
    <row r="227" spans="1:5" x14ac:dyDescent="0.25">
      <c r="A227">
        <v>0</v>
      </c>
      <c r="B227">
        <v>0</v>
      </c>
      <c r="C227">
        <v>0</v>
      </c>
      <c r="D227">
        <v>0</v>
      </c>
      <c r="E227">
        <v>0</v>
      </c>
    </row>
    <row r="228" spans="1:5" x14ac:dyDescent="0.25">
      <c r="A228">
        <v>0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>
        <v>0</v>
      </c>
      <c r="B229">
        <v>0</v>
      </c>
      <c r="C229">
        <v>0</v>
      </c>
      <c r="D229">
        <v>0</v>
      </c>
      <c r="E229">
        <v>0</v>
      </c>
    </row>
    <row r="230" spans="1:5" x14ac:dyDescent="0.25">
      <c r="A230">
        <v>0</v>
      </c>
      <c r="B230">
        <v>0</v>
      </c>
      <c r="C230">
        <v>0</v>
      </c>
      <c r="D230">
        <v>0</v>
      </c>
      <c r="E230">
        <v>0</v>
      </c>
    </row>
    <row r="231" spans="1:5" x14ac:dyDescent="0.25">
      <c r="A231">
        <v>0</v>
      </c>
      <c r="B231">
        <v>0</v>
      </c>
      <c r="C231">
        <v>0</v>
      </c>
      <c r="D231">
        <v>0</v>
      </c>
      <c r="E231">
        <v>0</v>
      </c>
    </row>
    <row r="232" spans="1:5" x14ac:dyDescent="0.25">
      <c r="A232">
        <v>0</v>
      </c>
      <c r="B232">
        <v>0</v>
      </c>
      <c r="C232">
        <v>0</v>
      </c>
      <c r="D232">
        <v>0</v>
      </c>
      <c r="E232">
        <v>0</v>
      </c>
    </row>
    <row r="233" spans="1:5" x14ac:dyDescent="0.25">
      <c r="A233">
        <v>0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>
        <v>0</v>
      </c>
      <c r="B234">
        <v>0</v>
      </c>
      <c r="C234">
        <v>0</v>
      </c>
      <c r="D234">
        <v>0</v>
      </c>
      <c r="E234">
        <v>0</v>
      </c>
    </row>
    <row r="235" spans="1:5" x14ac:dyDescent="0.25">
      <c r="A235">
        <v>0</v>
      </c>
      <c r="B235">
        <v>0</v>
      </c>
      <c r="C235">
        <v>0</v>
      </c>
      <c r="D235">
        <v>0</v>
      </c>
      <c r="E235">
        <v>0</v>
      </c>
    </row>
    <row r="236" spans="1:5" x14ac:dyDescent="0.25">
      <c r="A236">
        <v>0</v>
      </c>
      <c r="B236">
        <v>0</v>
      </c>
      <c r="C236">
        <v>0</v>
      </c>
      <c r="D236">
        <v>0</v>
      </c>
      <c r="E236">
        <v>0</v>
      </c>
    </row>
    <row r="237" spans="1:5" x14ac:dyDescent="0.25">
      <c r="A237">
        <v>0</v>
      </c>
      <c r="B237">
        <v>0</v>
      </c>
      <c r="C237">
        <v>0</v>
      </c>
      <c r="D237">
        <v>0</v>
      </c>
      <c r="E237">
        <v>0</v>
      </c>
    </row>
    <row r="238" spans="1:5" x14ac:dyDescent="0.25">
      <c r="A238">
        <v>0</v>
      </c>
      <c r="B238">
        <v>0</v>
      </c>
      <c r="C238">
        <v>0</v>
      </c>
      <c r="D238">
        <v>0</v>
      </c>
      <c r="E238">
        <v>0</v>
      </c>
    </row>
    <row r="239" spans="1:5" x14ac:dyDescent="0.25">
      <c r="A239">
        <v>0</v>
      </c>
      <c r="B239">
        <v>0</v>
      </c>
      <c r="C239">
        <v>0</v>
      </c>
      <c r="D239">
        <v>0</v>
      </c>
      <c r="E239">
        <v>0</v>
      </c>
    </row>
    <row r="240" spans="1:5" x14ac:dyDescent="0.25">
      <c r="A240">
        <v>0</v>
      </c>
      <c r="B240">
        <v>0</v>
      </c>
      <c r="C240">
        <v>0</v>
      </c>
      <c r="D240">
        <v>0</v>
      </c>
      <c r="E240">
        <v>0</v>
      </c>
    </row>
    <row r="241" spans="1:5" x14ac:dyDescent="0.25">
      <c r="A241">
        <v>0</v>
      </c>
      <c r="B241">
        <v>0</v>
      </c>
      <c r="C241">
        <v>0</v>
      </c>
      <c r="D241">
        <v>0</v>
      </c>
      <c r="E241">
        <v>0</v>
      </c>
    </row>
    <row r="242" spans="1:5" x14ac:dyDescent="0.25">
      <c r="A242">
        <v>0</v>
      </c>
      <c r="B242">
        <v>0</v>
      </c>
      <c r="C242">
        <v>0</v>
      </c>
      <c r="D242">
        <v>0</v>
      </c>
      <c r="E242">
        <v>0</v>
      </c>
    </row>
    <row r="243" spans="1:5" x14ac:dyDescent="0.25">
      <c r="A243">
        <v>0</v>
      </c>
      <c r="B243">
        <v>0</v>
      </c>
      <c r="C243">
        <v>0</v>
      </c>
      <c r="D243">
        <v>0</v>
      </c>
      <c r="E243">
        <v>0</v>
      </c>
    </row>
    <row r="244" spans="1:5" x14ac:dyDescent="0.25">
      <c r="A244">
        <v>0</v>
      </c>
      <c r="B244">
        <v>0</v>
      </c>
      <c r="C244">
        <v>0</v>
      </c>
      <c r="D244">
        <v>0</v>
      </c>
      <c r="E244">
        <v>0</v>
      </c>
    </row>
    <row r="245" spans="1:5" x14ac:dyDescent="0.25">
      <c r="A245">
        <v>0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>
        <v>0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>
        <v>0</v>
      </c>
      <c r="B247">
        <v>0</v>
      </c>
      <c r="C247">
        <v>0</v>
      </c>
      <c r="D247">
        <v>0</v>
      </c>
      <c r="E247">
        <v>0</v>
      </c>
    </row>
    <row r="248" spans="1:5" x14ac:dyDescent="0.25">
      <c r="A248">
        <v>0</v>
      </c>
      <c r="B248">
        <v>0</v>
      </c>
      <c r="C248">
        <v>0</v>
      </c>
      <c r="D248">
        <v>0</v>
      </c>
      <c r="E248">
        <v>0</v>
      </c>
    </row>
    <row r="249" spans="1:5" x14ac:dyDescent="0.25">
      <c r="A249">
        <v>0</v>
      </c>
      <c r="B249">
        <v>0</v>
      </c>
      <c r="C249">
        <v>0</v>
      </c>
      <c r="D249">
        <v>0</v>
      </c>
      <c r="E249">
        <v>0</v>
      </c>
    </row>
    <row r="250" spans="1:5" x14ac:dyDescent="0.25">
      <c r="A250">
        <v>0</v>
      </c>
      <c r="B250">
        <v>0</v>
      </c>
      <c r="C250">
        <v>0</v>
      </c>
      <c r="D250">
        <v>0</v>
      </c>
      <c r="E250">
        <v>0</v>
      </c>
    </row>
    <row r="251" spans="1:5" x14ac:dyDescent="0.25">
      <c r="A251">
        <v>0</v>
      </c>
      <c r="B251">
        <v>0</v>
      </c>
      <c r="C251">
        <v>0</v>
      </c>
      <c r="D251">
        <v>0</v>
      </c>
      <c r="E251">
        <v>0</v>
      </c>
    </row>
    <row r="252" spans="1:5" x14ac:dyDescent="0.25">
      <c r="A252">
        <v>0</v>
      </c>
      <c r="B252">
        <v>0</v>
      </c>
      <c r="C252">
        <v>0</v>
      </c>
      <c r="D252">
        <v>0</v>
      </c>
      <c r="E252">
        <v>0</v>
      </c>
    </row>
    <row r="253" spans="1:5" x14ac:dyDescent="0.25">
      <c r="A253">
        <v>0</v>
      </c>
      <c r="B253">
        <v>0</v>
      </c>
      <c r="C253">
        <v>0</v>
      </c>
      <c r="D253">
        <v>0</v>
      </c>
      <c r="E253">
        <v>0</v>
      </c>
    </row>
    <row r="254" spans="1:5" x14ac:dyDescent="0.25">
      <c r="A254">
        <v>0</v>
      </c>
      <c r="B254">
        <v>0</v>
      </c>
      <c r="C254">
        <v>0</v>
      </c>
      <c r="D254">
        <v>0</v>
      </c>
      <c r="E254">
        <v>0</v>
      </c>
    </row>
    <row r="255" spans="1:5" x14ac:dyDescent="0.25">
      <c r="A255">
        <v>0</v>
      </c>
      <c r="B255">
        <v>0</v>
      </c>
      <c r="C255">
        <v>0</v>
      </c>
      <c r="D255">
        <v>0</v>
      </c>
      <c r="E255">
        <v>0</v>
      </c>
    </row>
    <row r="256" spans="1:5" x14ac:dyDescent="0.25">
      <c r="A256">
        <v>0</v>
      </c>
      <c r="B256">
        <v>0</v>
      </c>
      <c r="C256">
        <v>0</v>
      </c>
      <c r="D256">
        <v>0</v>
      </c>
      <c r="E256">
        <v>0</v>
      </c>
    </row>
    <row r="257" spans="1:5" x14ac:dyDescent="0.25">
      <c r="A257">
        <v>0</v>
      </c>
      <c r="B257">
        <v>0</v>
      </c>
      <c r="C257">
        <v>0</v>
      </c>
      <c r="D257">
        <v>0</v>
      </c>
      <c r="E257">
        <v>0</v>
      </c>
    </row>
    <row r="258" spans="1:5" x14ac:dyDescent="0.25">
      <c r="A258">
        <v>0</v>
      </c>
      <c r="B258">
        <v>0</v>
      </c>
      <c r="C258">
        <v>0</v>
      </c>
      <c r="D258">
        <v>0</v>
      </c>
      <c r="E258">
        <v>0</v>
      </c>
    </row>
    <row r="259" spans="1:5" x14ac:dyDescent="0.25">
      <c r="A259">
        <v>0</v>
      </c>
      <c r="B259">
        <v>0</v>
      </c>
      <c r="C259">
        <v>0</v>
      </c>
      <c r="D259">
        <v>0</v>
      </c>
      <c r="E259">
        <v>0</v>
      </c>
    </row>
    <row r="260" spans="1:5" x14ac:dyDescent="0.25">
      <c r="A260">
        <v>0</v>
      </c>
      <c r="B260">
        <v>0</v>
      </c>
      <c r="C260">
        <v>0</v>
      </c>
      <c r="D260">
        <v>0</v>
      </c>
      <c r="E260">
        <v>0</v>
      </c>
    </row>
    <row r="261" spans="1:5" x14ac:dyDescent="0.25">
      <c r="A261">
        <v>0</v>
      </c>
      <c r="B261">
        <v>0</v>
      </c>
      <c r="C261">
        <v>0</v>
      </c>
      <c r="D261">
        <v>0</v>
      </c>
      <c r="E261">
        <v>0</v>
      </c>
    </row>
    <row r="262" spans="1:5" x14ac:dyDescent="0.25">
      <c r="A262">
        <v>0</v>
      </c>
      <c r="B262">
        <v>0</v>
      </c>
      <c r="C262">
        <v>0</v>
      </c>
      <c r="D262">
        <v>0</v>
      </c>
      <c r="E262">
        <v>0</v>
      </c>
    </row>
    <row r="263" spans="1:5" x14ac:dyDescent="0.25">
      <c r="A263">
        <v>0</v>
      </c>
      <c r="B263">
        <v>0</v>
      </c>
      <c r="C263">
        <v>0</v>
      </c>
      <c r="D263">
        <v>0</v>
      </c>
      <c r="E263">
        <v>0</v>
      </c>
    </row>
    <row r="264" spans="1:5" x14ac:dyDescent="0.25">
      <c r="A264">
        <v>0</v>
      </c>
      <c r="B264">
        <v>0</v>
      </c>
      <c r="C264">
        <v>0</v>
      </c>
      <c r="D264">
        <v>0</v>
      </c>
      <c r="E264">
        <v>0</v>
      </c>
    </row>
    <row r="265" spans="1:5" x14ac:dyDescent="0.25">
      <c r="A265">
        <v>0</v>
      </c>
      <c r="B265">
        <v>0</v>
      </c>
      <c r="C265">
        <v>0</v>
      </c>
      <c r="D265">
        <v>0</v>
      </c>
      <c r="E265">
        <v>0</v>
      </c>
    </row>
    <row r="266" spans="1:5" x14ac:dyDescent="0.25">
      <c r="A266">
        <v>0</v>
      </c>
      <c r="B266">
        <v>0</v>
      </c>
      <c r="C266">
        <v>0</v>
      </c>
      <c r="D266">
        <v>0</v>
      </c>
      <c r="E266">
        <v>0</v>
      </c>
    </row>
    <row r="267" spans="1:5" x14ac:dyDescent="0.25">
      <c r="A267">
        <v>0</v>
      </c>
      <c r="B267">
        <v>0</v>
      </c>
      <c r="C267">
        <v>0</v>
      </c>
      <c r="D267">
        <v>0</v>
      </c>
      <c r="E267">
        <v>0</v>
      </c>
    </row>
    <row r="268" spans="1:5" x14ac:dyDescent="0.25">
      <c r="A268">
        <v>0</v>
      </c>
      <c r="B268">
        <v>0</v>
      </c>
      <c r="C268">
        <v>0</v>
      </c>
      <c r="D268">
        <v>0</v>
      </c>
      <c r="E268">
        <v>0</v>
      </c>
    </row>
    <row r="269" spans="1:5" x14ac:dyDescent="0.25">
      <c r="A269">
        <v>0</v>
      </c>
      <c r="B269">
        <v>0</v>
      </c>
      <c r="C269">
        <v>0</v>
      </c>
      <c r="D269">
        <v>0</v>
      </c>
      <c r="E269">
        <v>0</v>
      </c>
    </row>
    <row r="270" spans="1:5" x14ac:dyDescent="0.25">
      <c r="A270">
        <v>0</v>
      </c>
      <c r="B270">
        <v>0</v>
      </c>
      <c r="C270">
        <v>0</v>
      </c>
      <c r="D270">
        <v>0</v>
      </c>
      <c r="E270">
        <v>0</v>
      </c>
    </row>
    <row r="271" spans="1:5" x14ac:dyDescent="0.25">
      <c r="A271">
        <v>0</v>
      </c>
      <c r="B271">
        <v>0</v>
      </c>
      <c r="C271">
        <v>0</v>
      </c>
      <c r="D271">
        <v>0</v>
      </c>
      <c r="E271">
        <v>0</v>
      </c>
    </row>
    <row r="272" spans="1:5" x14ac:dyDescent="0.25">
      <c r="A272">
        <v>0</v>
      </c>
      <c r="B272">
        <v>0</v>
      </c>
      <c r="C272">
        <v>0</v>
      </c>
      <c r="D272">
        <v>0</v>
      </c>
      <c r="E272">
        <v>0</v>
      </c>
    </row>
    <row r="273" spans="1:5" x14ac:dyDescent="0.25">
      <c r="A273">
        <v>0</v>
      </c>
      <c r="B273">
        <v>0</v>
      </c>
      <c r="C273">
        <v>0</v>
      </c>
      <c r="D273">
        <v>0</v>
      </c>
      <c r="E273">
        <v>0</v>
      </c>
    </row>
    <row r="274" spans="1:5" x14ac:dyDescent="0.25">
      <c r="A274">
        <v>0</v>
      </c>
      <c r="B274">
        <v>0</v>
      </c>
      <c r="C274">
        <v>0</v>
      </c>
      <c r="D274">
        <v>0</v>
      </c>
      <c r="E274">
        <v>0</v>
      </c>
    </row>
    <row r="275" spans="1:5" x14ac:dyDescent="0.25">
      <c r="A275">
        <v>0</v>
      </c>
      <c r="B275">
        <v>0</v>
      </c>
      <c r="C275">
        <v>0</v>
      </c>
      <c r="D275">
        <v>0</v>
      </c>
      <c r="E275">
        <v>0</v>
      </c>
    </row>
    <row r="276" spans="1:5" x14ac:dyDescent="0.25">
      <c r="A276">
        <v>0</v>
      </c>
      <c r="B276">
        <v>0</v>
      </c>
      <c r="C276">
        <v>0</v>
      </c>
      <c r="D276">
        <v>0</v>
      </c>
      <c r="E276">
        <v>0</v>
      </c>
    </row>
    <row r="277" spans="1:5" x14ac:dyDescent="0.25">
      <c r="A277">
        <v>0</v>
      </c>
      <c r="B277">
        <v>0</v>
      </c>
      <c r="C277">
        <v>0</v>
      </c>
      <c r="D277">
        <v>0</v>
      </c>
      <c r="E277">
        <v>0</v>
      </c>
    </row>
    <row r="278" spans="1:5" x14ac:dyDescent="0.25">
      <c r="A278">
        <v>0</v>
      </c>
      <c r="B278">
        <v>0</v>
      </c>
      <c r="C278">
        <v>0</v>
      </c>
      <c r="D278">
        <v>0</v>
      </c>
      <c r="E278">
        <v>0</v>
      </c>
    </row>
    <row r="279" spans="1:5" x14ac:dyDescent="0.25">
      <c r="A279">
        <v>0</v>
      </c>
      <c r="B279">
        <v>0</v>
      </c>
      <c r="C279">
        <v>0</v>
      </c>
      <c r="D279">
        <v>0</v>
      </c>
      <c r="E279">
        <v>0</v>
      </c>
    </row>
    <row r="280" spans="1:5" x14ac:dyDescent="0.25">
      <c r="A280">
        <v>0</v>
      </c>
      <c r="B280">
        <v>0</v>
      </c>
      <c r="C280">
        <v>0</v>
      </c>
      <c r="D280">
        <v>0</v>
      </c>
      <c r="E280">
        <v>0</v>
      </c>
    </row>
    <row r="281" spans="1:5" x14ac:dyDescent="0.25">
      <c r="A281">
        <v>0</v>
      </c>
      <c r="B281">
        <v>0</v>
      </c>
      <c r="C281">
        <v>0</v>
      </c>
      <c r="D281">
        <v>0</v>
      </c>
      <c r="E281">
        <v>0</v>
      </c>
    </row>
    <row r="282" spans="1:5" x14ac:dyDescent="0.25">
      <c r="A282">
        <v>0</v>
      </c>
      <c r="B282">
        <v>0</v>
      </c>
      <c r="C282">
        <v>0</v>
      </c>
      <c r="D282">
        <v>0</v>
      </c>
      <c r="E282">
        <v>0</v>
      </c>
    </row>
    <row r="283" spans="1:5" x14ac:dyDescent="0.25">
      <c r="A283">
        <v>0</v>
      </c>
      <c r="B283">
        <v>0</v>
      </c>
      <c r="C283">
        <v>0</v>
      </c>
      <c r="D283">
        <v>0</v>
      </c>
      <c r="E283">
        <v>0</v>
      </c>
    </row>
    <row r="284" spans="1:5" x14ac:dyDescent="0.25">
      <c r="A284">
        <v>0</v>
      </c>
      <c r="B284">
        <v>0</v>
      </c>
      <c r="C284">
        <v>0</v>
      </c>
      <c r="D284">
        <v>0</v>
      </c>
      <c r="E284">
        <v>0</v>
      </c>
    </row>
    <row r="285" spans="1:5" x14ac:dyDescent="0.25">
      <c r="A285">
        <v>0</v>
      </c>
      <c r="B285">
        <v>0</v>
      </c>
      <c r="C285">
        <v>0</v>
      </c>
      <c r="D285">
        <v>0</v>
      </c>
      <c r="E285">
        <v>0</v>
      </c>
    </row>
    <row r="286" spans="1:5" x14ac:dyDescent="0.25">
      <c r="A286">
        <v>0</v>
      </c>
      <c r="B286">
        <v>0</v>
      </c>
      <c r="C286">
        <v>0</v>
      </c>
      <c r="D286">
        <v>0</v>
      </c>
      <c r="E286">
        <v>0</v>
      </c>
    </row>
    <row r="287" spans="1:5" x14ac:dyDescent="0.25">
      <c r="A287">
        <v>0</v>
      </c>
      <c r="B287">
        <v>0</v>
      </c>
      <c r="C287">
        <v>0</v>
      </c>
      <c r="D287">
        <v>0</v>
      </c>
      <c r="E287">
        <v>0</v>
      </c>
    </row>
    <row r="288" spans="1:5" x14ac:dyDescent="0.25">
      <c r="A288">
        <v>0</v>
      </c>
      <c r="B288">
        <v>0</v>
      </c>
      <c r="C288">
        <v>0</v>
      </c>
      <c r="D288">
        <v>0</v>
      </c>
      <c r="E288">
        <v>0</v>
      </c>
    </row>
    <row r="289" spans="1:5" x14ac:dyDescent="0.25">
      <c r="A289">
        <v>0</v>
      </c>
      <c r="B289">
        <v>0</v>
      </c>
      <c r="C289">
        <v>0</v>
      </c>
      <c r="D289">
        <v>0</v>
      </c>
      <c r="E289">
        <v>0</v>
      </c>
    </row>
    <row r="290" spans="1:5" x14ac:dyDescent="0.25">
      <c r="A290">
        <v>0</v>
      </c>
      <c r="B290">
        <v>0</v>
      </c>
      <c r="C290">
        <v>0</v>
      </c>
      <c r="D290">
        <v>0</v>
      </c>
      <c r="E290">
        <v>0</v>
      </c>
    </row>
    <row r="291" spans="1:5" x14ac:dyDescent="0.25">
      <c r="A291">
        <v>0</v>
      </c>
      <c r="B291">
        <v>0</v>
      </c>
      <c r="C291">
        <v>0</v>
      </c>
      <c r="D291">
        <v>0</v>
      </c>
      <c r="E291">
        <v>0</v>
      </c>
    </row>
    <row r="292" spans="1:5" x14ac:dyDescent="0.25">
      <c r="A292">
        <v>0</v>
      </c>
      <c r="B292">
        <v>0</v>
      </c>
      <c r="C292">
        <v>0</v>
      </c>
      <c r="D292">
        <v>0</v>
      </c>
      <c r="E292">
        <v>0</v>
      </c>
    </row>
    <row r="293" spans="1:5" x14ac:dyDescent="0.25">
      <c r="A293">
        <v>0</v>
      </c>
      <c r="B293">
        <v>0</v>
      </c>
      <c r="C293">
        <v>0</v>
      </c>
      <c r="D293">
        <v>0</v>
      </c>
      <c r="E293">
        <v>0</v>
      </c>
    </row>
    <row r="294" spans="1:5" x14ac:dyDescent="0.25">
      <c r="A294">
        <v>0</v>
      </c>
      <c r="B294">
        <v>0</v>
      </c>
      <c r="C294">
        <v>0</v>
      </c>
      <c r="D294">
        <v>0</v>
      </c>
      <c r="E294">
        <v>0</v>
      </c>
    </row>
    <row r="295" spans="1:5" x14ac:dyDescent="0.25">
      <c r="A295">
        <v>0</v>
      </c>
      <c r="B295">
        <v>0</v>
      </c>
      <c r="C295">
        <v>0</v>
      </c>
      <c r="D295">
        <v>0</v>
      </c>
      <c r="E295">
        <v>0</v>
      </c>
    </row>
    <row r="296" spans="1:5" x14ac:dyDescent="0.25">
      <c r="A296">
        <v>0</v>
      </c>
      <c r="B296">
        <v>0</v>
      </c>
      <c r="C296">
        <v>0</v>
      </c>
      <c r="D296">
        <v>0</v>
      </c>
      <c r="E296">
        <v>0</v>
      </c>
    </row>
    <row r="297" spans="1:5" x14ac:dyDescent="0.25">
      <c r="A297">
        <v>0</v>
      </c>
      <c r="B297">
        <v>0</v>
      </c>
      <c r="C297">
        <v>0</v>
      </c>
      <c r="D297">
        <v>0</v>
      </c>
      <c r="E297">
        <v>0</v>
      </c>
    </row>
    <row r="298" spans="1:5" x14ac:dyDescent="0.25">
      <c r="A298">
        <v>0</v>
      </c>
      <c r="B298">
        <v>0</v>
      </c>
      <c r="C298">
        <v>0</v>
      </c>
      <c r="D298">
        <v>0</v>
      </c>
      <c r="E298">
        <v>0</v>
      </c>
    </row>
    <row r="299" spans="1:5" x14ac:dyDescent="0.25">
      <c r="A299">
        <v>0</v>
      </c>
      <c r="B299">
        <v>0</v>
      </c>
      <c r="C299">
        <v>0</v>
      </c>
      <c r="D299">
        <v>0</v>
      </c>
      <c r="E299">
        <v>0</v>
      </c>
    </row>
    <row r="300" spans="1:5" x14ac:dyDescent="0.25">
      <c r="A300">
        <v>0</v>
      </c>
      <c r="B300">
        <v>0</v>
      </c>
      <c r="C300">
        <v>0</v>
      </c>
      <c r="D300">
        <v>0</v>
      </c>
      <c r="E300">
        <v>0</v>
      </c>
    </row>
    <row r="301" spans="1:5" x14ac:dyDescent="0.25">
      <c r="A301">
        <v>0</v>
      </c>
      <c r="B301">
        <v>0</v>
      </c>
      <c r="C301">
        <v>0</v>
      </c>
      <c r="D301">
        <v>0</v>
      </c>
      <c r="E301">
        <v>0</v>
      </c>
    </row>
    <row r="302" spans="1:5" x14ac:dyDescent="0.25">
      <c r="A302">
        <v>0</v>
      </c>
      <c r="B302">
        <v>0</v>
      </c>
      <c r="C302">
        <v>0</v>
      </c>
      <c r="D302">
        <v>0</v>
      </c>
      <c r="E302">
        <v>0</v>
      </c>
    </row>
    <row r="303" spans="1:5" x14ac:dyDescent="0.25">
      <c r="A303">
        <v>0</v>
      </c>
      <c r="B303">
        <v>0</v>
      </c>
      <c r="C303">
        <v>0</v>
      </c>
      <c r="D303">
        <v>0</v>
      </c>
      <c r="E303">
        <v>0</v>
      </c>
    </row>
    <row r="304" spans="1:5" x14ac:dyDescent="0.25">
      <c r="A304">
        <v>0</v>
      </c>
      <c r="B304">
        <v>0</v>
      </c>
      <c r="C304">
        <v>0</v>
      </c>
      <c r="D304">
        <v>0</v>
      </c>
      <c r="E304">
        <v>0</v>
      </c>
    </row>
    <row r="305" spans="1:5" x14ac:dyDescent="0.25">
      <c r="A305">
        <v>0</v>
      </c>
      <c r="B305">
        <v>0</v>
      </c>
      <c r="C305">
        <v>0</v>
      </c>
      <c r="D305">
        <v>0</v>
      </c>
      <c r="E305">
        <v>0</v>
      </c>
    </row>
    <row r="306" spans="1:5" x14ac:dyDescent="0.25">
      <c r="A306">
        <v>0</v>
      </c>
      <c r="B306">
        <v>0</v>
      </c>
      <c r="C306">
        <v>0</v>
      </c>
      <c r="D306">
        <v>0</v>
      </c>
      <c r="E306">
        <v>0</v>
      </c>
    </row>
    <row r="307" spans="1:5" x14ac:dyDescent="0.25">
      <c r="A307">
        <v>0</v>
      </c>
      <c r="B307">
        <v>0</v>
      </c>
      <c r="C307">
        <v>0</v>
      </c>
      <c r="D307">
        <v>0</v>
      </c>
      <c r="E307">
        <v>0</v>
      </c>
    </row>
    <row r="308" spans="1:5" x14ac:dyDescent="0.25">
      <c r="A308">
        <v>0</v>
      </c>
      <c r="B308">
        <v>0</v>
      </c>
      <c r="C308">
        <v>0</v>
      </c>
      <c r="D308">
        <v>0</v>
      </c>
      <c r="E308">
        <v>0</v>
      </c>
    </row>
    <row r="309" spans="1:5" x14ac:dyDescent="0.25">
      <c r="A309">
        <v>0</v>
      </c>
      <c r="B309">
        <v>0</v>
      </c>
      <c r="C309">
        <v>0</v>
      </c>
      <c r="D309">
        <v>0</v>
      </c>
      <c r="E309">
        <v>0</v>
      </c>
    </row>
    <row r="310" spans="1:5" x14ac:dyDescent="0.25">
      <c r="A310">
        <v>0</v>
      </c>
      <c r="B310">
        <v>0</v>
      </c>
      <c r="C310">
        <v>0</v>
      </c>
      <c r="D310">
        <v>0</v>
      </c>
      <c r="E310">
        <v>0</v>
      </c>
    </row>
    <row r="311" spans="1:5" x14ac:dyDescent="0.25">
      <c r="A311">
        <v>0</v>
      </c>
      <c r="B311">
        <v>0</v>
      </c>
      <c r="C311">
        <v>0</v>
      </c>
      <c r="D311">
        <v>0</v>
      </c>
      <c r="E311">
        <v>0</v>
      </c>
    </row>
    <row r="312" spans="1:5" x14ac:dyDescent="0.25">
      <c r="A312">
        <v>0</v>
      </c>
      <c r="B312">
        <v>0</v>
      </c>
      <c r="C312">
        <v>0</v>
      </c>
      <c r="D312">
        <v>0</v>
      </c>
      <c r="E312">
        <v>0</v>
      </c>
    </row>
    <row r="313" spans="1:5" x14ac:dyDescent="0.25">
      <c r="A313">
        <v>0</v>
      </c>
      <c r="B313">
        <v>0</v>
      </c>
      <c r="C313">
        <v>0</v>
      </c>
      <c r="D313">
        <v>0</v>
      </c>
      <c r="E313">
        <v>0</v>
      </c>
    </row>
    <row r="314" spans="1:5" x14ac:dyDescent="0.25">
      <c r="A314">
        <v>0</v>
      </c>
      <c r="B314">
        <v>0</v>
      </c>
      <c r="C314">
        <v>0</v>
      </c>
      <c r="D314">
        <v>0</v>
      </c>
      <c r="E314">
        <v>0</v>
      </c>
    </row>
    <row r="315" spans="1:5" x14ac:dyDescent="0.25">
      <c r="A315">
        <v>0</v>
      </c>
      <c r="B315">
        <v>0</v>
      </c>
      <c r="C315">
        <v>0</v>
      </c>
      <c r="D315">
        <v>0</v>
      </c>
      <c r="E315">
        <v>0</v>
      </c>
    </row>
    <row r="316" spans="1:5" x14ac:dyDescent="0.25">
      <c r="A316">
        <v>0</v>
      </c>
      <c r="B316">
        <v>0</v>
      </c>
      <c r="C316">
        <v>0</v>
      </c>
      <c r="D316">
        <v>0</v>
      </c>
      <c r="E316">
        <v>0</v>
      </c>
    </row>
    <row r="317" spans="1:5" x14ac:dyDescent="0.25">
      <c r="A317">
        <v>0</v>
      </c>
      <c r="B317">
        <v>0</v>
      </c>
      <c r="C317">
        <v>0</v>
      </c>
      <c r="D317">
        <v>0</v>
      </c>
      <c r="E317">
        <v>0</v>
      </c>
    </row>
    <row r="318" spans="1:5" x14ac:dyDescent="0.25">
      <c r="A318">
        <v>0</v>
      </c>
      <c r="B318">
        <v>0</v>
      </c>
      <c r="C318">
        <v>0</v>
      </c>
      <c r="D318">
        <v>0</v>
      </c>
      <c r="E318">
        <v>0</v>
      </c>
    </row>
    <row r="319" spans="1:5" x14ac:dyDescent="0.25">
      <c r="A319">
        <v>0</v>
      </c>
      <c r="B319">
        <v>0</v>
      </c>
      <c r="C319">
        <v>0</v>
      </c>
      <c r="D319">
        <v>0</v>
      </c>
      <c r="E319">
        <v>0</v>
      </c>
    </row>
    <row r="320" spans="1:5" x14ac:dyDescent="0.25">
      <c r="A320">
        <v>0</v>
      </c>
      <c r="B320">
        <v>0</v>
      </c>
      <c r="C320">
        <v>0</v>
      </c>
      <c r="D320">
        <v>0</v>
      </c>
      <c r="E320">
        <v>0</v>
      </c>
    </row>
    <row r="321" spans="1:5" x14ac:dyDescent="0.25">
      <c r="A321">
        <v>0</v>
      </c>
      <c r="B321">
        <v>0</v>
      </c>
      <c r="C321">
        <v>0</v>
      </c>
      <c r="D321">
        <v>0</v>
      </c>
      <c r="E321">
        <v>0</v>
      </c>
    </row>
    <row r="322" spans="1:5" x14ac:dyDescent="0.25">
      <c r="A322">
        <v>0</v>
      </c>
      <c r="B322">
        <v>0</v>
      </c>
      <c r="C322">
        <v>0</v>
      </c>
      <c r="D322">
        <v>0</v>
      </c>
      <c r="E322">
        <v>0</v>
      </c>
    </row>
    <row r="323" spans="1:5" x14ac:dyDescent="0.25">
      <c r="A323">
        <v>0</v>
      </c>
      <c r="B323">
        <v>0</v>
      </c>
      <c r="C323">
        <v>0</v>
      </c>
      <c r="D323">
        <v>0</v>
      </c>
      <c r="E323">
        <v>0</v>
      </c>
    </row>
    <row r="324" spans="1:5" x14ac:dyDescent="0.25">
      <c r="A324">
        <v>0</v>
      </c>
      <c r="B324">
        <v>0</v>
      </c>
      <c r="C324">
        <v>0</v>
      </c>
      <c r="D324">
        <v>0</v>
      </c>
      <c r="E324">
        <v>0</v>
      </c>
    </row>
    <row r="325" spans="1:5" x14ac:dyDescent="0.25">
      <c r="A325">
        <v>0</v>
      </c>
      <c r="B325">
        <v>0</v>
      </c>
      <c r="C325">
        <v>0</v>
      </c>
      <c r="D325">
        <v>0</v>
      </c>
      <c r="E325">
        <v>0</v>
      </c>
    </row>
    <row r="326" spans="1:5" x14ac:dyDescent="0.25">
      <c r="A326">
        <v>0</v>
      </c>
      <c r="B326">
        <v>0</v>
      </c>
      <c r="C326">
        <v>0</v>
      </c>
      <c r="D326">
        <v>0</v>
      </c>
      <c r="E326">
        <v>0</v>
      </c>
    </row>
    <row r="327" spans="1:5" x14ac:dyDescent="0.25">
      <c r="A327">
        <v>0</v>
      </c>
      <c r="B327">
        <v>0</v>
      </c>
      <c r="C327">
        <v>0</v>
      </c>
      <c r="D327">
        <v>0</v>
      </c>
      <c r="E327">
        <v>0</v>
      </c>
    </row>
    <row r="328" spans="1:5" x14ac:dyDescent="0.25">
      <c r="A328">
        <v>0</v>
      </c>
      <c r="B328">
        <v>0</v>
      </c>
      <c r="C328">
        <v>0</v>
      </c>
      <c r="D328">
        <v>0</v>
      </c>
      <c r="E328">
        <v>0</v>
      </c>
    </row>
    <row r="329" spans="1:5" x14ac:dyDescent="0.25">
      <c r="A329">
        <v>0</v>
      </c>
      <c r="B329">
        <v>0</v>
      </c>
      <c r="C329">
        <v>0</v>
      </c>
      <c r="D329">
        <v>0</v>
      </c>
      <c r="E329">
        <v>0</v>
      </c>
    </row>
    <row r="330" spans="1:5" x14ac:dyDescent="0.25">
      <c r="A330">
        <v>0</v>
      </c>
      <c r="B330">
        <v>0</v>
      </c>
      <c r="C330">
        <v>0</v>
      </c>
      <c r="D330">
        <v>0</v>
      </c>
      <c r="E330">
        <v>0</v>
      </c>
    </row>
    <row r="331" spans="1:5" x14ac:dyDescent="0.25">
      <c r="A331">
        <v>0</v>
      </c>
      <c r="B331">
        <v>0</v>
      </c>
      <c r="C331">
        <v>0</v>
      </c>
      <c r="D331">
        <v>0</v>
      </c>
      <c r="E331">
        <v>0</v>
      </c>
    </row>
    <row r="332" spans="1:5" x14ac:dyDescent="0.25">
      <c r="A332">
        <v>0</v>
      </c>
      <c r="B332">
        <v>0</v>
      </c>
      <c r="C332">
        <v>0</v>
      </c>
      <c r="D332">
        <v>0</v>
      </c>
      <c r="E332">
        <v>0</v>
      </c>
    </row>
    <row r="333" spans="1:5" x14ac:dyDescent="0.25">
      <c r="A333">
        <v>0</v>
      </c>
      <c r="B333">
        <v>0</v>
      </c>
      <c r="C333">
        <v>0</v>
      </c>
      <c r="D333">
        <v>0</v>
      </c>
      <c r="E333">
        <v>0</v>
      </c>
    </row>
    <row r="334" spans="1:5" x14ac:dyDescent="0.25">
      <c r="A334">
        <v>0</v>
      </c>
      <c r="B334">
        <v>0</v>
      </c>
      <c r="C334">
        <v>0</v>
      </c>
      <c r="D334">
        <v>0</v>
      </c>
      <c r="E334">
        <v>0</v>
      </c>
    </row>
    <row r="335" spans="1:5" x14ac:dyDescent="0.25">
      <c r="A335">
        <v>0</v>
      </c>
      <c r="B335">
        <v>0</v>
      </c>
      <c r="C335">
        <v>0</v>
      </c>
      <c r="D335">
        <v>0</v>
      </c>
      <c r="E335">
        <v>0</v>
      </c>
    </row>
    <row r="336" spans="1:5" x14ac:dyDescent="0.25">
      <c r="A336">
        <v>0</v>
      </c>
      <c r="B336">
        <v>0</v>
      </c>
      <c r="C336">
        <v>0</v>
      </c>
      <c r="D336">
        <v>0</v>
      </c>
      <c r="E336">
        <v>0</v>
      </c>
    </row>
    <row r="337" spans="1:5" x14ac:dyDescent="0.25">
      <c r="A337">
        <v>0</v>
      </c>
      <c r="B337">
        <v>0</v>
      </c>
      <c r="C337">
        <v>0</v>
      </c>
      <c r="D337">
        <v>0</v>
      </c>
      <c r="E337">
        <v>0</v>
      </c>
    </row>
    <row r="338" spans="1:5" x14ac:dyDescent="0.25">
      <c r="A338">
        <v>0</v>
      </c>
      <c r="B338">
        <v>0</v>
      </c>
      <c r="C338">
        <v>0</v>
      </c>
      <c r="D338">
        <v>0</v>
      </c>
      <c r="E338">
        <v>0</v>
      </c>
    </row>
    <row r="339" spans="1:5" x14ac:dyDescent="0.25">
      <c r="A339">
        <v>0</v>
      </c>
      <c r="B339">
        <v>0</v>
      </c>
      <c r="C339">
        <v>0</v>
      </c>
      <c r="D339">
        <v>0</v>
      </c>
      <c r="E339">
        <v>0</v>
      </c>
    </row>
    <row r="340" spans="1:5" x14ac:dyDescent="0.25">
      <c r="A340">
        <v>0</v>
      </c>
      <c r="B340">
        <v>0</v>
      </c>
      <c r="C340">
        <v>0</v>
      </c>
      <c r="D340">
        <v>0</v>
      </c>
      <c r="E340">
        <v>0</v>
      </c>
    </row>
    <row r="341" spans="1:5" x14ac:dyDescent="0.25">
      <c r="A341">
        <v>0</v>
      </c>
      <c r="B341">
        <v>0</v>
      </c>
      <c r="C341">
        <v>0</v>
      </c>
      <c r="D341">
        <v>0</v>
      </c>
      <c r="E341">
        <v>0</v>
      </c>
    </row>
    <row r="342" spans="1:5" x14ac:dyDescent="0.25">
      <c r="A342">
        <v>0</v>
      </c>
      <c r="B342">
        <v>0</v>
      </c>
      <c r="C342">
        <v>0</v>
      </c>
      <c r="D342">
        <v>0</v>
      </c>
      <c r="E342">
        <v>0</v>
      </c>
    </row>
    <row r="343" spans="1:5" x14ac:dyDescent="0.25">
      <c r="A343">
        <v>0</v>
      </c>
      <c r="B343">
        <v>0</v>
      </c>
      <c r="C343">
        <v>0</v>
      </c>
      <c r="D343">
        <v>0</v>
      </c>
      <c r="E343">
        <v>0</v>
      </c>
    </row>
    <row r="344" spans="1:5" x14ac:dyDescent="0.25">
      <c r="A344">
        <v>0</v>
      </c>
      <c r="B344">
        <v>0</v>
      </c>
      <c r="C344">
        <v>0</v>
      </c>
      <c r="D344">
        <v>0</v>
      </c>
      <c r="E344">
        <v>0</v>
      </c>
    </row>
    <row r="345" spans="1:5" x14ac:dyDescent="0.25">
      <c r="A345">
        <v>0</v>
      </c>
      <c r="B345">
        <v>0</v>
      </c>
      <c r="C345">
        <v>0</v>
      </c>
      <c r="D345">
        <v>0</v>
      </c>
      <c r="E345">
        <v>0</v>
      </c>
    </row>
    <row r="346" spans="1:5" x14ac:dyDescent="0.25">
      <c r="A346">
        <v>0</v>
      </c>
      <c r="B346">
        <v>0</v>
      </c>
      <c r="C346">
        <v>0</v>
      </c>
      <c r="D346">
        <v>0</v>
      </c>
      <c r="E346">
        <v>0</v>
      </c>
    </row>
    <row r="347" spans="1:5" x14ac:dyDescent="0.25">
      <c r="A347">
        <v>0</v>
      </c>
      <c r="B347">
        <v>0</v>
      </c>
      <c r="C347">
        <v>0</v>
      </c>
      <c r="D347">
        <v>0</v>
      </c>
      <c r="E347">
        <v>0</v>
      </c>
    </row>
    <row r="348" spans="1:5" x14ac:dyDescent="0.25">
      <c r="A348">
        <v>0</v>
      </c>
      <c r="B348">
        <v>0</v>
      </c>
      <c r="C348">
        <v>0</v>
      </c>
      <c r="D348">
        <v>0</v>
      </c>
      <c r="E348">
        <v>0</v>
      </c>
    </row>
    <row r="349" spans="1:5" x14ac:dyDescent="0.25">
      <c r="A349">
        <v>0</v>
      </c>
      <c r="B349">
        <v>0</v>
      </c>
      <c r="C349">
        <v>0</v>
      </c>
      <c r="D349">
        <v>0</v>
      </c>
      <c r="E349">
        <v>0</v>
      </c>
    </row>
    <row r="350" spans="1:5" x14ac:dyDescent="0.25">
      <c r="A350">
        <v>0</v>
      </c>
      <c r="B350">
        <v>0</v>
      </c>
      <c r="C350">
        <v>0</v>
      </c>
      <c r="D350">
        <v>0</v>
      </c>
      <c r="E350">
        <v>0</v>
      </c>
    </row>
    <row r="351" spans="1:5" x14ac:dyDescent="0.25">
      <c r="A351">
        <v>0</v>
      </c>
      <c r="B351">
        <v>0</v>
      </c>
      <c r="C351">
        <v>0</v>
      </c>
      <c r="D351">
        <v>0</v>
      </c>
      <c r="E351">
        <v>0</v>
      </c>
    </row>
    <row r="352" spans="1:5" x14ac:dyDescent="0.25">
      <c r="A352">
        <v>0</v>
      </c>
      <c r="B352">
        <v>0</v>
      </c>
      <c r="C352">
        <v>0</v>
      </c>
      <c r="D352">
        <v>0</v>
      </c>
      <c r="E352">
        <v>0</v>
      </c>
    </row>
    <row r="353" spans="1:5" x14ac:dyDescent="0.25">
      <c r="A353">
        <v>0</v>
      </c>
      <c r="B353">
        <v>0</v>
      </c>
      <c r="C353">
        <v>0</v>
      </c>
      <c r="D353">
        <v>0</v>
      </c>
      <c r="E353">
        <v>0</v>
      </c>
    </row>
    <row r="354" spans="1:5" x14ac:dyDescent="0.25">
      <c r="A354">
        <v>0</v>
      </c>
      <c r="B354">
        <v>0</v>
      </c>
      <c r="C354">
        <v>0</v>
      </c>
      <c r="D354">
        <v>0</v>
      </c>
      <c r="E354">
        <v>0</v>
      </c>
    </row>
    <row r="355" spans="1:5" x14ac:dyDescent="0.25">
      <c r="A355">
        <v>0</v>
      </c>
      <c r="B355">
        <v>0</v>
      </c>
      <c r="C355">
        <v>0</v>
      </c>
      <c r="D355">
        <v>0</v>
      </c>
      <c r="E355">
        <v>0</v>
      </c>
    </row>
    <row r="356" spans="1:5" x14ac:dyDescent="0.25">
      <c r="A356">
        <v>0</v>
      </c>
      <c r="B356">
        <v>0</v>
      </c>
      <c r="C356">
        <v>0</v>
      </c>
      <c r="D356">
        <v>0</v>
      </c>
      <c r="E356">
        <v>0</v>
      </c>
    </row>
    <row r="357" spans="1:5" x14ac:dyDescent="0.25">
      <c r="A357">
        <v>0</v>
      </c>
      <c r="B357">
        <v>0</v>
      </c>
      <c r="C357">
        <v>0</v>
      </c>
      <c r="D357">
        <v>0</v>
      </c>
      <c r="E357">
        <v>0</v>
      </c>
    </row>
    <row r="358" spans="1:5" x14ac:dyDescent="0.25">
      <c r="A358">
        <v>0</v>
      </c>
      <c r="B358">
        <v>0</v>
      </c>
      <c r="C358">
        <v>0</v>
      </c>
      <c r="D358">
        <v>0</v>
      </c>
      <c r="E358">
        <v>0</v>
      </c>
    </row>
    <row r="359" spans="1:5" x14ac:dyDescent="0.25">
      <c r="A359">
        <v>0</v>
      </c>
      <c r="B359">
        <v>0</v>
      </c>
      <c r="C359">
        <v>0</v>
      </c>
      <c r="D359">
        <v>0</v>
      </c>
      <c r="E359">
        <v>0</v>
      </c>
    </row>
    <row r="360" spans="1:5" x14ac:dyDescent="0.25">
      <c r="A360">
        <v>0</v>
      </c>
      <c r="B360">
        <v>0</v>
      </c>
      <c r="C360">
        <v>0</v>
      </c>
      <c r="D360">
        <v>0</v>
      </c>
      <c r="E360">
        <v>0</v>
      </c>
    </row>
    <row r="361" spans="1:5" x14ac:dyDescent="0.25">
      <c r="A361">
        <v>0</v>
      </c>
      <c r="B361">
        <v>0</v>
      </c>
      <c r="C361">
        <v>0</v>
      </c>
      <c r="D361">
        <v>0</v>
      </c>
      <c r="E361">
        <v>0</v>
      </c>
    </row>
    <row r="362" spans="1:5" x14ac:dyDescent="0.25">
      <c r="A362">
        <v>0</v>
      </c>
      <c r="B362">
        <v>0</v>
      </c>
      <c r="C362">
        <v>0</v>
      </c>
      <c r="D362">
        <v>0</v>
      </c>
      <c r="E362">
        <v>0</v>
      </c>
    </row>
    <row r="363" spans="1:5" x14ac:dyDescent="0.25">
      <c r="A363">
        <v>0</v>
      </c>
      <c r="B363">
        <v>0</v>
      </c>
      <c r="C363">
        <v>0</v>
      </c>
      <c r="D363">
        <v>0</v>
      </c>
      <c r="E363">
        <v>0</v>
      </c>
    </row>
    <row r="364" spans="1:5" x14ac:dyDescent="0.25">
      <c r="A364">
        <v>0</v>
      </c>
      <c r="B364">
        <v>0</v>
      </c>
      <c r="C364">
        <v>0</v>
      </c>
      <c r="D364">
        <v>0</v>
      </c>
      <c r="E364">
        <v>0</v>
      </c>
    </row>
    <row r="365" spans="1:5" x14ac:dyDescent="0.25">
      <c r="A365">
        <v>0</v>
      </c>
      <c r="B365">
        <v>0</v>
      </c>
      <c r="C365">
        <v>0</v>
      </c>
      <c r="D365">
        <v>0</v>
      </c>
      <c r="E365">
        <v>0</v>
      </c>
    </row>
    <row r="366" spans="1:5" x14ac:dyDescent="0.25">
      <c r="A366">
        <v>0</v>
      </c>
      <c r="B366">
        <v>0</v>
      </c>
      <c r="C366">
        <v>0</v>
      </c>
      <c r="D366">
        <v>0</v>
      </c>
      <c r="E366">
        <v>0</v>
      </c>
    </row>
    <row r="367" spans="1:5" x14ac:dyDescent="0.25">
      <c r="A367">
        <v>0</v>
      </c>
      <c r="B367">
        <v>0</v>
      </c>
      <c r="C367">
        <v>0</v>
      </c>
      <c r="D367">
        <v>0</v>
      </c>
      <c r="E367">
        <v>0</v>
      </c>
    </row>
    <row r="368" spans="1:5" x14ac:dyDescent="0.25">
      <c r="A368">
        <v>0</v>
      </c>
      <c r="B368">
        <v>0</v>
      </c>
      <c r="C368">
        <v>0</v>
      </c>
      <c r="D368">
        <v>0</v>
      </c>
      <c r="E368">
        <v>0</v>
      </c>
    </row>
    <row r="369" spans="1:5" x14ac:dyDescent="0.25">
      <c r="A369">
        <v>0</v>
      </c>
      <c r="B369">
        <v>0</v>
      </c>
      <c r="C369">
        <v>0</v>
      </c>
      <c r="D369">
        <v>0</v>
      </c>
      <c r="E369">
        <v>0</v>
      </c>
    </row>
    <row r="370" spans="1:5" x14ac:dyDescent="0.25">
      <c r="A370">
        <v>0</v>
      </c>
      <c r="B370">
        <v>0</v>
      </c>
      <c r="C370">
        <v>0</v>
      </c>
      <c r="D370">
        <v>0</v>
      </c>
      <c r="E370">
        <v>0</v>
      </c>
    </row>
    <row r="371" spans="1:5" x14ac:dyDescent="0.25">
      <c r="A371">
        <v>0</v>
      </c>
      <c r="B371">
        <v>0</v>
      </c>
      <c r="C371">
        <v>0</v>
      </c>
      <c r="D371">
        <v>0</v>
      </c>
      <c r="E371">
        <v>0</v>
      </c>
    </row>
    <row r="372" spans="1:5" x14ac:dyDescent="0.25">
      <c r="A372">
        <v>0</v>
      </c>
      <c r="B372">
        <v>0</v>
      </c>
      <c r="C372">
        <v>0</v>
      </c>
      <c r="D372">
        <v>0</v>
      </c>
      <c r="E372">
        <v>0</v>
      </c>
    </row>
    <row r="373" spans="1:5" x14ac:dyDescent="0.25">
      <c r="A373">
        <v>0</v>
      </c>
      <c r="B373">
        <v>0</v>
      </c>
      <c r="C373">
        <v>0</v>
      </c>
      <c r="D373">
        <v>0</v>
      </c>
      <c r="E373">
        <v>0</v>
      </c>
    </row>
    <row r="374" spans="1:5" x14ac:dyDescent="0.25">
      <c r="A374">
        <v>0</v>
      </c>
      <c r="B374">
        <v>0</v>
      </c>
      <c r="C374">
        <v>0</v>
      </c>
      <c r="D374">
        <v>0</v>
      </c>
      <c r="E374">
        <v>0</v>
      </c>
    </row>
    <row r="375" spans="1:5" x14ac:dyDescent="0.25">
      <c r="A375">
        <v>0</v>
      </c>
      <c r="B375">
        <v>0</v>
      </c>
      <c r="C375">
        <v>0</v>
      </c>
      <c r="D375">
        <v>0</v>
      </c>
      <c r="E375">
        <v>0</v>
      </c>
    </row>
    <row r="376" spans="1:5" x14ac:dyDescent="0.25">
      <c r="A376">
        <v>0</v>
      </c>
      <c r="B376">
        <v>0</v>
      </c>
      <c r="C376">
        <v>0</v>
      </c>
      <c r="D376">
        <v>0</v>
      </c>
      <c r="E376">
        <v>0</v>
      </c>
    </row>
    <row r="377" spans="1:5" x14ac:dyDescent="0.25">
      <c r="A377">
        <v>0</v>
      </c>
      <c r="B377">
        <v>0</v>
      </c>
      <c r="C377">
        <v>0</v>
      </c>
      <c r="D377">
        <v>0</v>
      </c>
      <c r="E377">
        <v>0</v>
      </c>
    </row>
    <row r="378" spans="1:5" x14ac:dyDescent="0.25">
      <c r="A378">
        <v>0</v>
      </c>
      <c r="B378">
        <v>0</v>
      </c>
      <c r="C378">
        <v>0</v>
      </c>
      <c r="D378">
        <v>0</v>
      </c>
      <c r="E378">
        <v>0</v>
      </c>
    </row>
    <row r="379" spans="1:5" x14ac:dyDescent="0.25">
      <c r="A379">
        <v>0</v>
      </c>
      <c r="B379">
        <v>0</v>
      </c>
      <c r="C379">
        <v>0</v>
      </c>
      <c r="D379">
        <v>0</v>
      </c>
      <c r="E379">
        <v>0</v>
      </c>
    </row>
    <row r="380" spans="1:5" x14ac:dyDescent="0.25">
      <c r="A380">
        <v>0</v>
      </c>
      <c r="B380">
        <v>0</v>
      </c>
      <c r="C380">
        <v>0</v>
      </c>
      <c r="D380">
        <v>0</v>
      </c>
      <c r="E380">
        <v>0</v>
      </c>
    </row>
    <row r="381" spans="1:5" x14ac:dyDescent="0.25">
      <c r="A381">
        <v>0</v>
      </c>
      <c r="B381">
        <v>0</v>
      </c>
      <c r="C381">
        <v>0</v>
      </c>
      <c r="D381">
        <v>0</v>
      </c>
      <c r="E381">
        <v>0</v>
      </c>
    </row>
    <row r="382" spans="1:5" x14ac:dyDescent="0.25">
      <c r="A382">
        <v>0</v>
      </c>
      <c r="B382">
        <v>0</v>
      </c>
      <c r="C382">
        <v>0</v>
      </c>
      <c r="D382">
        <v>0</v>
      </c>
      <c r="E382">
        <v>0</v>
      </c>
    </row>
    <row r="383" spans="1:5" x14ac:dyDescent="0.25">
      <c r="A383">
        <v>0</v>
      </c>
      <c r="B383">
        <v>0</v>
      </c>
      <c r="C383">
        <v>0</v>
      </c>
      <c r="D383">
        <v>0</v>
      </c>
      <c r="E383">
        <v>0</v>
      </c>
    </row>
    <row r="384" spans="1:5" x14ac:dyDescent="0.25">
      <c r="A384">
        <v>0</v>
      </c>
      <c r="B384">
        <v>0</v>
      </c>
      <c r="C384">
        <v>0</v>
      </c>
      <c r="D384">
        <v>0</v>
      </c>
      <c r="E384">
        <v>0</v>
      </c>
    </row>
    <row r="385" spans="1:5" x14ac:dyDescent="0.25">
      <c r="A385">
        <v>0</v>
      </c>
      <c r="B385">
        <v>0</v>
      </c>
      <c r="C385">
        <v>0</v>
      </c>
      <c r="D385">
        <v>0</v>
      </c>
      <c r="E385">
        <v>0</v>
      </c>
    </row>
    <row r="386" spans="1:5" x14ac:dyDescent="0.25">
      <c r="A386">
        <v>0</v>
      </c>
      <c r="B386">
        <v>0</v>
      </c>
      <c r="C386">
        <v>0</v>
      </c>
      <c r="D386">
        <v>0</v>
      </c>
      <c r="E386">
        <v>0</v>
      </c>
    </row>
    <row r="387" spans="1:5" x14ac:dyDescent="0.25">
      <c r="A387">
        <v>0</v>
      </c>
      <c r="B387">
        <v>0</v>
      </c>
      <c r="C387">
        <v>0</v>
      </c>
      <c r="D387">
        <v>0</v>
      </c>
      <c r="E387">
        <v>0</v>
      </c>
    </row>
    <row r="388" spans="1:5" x14ac:dyDescent="0.25">
      <c r="A388">
        <v>0</v>
      </c>
      <c r="B388">
        <v>0</v>
      </c>
      <c r="C388">
        <v>0</v>
      </c>
      <c r="D388">
        <v>0</v>
      </c>
      <c r="E388">
        <v>0</v>
      </c>
    </row>
    <row r="389" spans="1:5" x14ac:dyDescent="0.25">
      <c r="A389">
        <v>0</v>
      </c>
      <c r="B389">
        <v>0</v>
      </c>
      <c r="C389">
        <v>0</v>
      </c>
      <c r="D389">
        <v>0</v>
      </c>
      <c r="E389">
        <v>0</v>
      </c>
    </row>
    <row r="390" spans="1:5" x14ac:dyDescent="0.25">
      <c r="A390">
        <v>0</v>
      </c>
      <c r="B390">
        <v>0</v>
      </c>
      <c r="C390">
        <v>0</v>
      </c>
      <c r="D390">
        <v>0</v>
      </c>
      <c r="E390">
        <v>0</v>
      </c>
    </row>
    <row r="391" spans="1:5" x14ac:dyDescent="0.25">
      <c r="A391">
        <v>0</v>
      </c>
      <c r="B391">
        <v>0</v>
      </c>
      <c r="C391">
        <v>0</v>
      </c>
      <c r="D391">
        <v>0</v>
      </c>
      <c r="E391">
        <v>0</v>
      </c>
    </row>
    <row r="392" spans="1:5" x14ac:dyDescent="0.25">
      <c r="A392">
        <v>0</v>
      </c>
      <c r="B392">
        <v>0</v>
      </c>
      <c r="C392">
        <v>0</v>
      </c>
      <c r="D392">
        <v>0</v>
      </c>
      <c r="E392">
        <v>0</v>
      </c>
    </row>
    <row r="393" spans="1:5" x14ac:dyDescent="0.25">
      <c r="A393">
        <v>0</v>
      </c>
      <c r="B393">
        <v>0</v>
      </c>
      <c r="C393">
        <v>0</v>
      </c>
      <c r="D393">
        <v>0</v>
      </c>
      <c r="E393">
        <v>0</v>
      </c>
    </row>
    <row r="394" spans="1:5" x14ac:dyDescent="0.25">
      <c r="A394">
        <v>0</v>
      </c>
      <c r="B394">
        <v>0</v>
      </c>
      <c r="C394">
        <v>0</v>
      </c>
      <c r="D394">
        <v>0</v>
      </c>
      <c r="E394">
        <v>0</v>
      </c>
    </row>
    <row r="395" spans="1:5" x14ac:dyDescent="0.25">
      <c r="A395">
        <v>0</v>
      </c>
      <c r="B395">
        <v>0</v>
      </c>
      <c r="C395">
        <v>0</v>
      </c>
      <c r="D395">
        <v>0</v>
      </c>
      <c r="E395">
        <v>0</v>
      </c>
    </row>
    <row r="396" spans="1:5" x14ac:dyDescent="0.25">
      <c r="A396">
        <v>0</v>
      </c>
      <c r="B396">
        <v>0</v>
      </c>
      <c r="C396">
        <v>0</v>
      </c>
      <c r="D396">
        <v>0</v>
      </c>
      <c r="E396">
        <v>0</v>
      </c>
    </row>
    <row r="397" spans="1:5" x14ac:dyDescent="0.25">
      <c r="A397">
        <v>0</v>
      </c>
      <c r="B397">
        <v>0</v>
      </c>
      <c r="C397">
        <v>0</v>
      </c>
      <c r="D397">
        <v>0</v>
      </c>
      <c r="E397">
        <v>0</v>
      </c>
    </row>
    <row r="398" spans="1:5" x14ac:dyDescent="0.25">
      <c r="A398">
        <v>0</v>
      </c>
      <c r="B398">
        <v>0</v>
      </c>
      <c r="C398">
        <v>0</v>
      </c>
      <c r="D398">
        <v>0</v>
      </c>
      <c r="E398">
        <v>0</v>
      </c>
    </row>
    <row r="399" spans="1:5" x14ac:dyDescent="0.25">
      <c r="A399">
        <v>0</v>
      </c>
      <c r="B399">
        <v>0</v>
      </c>
      <c r="C399">
        <v>0</v>
      </c>
      <c r="D399">
        <v>0</v>
      </c>
      <c r="E399">
        <v>0</v>
      </c>
    </row>
    <row r="400" spans="1:5" x14ac:dyDescent="0.25">
      <c r="A400">
        <v>0</v>
      </c>
      <c r="B400">
        <v>0</v>
      </c>
      <c r="C400">
        <v>0</v>
      </c>
      <c r="D400">
        <v>0</v>
      </c>
      <c r="E400">
        <v>0</v>
      </c>
    </row>
    <row r="401" spans="1:5" x14ac:dyDescent="0.25">
      <c r="A401">
        <v>0</v>
      </c>
      <c r="B401">
        <v>0</v>
      </c>
      <c r="C401">
        <v>0</v>
      </c>
      <c r="D401">
        <v>0</v>
      </c>
      <c r="E401">
        <v>0</v>
      </c>
    </row>
    <row r="402" spans="1:5" x14ac:dyDescent="0.25">
      <c r="A402">
        <v>0</v>
      </c>
      <c r="B402">
        <v>0</v>
      </c>
      <c r="C402">
        <v>0</v>
      </c>
      <c r="D402">
        <v>0</v>
      </c>
      <c r="E402">
        <v>0</v>
      </c>
    </row>
    <row r="403" spans="1:5" x14ac:dyDescent="0.25">
      <c r="A403">
        <v>0</v>
      </c>
      <c r="B403">
        <v>0</v>
      </c>
      <c r="C403">
        <v>0</v>
      </c>
      <c r="D403">
        <v>0</v>
      </c>
      <c r="E403">
        <v>0</v>
      </c>
    </row>
    <row r="404" spans="1:5" x14ac:dyDescent="0.25">
      <c r="A404">
        <v>0</v>
      </c>
      <c r="B404">
        <v>0</v>
      </c>
      <c r="C404">
        <v>0</v>
      </c>
      <c r="D404">
        <v>0</v>
      </c>
      <c r="E404">
        <v>0</v>
      </c>
    </row>
    <row r="405" spans="1:5" x14ac:dyDescent="0.25">
      <c r="A405">
        <v>0</v>
      </c>
      <c r="B405">
        <v>0</v>
      </c>
      <c r="C405">
        <v>0</v>
      </c>
      <c r="D405">
        <v>0</v>
      </c>
      <c r="E405">
        <v>0</v>
      </c>
    </row>
    <row r="406" spans="1:5" x14ac:dyDescent="0.25">
      <c r="A406">
        <v>0</v>
      </c>
      <c r="B406">
        <v>0</v>
      </c>
      <c r="C406">
        <v>0</v>
      </c>
      <c r="D406">
        <v>0</v>
      </c>
      <c r="E406">
        <v>0</v>
      </c>
    </row>
    <row r="407" spans="1:5" x14ac:dyDescent="0.25">
      <c r="A407">
        <v>0</v>
      </c>
      <c r="B407">
        <v>0</v>
      </c>
      <c r="C407">
        <v>0</v>
      </c>
      <c r="D407">
        <v>0</v>
      </c>
      <c r="E407">
        <v>0</v>
      </c>
    </row>
    <row r="408" spans="1:5" x14ac:dyDescent="0.25">
      <c r="A408">
        <v>0</v>
      </c>
      <c r="B408">
        <v>0</v>
      </c>
      <c r="C408">
        <v>0</v>
      </c>
      <c r="D408">
        <v>0</v>
      </c>
      <c r="E408">
        <v>0</v>
      </c>
    </row>
    <row r="409" spans="1:5" x14ac:dyDescent="0.25">
      <c r="A409">
        <v>0</v>
      </c>
      <c r="B409">
        <v>0</v>
      </c>
      <c r="C409">
        <v>0</v>
      </c>
      <c r="D409">
        <v>0</v>
      </c>
      <c r="E409">
        <v>0</v>
      </c>
    </row>
    <row r="410" spans="1:5" x14ac:dyDescent="0.25">
      <c r="A410">
        <v>0</v>
      </c>
      <c r="B410">
        <v>0</v>
      </c>
      <c r="C410">
        <v>0</v>
      </c>
      <c r="D410">
        <v>0</v>
      </c>
      <c r="E410">
        <v>0</v>
      </c>
    </row>
    <row r="411" spans="1:5" x14ac:dyDescent="0.25">
      <c r="A411">
        <v>0</v>
      </c>
      <c r="B411">
        <v>0</v>
      </c>
      <c r="C411">
        <v>0</v>
      </c>
      <c r="D411">
        <v>0</v>
      </c>
      <c r="E411">
        <v>0</v>
      </c>
    </row>
    <row r="412" spans="1:5" x14ac:dyDescent="0.25">
      <c r="A412">
        <v>0</v>
      </c>
      <c r="B412">
        <v>0</v>
      </c>
      <c r="C412">
        <v>0</v>
      </c>
      <c r="D412">
        <v>0</v>
      </c>
      <c r="E412">
        <v>0</v>
      </c>
    </row>
    <row r="413" spans="1:5" x14ac:dyDescent="0.25">
      <c r="A413">
        <v>0</v>
      </c>
      <c r="B413">
        <v>0</v>
      </c>
      <c r="C413">
        <v>0</v>
      </c>
      <c r="D413">
        <v>0</v>
      </c>
      <c r="E413">
        <v>0</v>
      </c>
    </row>
    <row r="414" spans="1:5" x14ac:dyDescent="0.25">
      <c r="A414">
        <v>0</v>
      </c>
      <c r="B414">
        <v>0</v>
      </c>
      <c r="C414">
        <v>0</v>
      </c>
      <c r="D414">
        <v>0</v>
      </c>
      <c r="E414">
        <v>0</v>
      </c>
    </row>
    <row r="415" spans="1:5" x14ac:dyDescent="0.25">
      <c r="A415">
        <v>0</v>
      </c>
      <c r="B415">
        <v>0</v>
      </c>
      <c r="C415">
        <v>0</v>
      </c>
      <c r="D415">
        <v>0</v>
      </c>
      <c r="E415">
        <v>0</v>
      </c>
    </row>
    <row r="416" spans="1:5" x14ac:dyDescent="0.25">
      <c r="A416">
        <v>0</v>
      </c>
      <c r="B416">
        <v>0</v>
      </c>
      <c r="C416">
        <v>0</v>
      </c>
      <c r="D416">
        <v>0</v>
      </c>
      <c r="E416">
        <v>0</v>
      </c>
    </row>
    <row r="417" spans="1:5" x14ac:dyDescent="0.25">
      <c r="A417">
        <v>0</v>
      </c>
      <c r="B417">
        <v>0</v>
      </c>
      <c r="C417">
        <v>0</v>
      </c>
      <c r="D417">
        <v>0</v>
      </c>
      <c r="E417">
        <v>0</v>
      </c>
    </row>
    <row r="418" spans="1:5" x14ac:dyDescent="0.25">
      <c r="A418">
        <v>0</v>
      </c>
      <c r="B418">
        <v>0</v>
      </c>
      <c r="C418">
        <v>0</v>
      </c>
      <c r="D418">
        <v>0</v>
      </c>
      <c r="E418">
        <v>0</v>
      </c>
    </row>
    <row r="419" spans="1:5" x14ac:dyDescent="0.25">
      <c r="A419">
        <v>0</v>
      </c>
      <c r="B419">
        <v>0</v>
      </c>
      <c r="C419">
        <v>0</v>
      </c>
      <c r="D419">
        <v>0</v>
      </c>
      <c r="E419">
        <v>0</v>
      </c>
    </row>
    <row r="420" spans="1:5" x14ac:dyDescent="0.25">
      <c r="A420">
        <v>0</v>
      </c>
      <c r="B420">
        <v>0</v>
      </c>
      <c r="C420">
        <v>0</v>
      </c>
      <c r="D420">
        <v>0</v>
      </c>
      <c r="E420">
        <v>0</v>
      </c>
    </row>
    <row r="421" spans="1:5" x14ac:dyDescent="0.25">
      <c r="A421">
        <v>0</v>
      </c>
      <c r="B421">
        <v>0</v>
      </c>
      <c r="C421">
        <v>0</v>
      </c>
      <c r="D421">
        <v>0</v>
      </c>
      <c r="E421">
        <v>0</v>
      </c>
    </row>
    <row r="422" spans="1:5" x14ac:dyDescent="0.25">
      <c r="A422">
        <v>0</v>
      </c>
      <c r="B422">
        <v>0</v>
      </c>
      <c r="C422">
        <v>0</v>
      </c>
      <c r="D422">
        <v>0</v>
      </c>
      <c r="E422">
        <v>0</v>
      </c>
    </row>
    <row r="423" spans="1:5" x14ac:dyDescent="0.25">
      <c r="A423">
        <v>0</v>
      </c>
      <c r="B423">
        <v>0</v>
      </c>
      <c r="C423">
        <v>0</v>
      </c>
      <c r="D423">
        <v>0</v>
      </c>
      <c r="E423">
        <v>0</v>
      </c>
    </row>
    <row r="424" spans="1:5" x14ac:dyDescent="0.25">
      <c r="A424">
        <v>0</v>
      </c>
      <c r="B424">
        <v>0</v>
      </c>
      <c r="C424">
        <v>0</v>
      </c>
      <c r="D424">
        <v>0</v>
      </c>
      <c r="E424">
        <v>0</v>
      </c>
    </row>
    <row r="425" spans="1:5" x14ac:dyDescent="0.25">
      <c r="A425">
        <v>0</v>
      </c>
      <c r="B425">
        <v>0</v>
      </c>
      <c r="C425">
        <v>0</v>
      </c>
      <c r="D425">
        <v>0</v>
      </c>
      <c r="E425">
        <v>0</v>
      </c>
    </row>
    <row r="426" spans="1:5" x14ac:dyDescent="0.25">
      <c r="A426">
        <v>0</v>
      </c>
      <c r="B426">
        <v>0</v>
      </c>
      <c r="C426">
        <v>0</v>
      </c>
      <c r="D426">
        <v>0</v>
      </c>
      <c r="E426">
        <v>0</v>
      </c>
    </row>
    <row r="427" spans="1:5" x14ac:dyDescent="0.25">
      <c r="A427">
        <v>0</v>
      </c>
      <c r="B427">
        <v>0</v>
      </c>
      <c r="C427">
        <v>0</v>
      </c>
      <c r="D427">
        <v>0</v>
      </c>
      <c r="E427">
        <v>0</v>
      </c>
    </row>
    <row r="428" spans="1:5" x14ac:dyDescent="0.25">
      <c r="A428">
        <v>0</v>
      </c>
      <c r="B428">
        <v>0</v>
      </c>
      <c r="C428">
        <v>0</v>
      </c>
      <c r="D428">
        <v>0</v>
      </c>
      <c r="E428">
        <v>0</v>
      </c>
    </row>
    <row r="429" spans="1:5" x14ac:dyDescent="0.25">
      <c r="A429">
        <v>0</v>
      </c>
      <c r="B429">
        <v>0</v>
      </c>
      <c r="C429">
        <v>0</v>
      </c>
      <c r="D429">
        <v>0</v>
      </c>
      <c r="E429">
        <v>0</v>
      </c>
    </row>
    <row r="430" spans="1:5" x14ac:dyDescent="0.25">
      <c r="A430">
        <v>0</v>
      </c>
      <c r="B430">
        <v>0</v>
      </c>
      <c r="C430">
        <v>0</v>
      </c>
      <c r="D430">
        <v>0</v>
      </c>
      <c r="E430">
        <v>0</v>
      </c>
    </row>
    <row r="431" spans="1:5" x14ac:dyDescent="0.25">
      <c r="A431">
        <v>0</v>
      </c>
      <c r="B431">
        <v>0</v>
      </c>
      <c r="C431">
        <v>0</v>
      </c>
      <c r="D431">
        <v>0</v>
      </c>
      <c r="E431">
        <v>0</v>
      </c>
    </row>
    <row r="432" spans="1:5" x14ac:dyDescent="0.25">
      <c r="A432">
        <v>0</v>
      </c>
      <c r="B432">
        <v>0</v>
      </c>
      <c r="C432">
        <v>0</v>
      </c>
      <c r="D432">
        <v>0</v>
      </c>
      <c r="E432">
        <v>0</v>
      </c>
    </row>
    <row r="433" spans="1:5" x14ac:dyDescent="0.25">
      <c r="A433">
        <v>0</v>
      </c>
      <c r="B433">
        <v>0</v>
      </c>
      <c r="C433">
        <v>0</v>
      </c>
      <c r="D433">
        <v>0</v>
      </c>
      <c r="E433">
        <v>0</v>
      </c>
    </row>
    <row r="434" spans="1:5" x14ac:dyDescent="0.25">
      <c r="A434">
        <v>0</v>
      </c>
      <c r="B434">
        <v>0</v>
      </c>
      <c r="C434">
        <v>0</v>
      </c>
      <c r="D434">
        <v>0</v>
      </c>
      <c r="E434">
        <v>0</v>
      </c>
    </row>
    <row r="435" spans="1:5" x14ac:dyDescent="0.25">
      <c r="A435">
        <v>0</v>
      </c>
      <c r="B435">
        <v>0</v>
      </c>
      <c r="C435">
        <v>0</v>
      </c>
      <c r="D435">
        <v>0</v>
      </c>
      <c r="E435">
        <v>0</v>
      </c>
    </row>
    <row r="436" spans="1:5" x14ac:dyDescent="0.25">
      <c r="A436">
        <v>0</v>
      </c>
      <c r="B436">
        <v>0</v>
      </c>
      <c r="C436">
        <v>0</v>
      </c>
      <c r="D436">
        <v>0</v>
      </c>
      <c r="E436">
        <v>0</v>
      </c>
    </row>
    <row r="437" spans="1:5" x14ac:dyDescent="0.25">
      <c r="A437">
        <v>0</v>
      </c>
      <c r="B437">
        <v>0</v>
      </c>
      <c r="C437">
        <v>0</v>
      </c>
      <c r="D437">
        <v>0</v>
      </c>
      <c r="E437">
        <v>0</v>
      </c>
    </row>
    <row r="438" spans="1:5" x14ac:dyDescent="0.25">
      <c r="A438">
        <v>0</v>
      </c>
      <c r="B438">
        <v>0</v>
      </c>
      <c r="C438">
        <v>0</v>
      </c>
      <c r="D438">
        <v>0</v>
      </c>
      <c r="E438">
        <v>0</v>
      </c>
    </row>
    <row r="439" spans="1:5" x14ac:dyDescent="0.25">
      <c r="A439">
        <v>0</v>
      </c>
      <c r="B439">
        <v>0</v>
      </c>
      <c r="C439">
        <v>0</v>
      </c>
      <c r="D439">
        <v>0</v>
      </c>
      <c r="E439">
        <v>0</v>
      </c>
    </row>
    <row r="440" spans="1:5" x14ac:dyDescent="0.25">
      <c r="A440">
        <v>0</v>
      </c>
      <c r="B440">
        <v>0</v>
      </c>
      <c r="C440">
        <v>0</v>
      </c>
      <c r="D440">
        <v>0</v>
      </c>
      <c r="E440">
        <v>0</v>
      </c>
    </row>
    <row r="441" spans="1:5" x14ac:dyDescent="0.25">
      <c r="A441">
        <v>0</v>
      </c>
      <c r="B441">
        <v>0</v>
      </c>
      <c r="C441">
        <v>0</v>
      </c>
      <c r="D441">
        <v>0</v>
      </c>
      <c r="E441">
        <v>0</v>
      </c>
    </row>
    <row r="442" spans="1:5" x14ac:dyDescent="0.25">
      <c r="A442">
        <v>0</v>
      </c>
      <c r="B442">
        <v>0</v>
      </c>
      <c r="C442">
        <v>0</v>
      </c>
      <c r="D442">
        <v>0</v>
      </c>
      <c r="E442">
        <v>0</v>
      </c>
    </row>
    <row r="443" spans="1:5" x14ac:dyDescent="0.25">
      <c r="A443">
        <v>0</v>
      </c>
      <c r="B443">
        <v>0</v>
      </c>
      <c r="C443">
        <v>0</v>
      </c>
      <c r="D443">
        <v>0</v>
      </c>
      <c r="E443">
        <v>0</v>
      </c>
    </row>
    <row r="444" spans="1:5" x14ac:dyDescent="0.25">
      <c r="A444">
        <v>0</v>
      </c>
      <c r="B444">
        <v>0</v>
      </c>
      <c r="C444">
        <v>0</v>
      </c>
      <c r="D444">
        <v>0</v>
      </c>
      <c r="E444">
        <v>0</v>
      </c>
    </row>
    <row r="445" spans="1:5" x14ac:dyDescent="0.25">
      <c r="A445">
        <v>0</v>
      </c>
      <c r="B445">
        <v>0</v>
      </c>
      <c r="C445">
        <v>0</v>
      </c>
      <c r="D445">
        <v>0</v>
      </c>
      <c r="E445">
        <v>0</v>
      </c>
    </row>
    <row r="446" spans="1:5" x14ac:dyDescent="0.25">
      <c r="A446">
        <v>0</v>
      </c>
      <c r="B446">
        <v>0</v>
      </c>
      <c r="C446">
        <v>0</v>
      </c>
      <c r="D446">
        <v>0</v>
      </c>
      <c r="E446">
        <v>0</v>
      </c>
    </row>
    <row r="447" spans="1:5" x14ac:dyDescent="0.25">
      <c r="A447">
        <v>0</v>
      </c>
      <c r="B447">
        <v>0</v>
      </c>
      <c r="C447">
        <v>0</v>
      </c>
      <c r="D447">
        <v>0</v>
      </c>
      <c r="E447">
        <v>0</v>
      </c>
    </row>
    <row r="448" spans="1:5" x14ac:dyDescent="0.25">
      <c r="A448">
        <v>0</v>
      </c>
      <c r="B448">
        <v>0</v>
      </c>
      <c r="C448">
        <v>0</v>
      </c>
      <c r="D448">
        <v>0</v>
      </c>
      <c r="E448">
        <v>0</v>
      </c>
    </row>
    <row r="449" spans="1:5" x14ac:dyDescent="0.25">
      <c r="A449">
        <v>0</v>
      </c>
      <c r="B449">
        <v>0</v>
      </c>
      <c r="C449">
        <v>0</v>
      </c>
      <c r="D449">
        <v>0</v>
      </c>
      <c r="E449">
        <v>0</v>
      </c>
    </row>
    <row r="450" spans="1:5" x14ac:dyDescent="0.25">
      <c r="A450">
        <v>0</v>
      </c>
      <c r="B450">
        <v>0</v>
      </c>
      <c r="C450">
        <v>0</v>
      </c>
      <c r="D450">
        <v>0</v>
      </c>
      <c r="E450">
        <v>0</v>
      </c>
    </row>
    <row r="451" spans="1:5" x14ac:dyDescent="0.25">
      <c r="A451">
        <v>0</v>
      </c>
      <c r="B451">
        <v>0</v>
      </c>
      <c r="C451">
        <v>0</v>
      </c>
      <c r="D451">
        <v>0</v>
      </c>
      <c r="E451">
        <v>0</v>
      </c>
    </row>
    <row r="452" spans="1:5" x14ac:dyDescent="0.25">
      <c r="A452">
        <v>0</v>
      </c>
      <c r="B452">
        <v>0</v>
      </c>
      <c r="C452">
        <v>0</v>
      </c>
      <c r="D452">
        <v>0</v>
      </c>
      <c r="E452">
        <v>0</v>
      </c>
    </row>
    <row r="453" spans="1:5" x14ac:dyDescent="0.25">
      <c r="A453">
        <v>0</v>
      </c>
      <c r="B453">
        <v>0</v>
      </c>
      <c r="C453">
        <v>0</v>
      </c>
      <c r="D453">
        <v>0</v>
      </c>
      <c r="E453">
        <v>0</v>
      </c>
    </row>
    <row r="454" spans="1:5" x14ac:dyDescent="0.25">
      <c r="A454">
        <v>0</v>
      </c>
      <c r="B454">
        <v>0</v>
      </c>
      <c r="C454">
        <v>0</v>
      </c>
      <c r="D454">
        <v>0</v>
      </c>
      <c r="E454">
        <v>0</v>
      </c>
    </row>
    <row r="455" spans="1:5" x14ac:dyDescent="0.25">
      <c r="A455">
        <v>0</v>
      </c>
      <c r="B455">
        <v>0</v>
      </c>
      <c r="C455">
        <v>0</v>
      </c>
      <c r="D455">
        <v>0</v>
      </c>
      <c r="E455">
        <v>0</v>
      </c>
    </row>
    <row r="456" spans="1:5" x14ac:dyDescent="0.25">
      <c r="A456">
        <v>0</v>
      </c>
      <c r="B456">
        <v>0</v>
      </c>
      <c r="C456">
        <v>0</v>
      </c>
      <c r="D456">
        <v>0</v>
      </c>
      <c r="E456">
        <v>0</v>
      </c>
    </row>
    <row r="457" spans="1:5" x14ac:dyDescent="0.25">
      <c r="A457">
        <v>0</v>
      </c>
      <c r="B457">
        <v>0</v>
      </c>
      <c r="C457">
        <v>0</v>
      </c>
      <c r="D457">
        <v>0</v>
      </c>
      <c r="E457">
        <v>0</v>
      </c>
    </row>
    <row r="458" spans="1:5" x14ac:dyDescent="0.25">
      <c r="A458">
        <v>0</v>
      </c>
      <c r="B458">
        <v>0</v>
      </c>
      <c r="C458">
        <v>0</v>
      </c>
      <c r="D458">
        <v>0</v>
      </c>
      <c r="E458">
        <v>0</v>
      </c>
    </row>
    <row r="459" spans="1:5" x14ac:dyDescent="0.25">
      <c r="A459">
        <v>0</v>
      </c>
      <c r="B459">
        <v>0</v>
      </c>
      <c r="C459">
        <v>0</v>
      </c>
      <c r="D459">
        <v>0</v>
      </c>
      <c r="E459">
        <v>0</v>
      </c>
    </row>
    <row r="460" spans="1:5" x14ac:dyDescent="0.25">
      <c r="A460">
        <v>0</v>
      </c>
      <c r="B460">
        <v>0</v>
      </c>
      <c r="C460">
        <v>0</v>
      </c>
      <c r="D460">
        <v>0</v>
      </c>
      <c r="E460">
        <v>0</v>
      </c>
    </row>
    <row r="461" spans="1:5" x14ac:dyDescent="0.25">
      <c r="A461">
        <v>0</v>
      </c>
      <c r="B461">
        <v>0</v>
      </c>
      <c r="C461">
        <v>0</v>
      </c>
      <c r="D461">
        <v>0</v>
      </c>
      <c r="E461">
        <v>0</v>
      </c>
    </row>
    <row r="462" spans="1:5" x14ac:dyDescent="0.25">
      <c r="A462">
        <v>0</v>
      </c>
      <c r="B462">
        <v>0</v>
      </c>
      <c r="C462">
        <v>0</v>
      </c>
      <c r="D462">
        <v>0</v>
      </c>
      <c r="E462">
        <v>0</v>
      </c>
    </row>
    <row r="463" spans="1:5" x14ac:dyDescent="0.25">
      <c r="A463">
        <v>0</v>
      </c>
      <c r="B463">
        <v>0</v>
      </c>
      <c r="C463">
        <v>0</v>
      </c>
      <c r="D463">
        <v>0</v>
      </c>
      <c r="E463">
        <v>0</v>
      </c>
    </row>
    <row r="464" spans="1:5" x14ac:dyDescent="0.25">
      <c r="A464">
        <v>0</v>
      </c>
      <c r="B464">
        <v>0</v>
      </c>
      <c r="C464">
        <v>0</v>
      </c>
      <c r="D464">
        <v>0</v>
      </c>
      <c r="E464">
        <v>0</v>
      </c>
    </row>
    <row r="465" spans="1:5" x14ac:dyDescent="0.25">
      <c r="A465">
        <v>0</v>
      </c>
      <c r="B465">
        <v>0</v>
      </c>
      <c r="C465">
        <v>0</v>
      </c>
      <c r="D465">
        <v>0</v>
      </c>
      <c r="E465">
        <v>0</v>
      </c>
    </row>
    <row r="466" spans="1:5" x14ac:dyDescent="0.25">
      <c r="A466">
        <v>0</v>
      </c>
      <c r="B466">
        <v>0</v>
      </c>
      <c r="C466">
        <v>0</v>
      </c>
      <c r="D466">
        <v>0</v>
      </c>
      <c r="E466">
        <v>0</v>
      </c>
    </row>
    <row r="467" spans="1:5" x14ac:dyDescent="0.25">
      <c r="A467">
        <v>0</v>
      </c>
      <c r="B467">
        <v>0</v>
      </c>
      <c r="C467">
        <v>0</v>
      </c>
      <c r="D467">
        <v>0</v>
      </c>
      <c r="E467">
        <v>0</v>
      </c>
    </row>
    <row r="468" spans="1:5" x14ac:dyDescent="0.25">
      <c r="A468">
        <v>0</v>
      </c>
      <c r="B468">
        <v>0</v>
      </c>
      <c r="C468">
        <v>0</v>
      </c>
      <c r="D468">
        <v>0</v>
      </c>
      <c r="E468">
        <v>0</v>
      </c>
    </row>
    <row r="469" spans="1:5" x14ac:dyDescent="0.25">
      <c r="A469">
        <v>0</v>
      </c>
      <c r="B469">
        <v>0</v>
      </c>
      <c r="C469">
        <v>0</v>
      </c>
      <c r="D469">
        <v>0</v>
      </c>
      <c r="E469">
        <v>0</v>
      </c>
    </row>
    <row r="470" spans="1:5" x14ac:dyDescent="0.25">
      <c r="A470">
        <v>0</v>
      </c>
      <c r="B470">
        <v>0</v>
      </c>
      <c r="C470">
        <v>0</v>
      </c>
      <c r="D470">
        <v>0</v>
      </c>
      <c r="E470">
        <v>0</v>
      </c>
    </row>
    <row r="471" spans="1:5" x14ac:dyDescent="0.25">
      <c r="A471">
        <v>0</v>
      </c>
      <c r="B471">
        <v>0</v>
      </c>
      <c r="C471">
        <v>0</v>
      </c>
      <c r="D471">
        <v>0</v>
      </c>
      <c r="E471">
        <v>0</v>
      </c>
    </row>
    <row r="472" spans="1:5" x14ac:dyDescent="0.25">
      <c r="A472">
        <v>0</v>
      </c>
      <c r="B472">
        <v>0</v>
      </c>
      <c r="C472">
        <v>0</v>
      </c>
      <c r="D472">
        <v>0</v>
      </c>
      <c r="E472">
        <v>0</v>
      </c>
    </row>
    <row r="473" spans="1:5" x14ac:dyDescent="0.25">
      <c r="A473">
        <v>0</v>
      </c>
      <c r="B473">
        <v>0</v>
      </c>
      <c r="C473">
        <v>0</v>
      </c>
      <c r="D473">
        <v>0</v>
      </c>
      <c r="E473">
        <v>0</v>
      </c>
    </row>
    <row r="474" spans="1:5" x14ac:dyDescent="0.25">
      <c r="A474">
        <v>0</v>
      </c>
      <c r="B474">
        <v>0</v>
      </c>
      <c r="C474">
        <v>0</v>
      </c>
      <c r="D474">
        <v>0</v>
      </c>
      <c r="E474">
        <v>0</v>
      </c>
    </row>
    <row r="475" spans="1:5" x14ac:dyDescent="0.25">
      <c r="A475">
        <v>0</v>
      </c>
      <c r="B475">
        <v>0</v>
      </c>
      <c r="C475">
        <v>0</v>
      </c>
      <c r="D475">
        <v>0</v>
      </c>
      <c r="E475">
        <v>0</v>
      </c>
    </row>
    <row r="476" spans="1:5" x14ac:dyDescent="0.25">
      <c r="A476">
        <v>0</v>
      </c>
      <c r="B476">
        <v>0</v>
      </c>
      <c r="C476">
        <v>0</v>
      </c>
      <c r="D476">
        <v>0</v>
      </c>
      <c r="E476">
        <v>0</v>
      </c>
    </row>
    <row r="477" spans="1:5" x14ac:dyDescent="0.25">
      <c r="A477">
        <v>0</v>
      </c>
      <c r="B477">
        <v>0</v>
      </c>
      <c r="C477">
        <v>0</v>
      </c>
      <c r="D477">
        <v>0</v>
      </c>
      <c r="E477">
        <v>0</v>
      </c>
    </row>
    <row r="478" spans="1:5" x14ac:dyDescent="0.25">
      <c r="A478">
        <v>0</v>
      </c>
      <c r="B478">
        <v>0</v>
      </c>
      <c r="C478">
        <v>0</v>
      </c>
      <c r="D478">
        <v>0</v>
      </c>
      <c r="E478">
        <v>0</v>
      </c>
    </row>
    <row r="479" spans="1:5" x14ac:dyDescent="0.25">
      <c r="A479">
        <v>0</v>
      </c>
      <c r="B479">
        <v>0</v>
      </c>
      <c r="C479">
        <v>0</v>
      </c>
      <c r="D479">
        <v>0</v>
      </c>
      <c r="E479">
        <v>0</v>
      </c>
    </row>
    <row r="480" spans="1:5" x14ac:dyDescent="0.25">
      <c r="A480">
        <v>0</v>
      </c>
      <c r="B480">
        <v>0</v>
      </c>
      <c r="C480">
        <v>0</v>
      </c>
      <c r="D480">
        <v>0</v>
      </c>
      <c r="E480">
        <v>0</v>
      </c>
    </row>
    <row r="481" spans="1:5" x14ac:dyDescent="0.25">
      <c r="A481">
        <v>0</v>
      </c>
      <c r="B481">
        <v>0</v>
      </c>
      <c r="C481">
        <v>0</v>
      </c>
      <c r="D481">
        <v>0</v>
      </c>
      <c r="E481">
        <v>0</v>
      </c>
    </row>
    <row r="482" spans="1:5" x14ac:dyDescent="0.25">
      <c r="A482">
        <v>0</v>
      </c>
      <c r="B482">
        <v>0</v>
      </c>
      <c r="C482">
        <v>0</v>
      </c>
      <c r="D482">
        <v>0</v>
      </c>
      <c r="E482">
        <v>0</v>
      </c>
    </row>
    <row r="483" spans="1:5" x14ac:dyDescent="0.25">
      <c r="A483">
        <v>0</v>
      </c>
      <c r="B483">
        <v>0</v>
      </c>
      <c r="C483">
        <v>0</v>
      </c>
      <c r="D483">
        <v>0</v>
      </c>
      <c r="E483">
        <v>0</v>
      </c>
    </row>
    <row r="484" spans="1:5" x14ac:dyDescent="0.25">
      <c r="A484">
        <v>0</v>
      </c>
      <c r="B484">
        <v>0</v>
      </c>
      <c r="C484">
        <v>0</v>
      </c>
      <c r="D484">
        <v>0</v>
      </c>
      <c r="E484">
        <v>0</v>
      </c>
    </row>
    <row r="485" spans="1:5" x14ac:dyDescent="0.25">
      <c r="A485">
        <v>0</v>
      </c>
      <c r="B485">
        <v>0</v>
      </c>
      <c r="C485">
        <v>0</v>
      </c>
      <c r="D485">
        <v>0</v>
      </c>
      <c r="E485">
        <v>0</v>
      </c>
    </row>
    <row r="486" spans="1:5" x14ac:dyDescent="0.25">
      <c r="A486">
        <v>0</v>
      </c>
      <c r="B486">
        <v>0</v>
      </c>
      <c r="C486">
        <v>0</v>
      </c>
      <c r="D486">
        <v>0</v>
      </c>
      <c r="E486">
        <v>0</v>
      </c>
    </row>
    <row r="487" spans="1:5" x14ac:dyDescent="0.25">
      <c r="A487">
        <v>0</v>
      </c>
      <c r="B487">
        <v>0</v>
      </c>
      <c r="C487">
        <v>0</v>
      </c>
      <c r="D487">
        <v>0</v>
      </c>
      <c r="E487">
        <v>0</v>
      </c>
    </row>
    <row r="488" spans="1:5" x14ac:dyDescent="0.25">
      <c r="A488">
        <v>0</v>
      </c>
      <c r="B488">
        <v>0</v>
      </c>
      <c r="C488">
        <v>0</v>
      </c>
      <c r="D488">
        <v>0</v>
      </c>
      <c r="E488">
        <v>0</v>
      </c>
    </row>
    <row r="489" spans="1:5" x14ac:dyDescent="0.25">
      <c r="A489">
        <v>0</v>
      </c>
      <c r="B489">
        <v>0</v>
      </c>
      <c r="C489">
        <v>0</v>
      </c>
      <c r="D489">
        <v>0</v>
      </c>
      <c r="E489">
        <v>0</v>
      </c>
    </row>
    <row r="490" spans="1:5" x14ac:dyDescent="0.25">
      <c r="A490">
        <v>0</v>
      </c>
      <c r="B490">
        <v>0</v>
      </c>
      <c r="C490">
        <v>0</v>
      </c>
      <c r="D490">
        <v>0</v>
      </c>
      <c r="E490">
        <v>0</v>
      </c>
    </row>
    <row r="491" spans="1:5" x14ac:dyDescent="0.25">
      <c r="A491">
        <v>0</v>
      </c>
      <c r="B491">
        <v>0</v>
      </c>
      <c r="C491">
        <v>0</v>
      </c>
      <c r="D491">
        <v>0</v>
      </c>
      <c r="E491">
        <v>0</v>
      </c>
    </row>
    <row r="492" spans="1:5" x14ac:dyDescent="0.25">
      <c r="A492">
        <v>0</v>
      </c>
      <c r="B492">
        <v>0</v>
      </c>
      <c r="C492">
        <v>0</v>
      </c>
      <c r="D492">
        <v>0</v>
      </c>
      <c r="E492">
        <v>0</v>
      </c>
    </row>
    <row r="493" spans="1:5" x14ac:dyDescent="0.25">
      <c r="A493">
        <v>0</v>
      </c>
      <c r="B493">
        <v>0</v>
      </c>
      <c r="C493">
        <v>0</v>
      </c>
      <c r="D493">
        <v>0</v>
      </c>
      <c r="E493">
        <v>0</v>
      </c>
    </row>
    <row r="494" spans="1:5" x14ac:dyDescent="0.25">
      <c r="A494">
        <v>0</v>
      </c>
      <c r="B494">
        <v>0</v>
      </c>
      <c r="C494">
        <v>0</v>
      </c>
      <c r="D494">
        <v>0</v>
      </c>
      <c r="E494">
        <v>0</v>
      </c>
    </row>
    <row r="495" spans="1:5" x14ac:dyDescent="0.25">
      <c r="A495">
        <v>0</v>
      </c>
      <c r="B495">
        <v>0</v>
      </c>
      <c r="C495">
        <v>0</v>
      </c>
      <c r="D495">
        <v>0</v>
      </c>
      <c r="E495">
        <v>0</v>
      </c>
    </row>
    <row r="496" spans="1:5" x14ac:dyDescent="0.25">
      <c r="A496">
        <v>0</v>
      </c>
      <c r="B496">
        <v>0</v>
      </c>
      <c r="C496">
        <v>0</v>
      </c>
      <c r="D496">
        <v>0</v>
      </c>
      <c r="E496">
        <v>0</v>
      </c>
    </row>
    <row r="497" spans="1:5" x14ac:dyDescent="0.25">
      <c r="A497">
        <v>0</v>
      </c>
      <c r="B497">
        <v>0</v>
      </c>
      <c r="C497">
        <v>0</v>
      </c>
      <c r="D497">
        <v>0</v>
      </c>
      <c r="E497">
        <v>0</v>
      </c>
    </row>
    <row r="498" spans="1:5" x14ac:dyDescent="0.25">
      <c r="A498">
        <v>0</v>
      </c>
      <c r="B498">
        <v>0</v>
      </c>
      <c r="C498">
        <v>0</v>
      </c>
      <c r="D498">
        <v>0</v>
      </c>
      <c r="E498">
        <v>0</v>
      </c>
    </row>
    <row r="499" spans="1:5" x14ac:dyDescent="0.25">
      <c r="A499">
        <v>0</v>
      </c>
      <c r="B499">
        <v>0</v>
      </c>
      <c r="C499">
        <v>0</v>
      </c>
      <c r="D499">
        <v>0</v>
      </c>
      <c r="E499">
        <v>0</v>
      </c>
    </row>
    <row r="500" spans="1:5" x14ac:dyDescent="0.25">
      <c r="A500">
        <v>0</v>
      </c>
      <c r="B500">
        <v>0</v>
      </c>
      <c r="C500">
        <v>0</v>
      </c>
      <c r="D500">
        <v>0</v>
      </c>
      <c r="E5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96"/>
  <sheetViews>
    <sheetView zoomScale="115" zoomScaleNormal="115" workbookViewId="0">
      <selection sqref="A1:XFD1048576"/>
    </sheetView>
  </sheetViews>
  <sheetFormatPr defaultRowHeight="15" x14ac:dyDescent="0.25"/>
  <cols>
    <col min="1" max="2" width="46.7109375" style="37" bestFit="1" customWidth="1"/>
    <col min="3" max="3" width="9.7109375" style="37" customWidth="1"/>
    <col min="4" max="4" width="12.42578125" style="37" bestFit="1" customWidth="1"/>
    <col min="5" max="5" width="8.28515625" style="3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6</v>
      </c>
      <c r="C2">
        <v>0</v>
      </c>
      <c r="D2">
        <v>0</v>
      </c>
      <c r="E2">
        <v>0</v>
      </c>
    </row>
    <row r="3" spans="1:5" x14ac:dyDescent="0.25">
      <c r="A3" t="s">
        <v>8</v>
      </c>
      <c r="B3" t="s">
        <v>8</v>
      </c>
      <c r="C3">
        <v>0</v>
      </c>
      <c r="D3">
        <v>0</v>
      </c>
      <c r="E3">
        <v>0</v>
      </c>
    </row>
    <row r="4" spans="1:5" x14ac:dyDescent="0.25">
      <c r="A4" t="s">
        <v>10</v>
      </c>
      <c r="B4" t="s">
        <v>10</v>
      </c>
      <c r="C4" t="s">
        <v>11</v>
      </c>
      <c r="D4">
        <v>0</v>
      </c>
      <c r="E4">
        <v>0</v>
      </c>
    </row>
    <row r="5" spans="1:5" x14ac:dyDescent="0.25">
      <c r="A5" t="s">
        <v>13</v>
      </c>
      <c r="B5" t="s">
        <v>14</v>
      </c>
      <c r="C5" t="s">
        <v>15</v>
      </c>
      <c r="D5">
        <v>0</v>
      </c>
      <c r="E5">
        <v>0</v>
      </c>
    </row>
    <row r="6" spans="1:5" x14ac:dyDescent="0.25">
      <c r="A6" t="s">
        <v>17</v>
      </c>
      <c r="B6" t="s">
        <v>14</v>
      </c>
      <c r="C6" t="s">
        <v>15</v>
      </c>
      <c r="D6">
        <v>0</v>
      </c>
      <c r="E6">
        <v>0</v>
      </c>
    </row>
    <row r="7" spans="1:5" x14ac:dyDescent="0.25">
      <c r="A7" t="s">
        <v>19</v>
      </c>
      <c r="B7" t="s">
        <v>14</v>
      </c>
      <c r="C7" t="s">
        <v>15</v>
      </c>
      <c r="D7">
        <v>0</v>
      </c>
      <c r="E7">
        <v>0</v>
      </c>
    </row>
    <row r="8" spans="1:5" x14ac:dyDescent="0.25">
      <c r="A8" t="s">
        <v>7</v>
      </c>
      <c r="B8" t="s">
        <v>7</v>
      </c>
      <c r="C8" t="s">
        <v>21</v>
      </c>
      <c r="D8">
        <v>0</v>
      </c>
      <c r="E8">
        <v>0</v>
      </c>
    </row>
    <row r="9" spans="1:5" x14ac:dyDescent="0.25">
      <c r="A9" t="s">
        <v>23</v>
      </c>
      <c r="B9" t="s">
        <v>24</v>
      </c>
      <c r="C9">
        <v>0</v>
      </c>
      <c r="D9">
        <v>0</v>
      </c>
      <c r="E9">
        <v>0</v>
      </c>
    </row>
    <row r="10" spans="1:5" x14ac:dyDescent="0.25">
      <c r="A10" t="s">
        <v>26</v>
      </c>
      <c r="B10" t="s">
        <v>24</v>
      </c>
      <c r="C10">
        <v>0</v>
      </c>
      <c r="D10">
        <v>0</v>
      </c>
      <c r="E10">
        <v>0</v>
      </c>
    </row>
    <row r="11" spans="1:5" x14ac:dyDescent="0.25">
      <c r="A11" t="s">
        <v>28</v>
      </c>
      <c r="B11" t="s">
        <v>24</v>
      </c>
      <c r="C11">
        <v>0</v>
      </c>
      <c r="D11">
        <v>0</v>
      </c>
      <c r="E11">
        <v>0</v>
      </c>
    </row>
    <row r="12" spans="1:5" x14ac:dyDescent="0.25">
      <c r="A12" t="s">
        <v>30</v>
      </c>
      <c r="B12" t="s">
        <v>31</v>
      </c>
      <c r="C12">
        <v>0</v>
      </c>
      <c r="D12">
        <v>0</v>
      </c>
      <c r="E12">
        <v>0</v>
      </c>
    </row>
    <row r="13" spans="1:5" x14ac:dyDescent="0.25">
      <c r="A13" t="s">
        <v>33</v>
      </c>
      <c r="B13" t="s">
        <v>31</v>
      </c>
      <c r="C13">
        <v>0</v>
      </c>
      <c r="D13">
        <v>0</v>
      </c>
      <c r="E13">
        <v>0</v>
      </c>
    </row>
    <row r="14" spans="1:5" x14ac:dyDescent="0.25">
      <c r="A14" t="s">
        <v>9</v>
      </c>
      <c r="B14" t="s">
        <v>12</v>
      </c>
      <c r="C14" t="s">
        <v>35</v>
      </c>
      <c r="D14">
        <v>0</v>
      </c>
      <c r="E14">
        <v>0</v>
      </c>
    </row>
    <row r="15" spans="1:5" x14ac:dyDescent="0.25">
      <c r="A15" t="s">
        <v>12</v>
      </c>
      <c r="B15" t="s">
        <v>12</v>
      </c>
      <c r="C15" t="s">
        <v>35</v>
      </c>
      <c r="D15">
        <v>0</v>
      </c>
      <c r="E15">
        <v>0</v>
      </c>
    </row>
    <row r="16" spans="1:5" x14ac:dyDescent="0.25">
      <c r="A16" t="s">
        <v>38</v>
      </c>
      <c r="B16" t="s">
        <v>38</v>
      </c>
      <c r="C16">
        <v>0</v>
      </c>
      <c r="D16">
        <v>0</v>
      </c>
      <c r="E16">
        <v>0</v>
      </c>
    </row>
    <row r="17" spans="1:5" x14ac:dyDescent="0.25">
      <c r="A17" t="s">
        <v>40</v>
      </c>
      <c r="B17" t="s">
        <v>40</v>
      </c>
      <c r="C17">
        <v>0</v>
      </c>
      <c r="D17">
        <v>0</v>
      </c>
      <c r="E17">
        <v>0</v>
      </c>
    </row>
    <row r="18" spans="1:5" x14ac:dyDescent="0.25">
      <c r="A18" t="s">
        <v>16</v>
      </c>
      <c r="B18" t="s">
        <v>16</v>
      </c>
      <c r="C18" t="s">
        <v>42</v>
      </c>
      <c r="D18">
        <v>0</v>
      </c>
      <c r="E18">
        <v>0</v>
      </c>
    </row>
    <row r="19" spans="1:5" x14ac:dyDescent="0.25">
      <c r="A19" t="s">
        <v>44</v>
      </c>
      <c r="B19" t="s">
        <v>40</v>
      </c>
      <c r="C19">
        <v>0</v>
      </c>
      <c r="D19">
        <v>0</v>
      </c>
      <c r="E19">
        <v>0</v>
      </c>
    </row>
    <row r="20" spans="1:5" x14ac:dyDescent="0.25">
      <c r="A20" t="s">
        <v>46</v>
      </c>
      <c r="B20" t="s">
        <v>40</v>
      </c>
      <c r="C20">
        <v>0</v>
      </c>
      <c r="D20">
        <v>0</v>
      </c>
      <c r="E20">
        <v>0</v>
      </c>
    </row>
    <row r="21" spans="1:5" x14ac:dyDescent="0.25">
      <c r="A21" t="s">
        <v>48</v>
      </c>
      <c r="B21" t="s">
        <v>40</v>
      </c>
      <c r="C21">
        <v>0</v>
      </c>
      <c r="D21">
        <v>0</v>
      </c>
      <c r="E21">
        <v>0</v>
      </c>
    </row>
    <row r="22" spans="1:5" x14ac:dyDescent="0.25">
      <c r="A22" t="s">
        <v>49</v>
      </c>
      <c r="B22" t="s">
        <v>50</v>
      </c>
      <c r="C22">
        <v>0</v>
      </c>
      <c r="D22">
        <v>0</v>
      </c>
      <c r="E22">
        <v>0</v>
      </c>
    </row>
    <row r="23" spans="1:5" x14ac:dyDescent="0.25">
      <c r="A23" t="s">
        <v>51</v>
      </c>
      <c r="B23" t="s">
        <v>52</v>
      </c>
      <c r="C23">
        <v>0</v>
      </c>
      <c r="D23">
        <v>0</v>
      </c>
      <c r="E23">
        <v>0</v>
      </c>
    </row>
    <row r="24" spans="1:5" x14ac:dyDescent="0.25">
      <c r="A24" t="s">
        <v>53</v>
      </c>
      <c r="B24" t="s">
        <v>54</v>
      </c>
      <c r="C24">
        <v>0</v>
      </c>
      <c r="D24">
        <v>0</v>
      </c>
      <c r="E24">
        <v>0</v>
      </c>
    </row>
    <row r="25" spans="1:5" x14ac:dyDescent="0.25">
      <c r="A25" t="s">
        <v>55</v>
      </c>
      <c r="B25" t="s">
        <v>56</v>
      </c>
      <c r="C25">
        <v>0</v>
      </c>
      <c r="D25">
        <v>0</v>
      </c>
      <c r="E25">
        <v>0</v>
      </c>
    </row>
    <row r="26" spans="1:5" x14ac:dyDescent="0.25">
      <c r="A26" t="s">
        <v>57</v>
      </c>
      <c r="B26" t="s">
        <v>58</v>
      </c>
      <c r="C26" t="s">
        <v>59</v>
      </c>
      <c r="D26">
        <v>0</v>
      </c>
      <c r="E26">
        <v>0</v>
      </c>
    </row>
    <row r="27" spans="1:5" x14ac:dyDescent="0.25">
      <c r="A27" t="s">
        <v>60</v>
      </c>
      <c r="B27" t="s">
        <v>58</v>
      </c>
      <c r="C27" t="s">
        <v>59</v>
      </c>
      <c r="D27">
        <v>0</v>
      </c>
      <c r="E27">
        <v>0</v>
      </c>
    </row>
    <row r="28" spans="1:5" x14ac:dyDescent="0.25">
      <c r="A28" t="s">
        <v>61</v>
      </c>
      <c r="B28" t="s">
        <v>58</v>
      </c>
      <c r="C28" t="s">
        <v>59</v>
      </c>
      <c r="D28">
        <v>0</v>
      </c>
      <c r="E28">
        <v>0</v>
      </c>
    </row>
    <row r="29" spans="1:5" x14ac:dyDescent="0.25">
      <c r="A29" t="s">
        <v>62</v>
      </c>
      <c r="B29" t="s">
        <v>62</v>
      </c>
      <c r="C29">
        <v>0</v>
      </c>
      <c r="D29">
        <v>0</v>
      </c>
      <c r="E29">
        <v>0</v>
      </c>
    </row>
    <row r="30" spans="1:5" x14ac:dyDescent="0.25">
      <c r="A30" t="s">
        <v>63</v>
      </c>
      <c r="B30" t="s">
        <v>63</v>
      </c>
      <c r="C30">
        <v>0</v>
      </c>
      <c r="D30">
        <v>0</v>
      </c>
      <c r="E30">
        <v>0</v>
      </c>
    </row>
    <row r="31" spans="1:5" x14ac:dyDescent="0.25">
      <c r="A31" t="s">
        <v>18</v>
      </c>
      <c r="B31" t="s">
        <v>18</v>
      </c>
      <c r="C31" t="s">
        <v>64</v>
      </c>
      <c r="D31">
        <v>0</v>
      </c>
      <c r="E31">
        <v>0</v>
      </c>
    </row>
    <row r="32" spans="1:5" x14ac:dyDescent="0.25">
      <c r="A32" t="s">
        <v>20</v>
      </c>
      <c r="B32" t="s">
        <v>18</v>
      </c>
      <c r="C32" t="s">
        <v>64</v>
      </c>
      <c r="D32">
        <v>0</v>
      </c>
      <c r="E32">
        <v>0</v>
      </c>
    </row>
    <row r="33" spans="1:5" x14ac:dyDescent="0.25">
      <c r="A33" t="s">
        <v>22</v>
      </c>
      <c r="B33" t="s">
        <v>22</v>
      </c>
      <c r="C33" t="s">
        <v>65</v>
      </c>
      <c r="D33">
        <v>0</v>
      </c>
      <c r="E33">
        <v>0</v>
      </c>
    </row>
    <row r="34" spans="1:5" x14ac:dyDescent="0.25">
      <c r="A34" t="s">
        <v>25</v>
      </c>
      <c r="B34" t="s">
        <v>22</v>
      </c>
      <c r="C34" t="s">
        <v>65</v>
      </c>
      <c r="D34">
        <v>0</v>
      </c>
      <c r="E34">
        <v>0</v>
      </c>
    </row>
    <row r="35" spans="1:5" x14ac:dyDescent="0.25">
      <c r="A35" t="s">
        <v>27</v>
      </c>
      <c r="B35" t="s">
        <v>27</v>
      </c>
      <c r="C35" t="s">
        <v>66</v>
      </c>
      <c r="D35">
        <v>0</v>
      </c>
      <c r="E35">
        <v>0</v>
      </c>
    </row>
    <row r="36" spans="1:5" x14ac:dyDescent="0.25">
      <c r="A36" t="s">
        <v>29</v>
      </c>
      <c r="B36" t="s">
        <v>29</v>
      </c>
      <c r="C36" t="s">
        <v>67</v>
      </c>
      <c r="D36">
        <v>0</v>
      </c>
      <c r="E36">
        <v>0</v>
      </c>
    </row>
    <row r="37" spans="1:5" x14ac:dyDescent="0.25">
      <c r="A37" t="s">
        <v>68</v>
      </c>
      <c r="B37" t="s">
        <v>69</v>
      </c>
      <c r="C37">
        <v>0</v>
      </c>
      <c r="D37">
        <v>0</v>
      </c>
      <c r="E37">
        <v>0</v>
      </c>
    </row>
    <row r="38" spans="1:5" x14ac:dyDescent="0.25">
      <c r="A38" t="s">
        <v>70</v>
      </c>
      <c r="B38" t="s">
        <v>70</v>
      </c>
      <c r="C38">
        <v>0</v>
      </c>
      <c r="D38">
        <v>0</v>
      </c>
      <c r="E38">
        <v>0</v>
      </c>
    </row>
    <row r="39" spans="1:5" x14ac:dyDescent="0.25">
      <c r="A39" t="s">
        <v>71</v>
      </c>
      <c r="B39" t="s">
        <v>71</v>
      </c>
      <c r="C39">
        <v>0</v>
      </c>
      <c r="D39">
        <v>0</v>
      </c>
      <c r="E39">
        <v>0</v>
      </c>
    </row>
    <row r="40" spans="1:5" x14ac:dyDescent="0.25">
      <c r="A40" t="s">
        <v>69</v>
      </c>
      <c r="B40" t="s">
        <v>69</v>
      </c>
      <c r="C40" t="s">
        <v>72</v>
      </c>
      <c r="D40" t="s">
        <v>73</v>
      </c>
      <c r="E40" t="s">
        <v>74</v>
      </c>
    </row>
    <row r="41" spans="1:5" x14ac:dyDescent="0.25">
      <c r="A41" t="s">
        <v>56</v>
      </c>
      <c r="B41" t="s">
        <v>56</v>
      </c>
      <c r="C41">
        <v>0</v>
      </c>
      <c r="D41">
        <v>0</v>
      </c>
      <c r="E41">
        <v>0</v>
      </c>
    </row>
    <row r="42" spans="1:5" x14ac:dyDescent="0.25">
      <c r="A42" t="s">
        <v>32</v>
      </c>
      <c r="B42" t="s">
        <v>32</v>
      </c>
      <c r="C42" t="s">
        <v>75</v>
      </c>
      <c r="D42">
        <v>0</v>
      </c>
      <c r="E42">
        <v>0</v>
      </c>
    </row>
    <row r="43" spans="1:5" x14ac:dyDescent="0.25">
      <c r="A43" t="s">
        <v>34</v>
      </c>
      <c r="B43" t="s">
        <v>34</v>
      </c>
      <c r="C43" t="s">
        <v>76</v>
      </c>
      <c r="D43">
        <v>0</v>
      </c>
      <c r="E43">
        <v>0</v>
      </c>
    </row>
    <row r="44" spans="1:5" x14ac:dyDescent="0.25">
      <c r="A44" t="s">
        <v>36</v>
      </c>
      <c r="B44" t="s">
        <v>36</v>
      </c>
      <c r="C44" t="s">
        <v>77</v>
      </c>
      <c r="D44">
        <v>0</v>
      </c>
      <c r="E44">
        <v>0</v>
      </c>
    </row>
    <row r="45" spans="1:5" x14ac:dyDescent="0.25">
      <c r="A45" t="s">
        <v>37</v>
      </c>
      <c r="B45" t="s">
        <v>37</v>
      </c>
      <c r="C45">
        <v>0</v>
      </c>
      <c r="D45">
        <v>0</v>
      </c>
      <c r="E45">
        <v>0</v>
      </c>
    </row>
    <row r="46" spans="1:5" x14ac:dyDescent="0.25">
      <c r="A46" t="s">
        <v>78</v>
      </c>
      <c r="B46" t="s">
        <v>78</v>
      </c>
      <c r="C46">
        <v>0</v>
      </c>
      <c r="D46">
        <v>0</v>
      </c>
      <c r="E46">
        <v>0</v>
      </c>
    </row>
    <row r="47" spans="1:5" x14ac:dyDescent="0.25">
      <c r="A47" t="s">
        <v>79</v>
      </c>
      <c r="B47" t="s">
        <v>79</v>
      </c>
      <c r="C47">
        <v>0</v>
      </c>
      <c r="D47">
        <v>0</v>
      </c>
      <c r="E47">
        <v>0</v>
      </c>
    </row>
    <row r="48" spans="1:5" x14ac:dyDescent="0.25">
      <c r="A48" t="s">
        <v>80</v>
      </c>
      <c r="B48" t="s">
        <v>80</v>
      </c>
      <c r="C48">
        <v>0</v>
      </c>
      <c r="D48">
        <v>0</v>
      </c>
      <c r="E48">
        <v>0</v>
      </c>
    </row>
    <row r="49" spans="1:5" x14ac:dyDescent="0.25">
      <c r="A49" t="s">
        <v>81</v>
      </c>
      <c r="B49" t="s">
        <v>54</v>
      </c>
      <c r="C49">
        <v>0</v>
      </c>
      <c r="D49">
        <v>0</v>
      </c>
      <c r="E49">
        <v>0</v>
      </c>
    </row>
    <row r="50" spans="1:5" x14ac:dyDescent="0.25">
      <c r="A50" t="s">
        <v>54</v>
      </c>
      <c r="B50" t="s">
        <v>54</v>
      </c>
      <c r="C50">
        <v>0</v>
      </c>
      <c r="D50">
        <v>0</v>
      </c>
      <c r="E50">
        <v>0</v>
      </c>
    </row>
    <row r="51" spans="1:5" x14ac:dyDescent="0.25">
      <c r="A51" t="s">
        <v>82</v>
      </c>
      <c r="B51" t="s">
        <v>82</v>
      </c>
      <c r="C51">
        <v>0</v>
      </c>
      <c r="D51">
        <v>0</v>
      </c>
      <c r="E51">
        <v>0</v>
      </c>
    </row>
    <row r="52" spans="1:5" x14ac:dyDescent="0.25">
      <c r="A52" t="s">
        <v>83</v>
      </c>
      <c r="B52" t="s">
        <v>84</v>
      </c>
      <c r="C52">
        <v>0</v>
      </c>
      <c r="D52">
        <v>0</v>
      </c>
      <c r="E52">
        <v>0</v>
      </c>
    </row>
    <row r="53" spans="1:5" x14ac:dyDescent="0.25">
      <c r="A53" t="s">
        <v>84</v>
      </c>
      <c r="B53" t="s">
        <v>84</v>
      </c>
      <c r="C53">
        <v>0</v>
      </c>
      <c r="D53">
        <v>0</v>
      </c>
      <c r="E53">
        <v>0</v>
      </c>
    </row>
    <row r="54" spans="1:5" x14ac:dyDescent="0.25">
      <c r="A54" t="s">
        <v>85</v>
      </c>
      <c r="B54" t="s">
        <v>58</v>
      </c>
      <c r="C54" t="s">
        <v>59</v>
      </c>
      <c r="D54">
        <v>0</v>
      </c>
      <c r="E54">
        <v>0</v>
      </c>
    </row>
    <row r="55" spans="1:5" x14ac:dyDescent="0.25">
      <c r="A55" t="s">
        <v>86</v>
      </c>
      <c r="B55" t="s">
        <v>58</v>
      </c>
      <c r="C55" t="s">
        <v>59</v>
      </c>
      <c r="D55">
        <v>0</v>
      </c>
      <c r="E55">
        <v>0</v>
      </c>
    </row>
    <row r="56" spans="1:5" x14ac:dyDescent="0.25">
      <c r="A56" t="s">
        <v>87</v>
      </c>
      <c r="B56" t="s">
        <v>58</v>
      </c>
      <c r="C56" t="s">
        <v>59</v>
      </c>
      <c r="D56">
        <v>0</v>
      </c>
      <c r="E56">
        <v>0</v>
      </c>
    </row>
    <row r="57" spans="1:5" x14ac:dyDescent="0.25">
      <c r="A57" t="s">
        <v>88</v>
      </c>
      <c r="B57" t="s">
        <v>88</v>
      </c>
      <c r="C57">
        <v>0</v>
      </c>
      <c r="D57">
        <v>0</v>
      </c>
      <c r="E57">
        <v>0</v>
      </c>
    </row>
    <row r="58" spans="1:5" x14ac:dyDescent="0.25">
      <c r="A58" t="s">
        <v>89</v>
      </c>
      <c r="B58" t="s">
        <v>89</v>
      </c>
      <c r="C58">
        <v>0</v>
      </c>
      <c r="D58">
        <v>0</v>
      </c>
      <c r="E58">
        <v>0</v>
      </c>
    </row>
    <row r="59" spans="1:5" x14ac:dyDescent="0.25">
      <c r="A59" t="s">
        <v>90</v>
      </c>
      <c r="B59" t="s">
        <v>90</v>
      </c>
      <c r="C59">
        <v>0</v>
      </c>
      <c r="D59">
        <v>0</v>
      </c>
      <c r="E59">
        <v>0</v>
      </c>
    </row>
    <row r="60" spans="1:5" x14ac:dyDescent="0.25">
      <c r="A60" t="s">
        <v>91</v>
      </c>
      <c r="B60" t="s">
        <v>91</v>
      </c>
      <c r="C60">
        <v>0</v>
      </c>
      <c r="D60">
        <v>0</v>
      </c>
      <c r="E60">
        <v>0</v>
      </c>
    </row>
    <row r="61" spans="1:5" x14ac:dyDescent="0.25">
      <c r="A61" t="s">
        <v>92</v>
      </c>
      <c r="B61" t="s">
        <v>92</v>
      </c>
      <c r="C61">
        <v>0</v>
      </c>
      <c r="D61">
        <v>0</v>
      </c>
      <c r="E61">
        <v>0</v>
      </c>
    </row>
    <row r="62" spans="1:5" x14ac:dyDescent="0.25">
      <c r="A62" t="s">
        <v>93</v>
      </c>
      <c r="B62" t="s">
        <v>93</v>
      </c>
      <c r="C62">
        <v>0</v>
      </c>
      <c r="D62">
        <v>0</v>
      </c>
      <c r="E62">
        <v>0</v>
      </c>
    </row>
    <row r="63" spans="1:5" x14ac:dyDescent="0.25">
      <c r="A63" t="s">
        <v>47</v>
      </c>
      <c r="B63" t="s">
        <v>47</v>
      </c>
      <c r="C63" t="s">
        <v>94</v>
      </c>
      <c r="D63">
        <v>0</v>
      </c>
      <c r="E63">
        <v>0</v>
      </c>
    </row>
    <row r="64" spans="1:5" x14ac:dyDescent="0.25">
      <c r="A64" t="s">
        <v>95</v>
      </c>
      <c r="B64" t="s">
        <v>96</v>
      </c>
      <c r="C64">
        <v>0</v>
      </c>
      <c r="D64">
        <v>0</v>
      </c>
      <c r="E64">
        <v>0</v>
      </c>
    </row>
    <row r="65" spans="1:5" x14ac:dyDescent="0.25">
      <c r="A65" t="s">
        <v>97</v>
      </c>
      <c r="B65" t="s">
        <v>96</v>
      </c>
      <c r="C65">
        <v>0</v>
      </c>
      <c r="D65">
        <v>0</v>
      </c>
      <c r="E65">
        <v>0</v>
      </c>
    </row>
    <row r="66" spans="1:5" x14ac:dyDescent="0.25">
      <c r="A66" t="s">
        <v>98</v>
      </c>
      <c r="B66" t="s">
        <v>98</v>
      </c>
      <c r="C66">
        <v>0</v>
      </c>
      <c r="D66">
        <v>0</v>
      </c>
      <c r="E66">
        <v>0</v>
      </c>
    </row>
    <row r="67" spans="1:5" x14ac:dyDescent="0.25">
      <c r="A67" t="s">
        <v>99</v>
      </c>
      <c r="B67" t="s">
        <v>96</v>
      </c>
      <c r="C67">
        <v>0</v>
      </c>
      <c r="D67">
        <v>0</v>
      </c>
      <c r="E67">
        <v>0</v>
      </c>
    </row>
    <row r="68" spans="1:5" x14ac:dyDescent="0.25">
      <c r="A68" t="s">
        <v>100</v>
      </c>
      <c r="B68" t="s">
        <v>100</v>
      </c>
      <c r="C68">
        <v>0</v>
      </c>
      <c r="D68">
        <v>0</v>
      </c>
      <c r="E68">
        <v>0</v>
      </c>
    </row>
    <row r="69" spans="1:5" x14ac:dyDescent="0.25">
      <c r="A69" t="s">
        <v>101</v>
      </c>
      <c r="B69" t="s">
        <v>101</v>
      </c>
      <c r="C69">
        <v>0</v>
      </c>
      <c r="D69">
        <v>0</v>
      </c>
      <c r="E69">
        <v>0</v>
      </c>
    </row>
    <row r="70" spans="1:5" x14ac:dyDescent="0.25">
      <c r="A70" t="s">
        <v>102</v>
      </c>
      <c r="B70" t="s">
        <v>103</v>
      </c>
      <c r="C70" t="s">
        <v>104</v>
      </c>
      <c r="D70">
        <v>0</v>
      </c>
      <c r="E70">
        <v>0</v>
      </c>
    </row>
    <row r="71" spans="1:5" x14ac:dyDescent="0.25">
      <c r="A71" t="s">
        <v>105</v>
      </c>
      <c r="B71" t="s">
        <v>103</v>
      </c>
      <c r="C71" t="s">
        <v>104</v>
      </c>
      <c r="D71">
        <v>0</v>
      </c>
      <c r="E71">
        <v>0</v>
      </c>
    </row>
    <row r="72" spans="1:5" x14ac:dyDescent="0.25">
      <c r="A72" t="s">
        <v>106</v>
      </c>
      <c r="B72" t="s">
        <v>103</v>
      </c>
      <c r="C72" t="s">
        <v>104</v>
      </c>
      <c r="D72">
        <v>0</v>
      </c>
      <c r="E72">
        <v>0</v>
      </c>
    </row>
    <row r="73" spans="1:5" x14ac:dyDescent="0.25">
      <c r="A73" t="s">
        <v>107</v>
      </c>
      <c r="B73" t="s">
        <v>107</v>
      </c>
      <c r="C73" t="s">
        <v>108</v>
      </c>
      <c r="D73">
        <v>0</v>
      </c>
      <c r="E73">
        <v>0</v>
      </c>
    </row>
    <row r="74" spans="1:5" x14ac:dyDescent="0.25">
      <c r="A74" t="s">
        <v>109</v>
      </c>
      <c r="B74" t="s">
        <v>107</v>
      </c>
      <c r="C74" t="s">
        <v>108</v>
      </c>
      <c r="D74">
        <v>0</v>
      </c>
      <c r="E74">
        <v>0</v>
      </c>
    </row>
    <row r="75" spans="1:5" x14ac:dyDescent="0.25">
      <c r="A75" t="s">
        <v>110</v>
      </c>
      <c r="B75" t="s">
        <v>110</v>
      </c>
      <c r="C75">
        <v>0</v>
      </c>
      <c r="D75">
        <v>0</v>
      </c>
      <c r="E75">
        <v>0</v>
      </c>
    </row>
    <row r="76" spans="1:5" x14ac:dyDescent="0.25">
      <c r="A76" t="s">
        <v>111</v>
      </c>
      <c r="B76" t="s">
        <v>111</v>
      </c>
      <c r="C76">
        <v>0</v>
      </c>
      <c r="D76">
        <v>0</v>
      </c>
      <c r="E76">
        <v>0</v>
      </c>
    </row>
    <row r="77" spans="1:5" x14ac:dyDescent="0.25">
      <c r="A77" t="s">
        <v>112</v>
      </c>
      <c r="B77" t="s">
        <v>112</v>
      </c>
      <c r="C77">
        <v>0</v>
      </c>
      <c r="D77">
        <v>0</v>
      </c>
      <c r="E77">
        <v>0</v>
      </c>
    </row>
    <row r="78" spans="1:5" x14ac:dyDescent="0.25">
      <c r="A78" t="s">
        <v>113</v>
      </c>
      <c r="B78" t="s">
        <v>112</v>
      </c>
      <c r="C78">
        <v>0</v>
      </c>
      <c r="D78">
        <v>0</v>
      </c>
      <c r="E78">
        <v>0</v>
      </c>
    </row>
    <row r="79" spans="1:5" x14ac:dyDescent="0.25">
      <c r="A79" t="s">
        <v>39</v>
      </c>
      <c r="B79" t="s">
        <v>39</v>
      </c>
      <c r="C79" t="s">
        <v>114</v>
      </c>
      <c r="D79">
        <v>0</v>
      </c>
      <c r="E79">
        <v>0</v>
      </c>
    </row>
    <row r="80" spans="1:5" x14ac:dyDescent="0.25">
      <c r="A80" t="s">
        <v>115</v>
      </c>
      <c r="B80" t="s">
        <v>115</v>
      </c>
      <c r="C80">
        <v>0</v>
      </c>
      <c r="D80">
        <v>0</v>
      </c>
      <c r="E80">
        <v>0</v>
      </c>
    </row>
    <row r="81" spans="1:5" x14ac:dyDescent="0.25">
      <c r="A81" t="s">
        <v>116</v>
      </c>
      <c r="B81" t="s">
        <v>116</v>
      </c>
      <c r="C81">
        <v>0</v>
      </c>
      <c r="D81">
        <v>0</v>
      </c>
      <c r="E81">
        <v>0</v>
      </c>
    </row>
    <row r="82" spans="1:5" x14ac:dyDescent="0.25">
      <c r="A82" t="s">
        <v>117</v>
      </c>
      <c r="B82" t="s">
        <v>118</v>
      </c>
      <c r="C82" t="s">
        <v>119</v>
      </c>
      <c r="D82">
        <v>0</v>
      </c>
      <c r="E82">
        <v>0</v>
      </c>
    </row>
    <row r="83" spans="1:5" x14ac:dyDescent="0.25">
      <c r="A83" t="s">
        <v>120</v>
      </c>
      <c r="B83" t="s">
        <v>120</v>
      </c>
      <c r="C83">
        <v>0</v>
      </c>
      <c r="D83">
        <v>0</v>
      </c>
      <c r="E83">
        <v>0</v>
      </c>
    </row>
    <row r="84" spans="1:5" x14ac:dyDescent="0.25">
      <c r="A84" t="s">
        <v>121</v>
      </c>
      <c r="B84" t="s">
        <v>121</v>
      </c>
      <c r="C84">
        <v>0</v>
      </c>
      <c r="D84">
        <v>0</v>
      </c>
      <c r="E84">
        <v>0</v>
      </c>
    </row>
    <row r="85" spans="1:5" x14ac:dyDescent="0.25">
      <c r="A85" t="s">
        <v>122</v>
      </c>
      <c r="B85" t="s">
        <v>118</v>
      </c>
      <c r="C85" t="s">
        <v>72</v>
      </c>
      <c r="D85" t="s">
        <v>123</v>
      </c>
      <c r="E85" t="s">
        <v>124</v>
      </c>
    </row>
    <row r="86" spans="1:5" x14ac:dyDescent="0.25">
      <c r="A86" t="s">
        <v>125</v>
      </c>
      <c r="B86" t="s">
        <v>118</v>
      </c>
      <c r="C86" t="s">
        <v>72</v>
      </c>
      <c r="D86" t="s">
        <v>123</v>
      </c>
      <c r="E86" t="s">
        <v>124</v>
      </c>
    </row>
    <row r="87" spans="1:5" x14ac:dyDescent="0.25">
      <c r="A87" t="s">
        <v>126</v>
      </c>
      <c r="B87" t="s">
        <v>126</v>
      </c>
      <c r="C87">
        <v>0</v>
      </c>
      <c r="D87">
        <v>0</v>
      </c>
      <c r="E87">
        <v>0</v>
      </c>
    </row>
    <row r="88" spans="1:5" x14ac:dyDescent="0.25">
      <c r="A88" t="s">
        <v>127</v>
      </c>
      <c r="B88" t="s">
        <v>128</v>
      </c>
      <c r="C88">
        <v>0</v>
      </c>
      <c r="D88">
        <v>0</v>
      </c>
      <c r="E88">
        <v>0</v>
      </c>
    </row>
    <row r="89" spans="1:5" x14ac:dyDescent="0.25">
      <c r="A89" t="s">
        <v>129</v>
      </c>
      <c r="B89" t="s">
        <v>128</v>
      </c>
      <c r="C89">
        <v>0</v>
      </c>
      <c r="D89">
        <v>0</v>
      </c>
      <c r="E89">
        <v>0</v>
      </c>
    </row>
    <row r="90" spans="1:5" x14ac:dyDescent="0.25">
      <c r="A90" t="s">
        <v>41</v>
      </c>
      <c r="B90" t="s">
        <v>41</v>
      </c>
      <c r="C90" t="s">
        <v>130</v>
      </c>
      <c r="D90">
        <v>0</v>
      </c>
      <c r="E90">
        <v>0</v>
      </c>
    </row>
    <row r="91" spans="1:5" x14ac:dyDescent="0.25">
      <c r="A91" t="s">
        <v>43</v>
      </c>
      <c r="B91" t="s">
        <v>131</v>
      </c>
      <c r="C91" t="s">
        <v>132</v>
      </c>
      <c r="D91" t="s">
        <v>133</v>
      </c>
      <c r="E91" t="s">
        <v>134</v>
      </c>
    </row>
    <row r="92" spans="1:5" x14ac:dyDescent="0.25">
      <c r="A92" t="s">
        <v>135</v>
      </c>
      <c r="B92" t="s">
        <v>135</v>
      </c>
      <c r="C92" t="s">
        <v>136</v>
      </c>
      <c r="D92" t="s">
        <v>137</v>
      </c>
      <c r="E92">
        <v>0</v>
      </c>
    </row>
    <row r="93" spans="1:5" x14ac:dyDescent="0.25">
      <c r="A93" t="s">
        <v>138</v>
      </c>
      <c r="B93" t="s">
        <v>135</v>
      </c>
      <c r="C93" t="s">
        <v>136</v>
      </c>
      <c r="D93" t="s">
        <v>137</v>
      </c>
      <c r="E93">
        <v>0</v>
      </c>
    </row>
    <row r="94" spans="1:5" x14ac:dyDescent="0.25">
      <c r="A94" t="s">
        <v>45</v>
      </c>
      <c r="B94" t="s">
        <v>45</v>
      </c>
      <c r="C94" t="s">
        <v>139</v>
      </c>
      <c r="D94">
        <v>0</v>
      </c>
      <c r="E94">
        <v>0</v>
      </c>
    </row>
    <row r="95" spans="1:5" x14ac:dyDescent="0.25">
      <c r="A95" t="s">
        <v>140</v>
      </c>
      <c r="B95" t="s">
        <v>140</v>
      </c>
      <c r="C95">
        <v>0</v>
      </c>
      <c r="D95">
        <v>0</v>
      </c>
      <c r="E95">
        <v>0</v>
      </c>
    </row>
    <row r="96" spans="1:5" x14ac:dyDescent="0.25">
      <c r="A96" t="s">
        <v>141</v>
      </c>
      <c r="B96" t="s">
        <v>56</v>
      </c>
      <c r="C96">
        <v>0</v>
      </c>
      <c r="D96">
        <v>0</v>
      </c>
      <c r="E96">
        <v>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500"/>
  <sheetViews>
    <sheetView workbookViewId="0">
      <selection activeCell="A12" sqref="A12"/>
    </sheetView>
  </sheetViews>
  <sheetFormatPr defaultColWidth="9.140625" defaultRowHeight="15" x14ac:dyDescent="0.25"/>
  <cols>
    <col min="1" max="2" width="46.7109375" style="37" bestFit="1" customWidth="1"/>
    <col min="3" max="3" width="7" style="37" bestFit="1" customWidth="1"/>
    <col min="4" max="4" width="12.42578125" style="37" bestFit="1" customWidth="1"/>
    <col min="5" max="5" width="7" style="37" bestFit="1" customWidth="1"/>
    <col min="6" max="11" width="9.140625" style="37" customWidth="1"/>
    <col min="12" max="16384" width="9.140625" style="37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6</v>
      </c>
      <c r="C2">
        <v>0</v>
      </c>
      <c r="D2">
        <v>0</v>
      </c>
      <c r="E2">
        <v>0</v>
      </c>
    </row>
    <row r="3" spans="1:5" x14ac:dyDescent="0.25">
      <c r="A3" t="s">
        <v>8</v>
      </c>
      <c r="B3" t="s">
        <v>8</v>
      </c>
      <c r="C3">
        <v>0</v>
      </c>
      <c r="D3">
        <v>0</v>
      </c>
      <c r="E3">
        <v>0</v>
      </c>
    </row>
    <row r="4" spans="1:5" x14ac:dyDescent="0.25">
      <c r="A4" t="s">
        <v>10</v>
      </c>
      <c r="B4" t="s">
        <v>10</v>
      </c>
      <c r="C4" t="s">
        <v>11</v>
      </c>
      <c r="D4">
        <v>0</v>
      </c>
      <c r="E4">
        <v>0</v>
      </c>
    </row>
    <row r="5" spans="1:5" x14ac:dyDescent="0.25">
      <c r="A5" t="s">
        <v>13</v>
      </c>
      <c r="B5" t="s">
        <v>14</v>
      </c>
      <c r="C5" t="s">
        <v>15</v>
      </c>
      <c r="D5">
        <v>0</v>
      </c>
      <c r="E5">
        <v>0</v>
      </c>
    </row>
    <row r="6" spans="1:5" x14ac:dyDescent="0.25">
      <c r="A6" t="s">
        <v>17</v>
      </c>
      <c r="B6" t="s">
        <v>14</v>
      </c>
      <c r="C6" t="s">
        <v>15</v>
      </c>
      <c r="D6">
        <v>0</v>
      </c>
      <c r="E6">
        <v>0</v>
      </c>
    </row>
    <row r="7" spans="1:5" x14ac:dyDescent="0.25">
      <c r="A7" t="s">
        <v>19</v>
      </c>
      <c r="B7" t="s">
        <v>14</v>
      </c>
      <c r="C7" t="s">
        <v>15</v>
      </c>
      <c r="D7">
        <v>0</v>
      </c>
      <c r="E7">
        <v>0</v>
      </c>
    </row>
    <row r="8" spans="1:5" x14ac:dyDescent="0.25">
      <c r="A8" t="s">
        <v>7</v>
      </c>
      <c r="B8" t="s">
        <v>7</v>
      </c>
      <c r="C8" t="s">
        <v>21</v>
      </c>
      <c r="D8">
        <v>0</v>
      </c>
      <c r="E8">
        <v>0</v>
      </c>
    </row>
    <row r="9" spans="1:5" x14ac:dyDescent="0.25">
      <c r="A9" t="s">
        <v>23</v>
      </c>
      <c r="B9" t="s">
        <v>24</v>
      </c>
      <c r="C9">
        <v>0</v>
      </c>
      <c r="D9">
        <v>0</v>
      </c>
      <c r="E9">
        <v>0</v>
      </c>
    </row>
    <row r="10" spans="1:5" x14ac:dyDescent="0.25">
      <c r="A10" t="s">
        <v>26</v>
      </c>
      <c r="B10" t="s">
        <v>24</v>
      </c>
      <c r="C10">
        <v>0</v>
      </c>
      <c r="D10">
        <v>0</v>
      </c>
      <c r="E10">
        <v>0</v>
      </c>
    </row>
    <row r="11" spans="1:5" x14ac:dyDescent="0.25">
      <c r="A11" t="s">
        <v>28</v>
      </c>
      <c r="B11" t="s">
        <v>24</v>
      </c>
      <c r="C11">
        <v>0</v>
      </c>
      <c r="D11">
        <v>0</v>
      </c>
      <c r="E11">
        <v>0</v>
      </c>
    </row>
    <row r="12" spans="1:5" x14ac:dyDescent="0.25">
      <c r="A12" t="s">
        <v>30</v>
      </c>
      <c r="B12" t="s">
        <v>31</v>
      </c>
      <c r="C12">
        <v>0</v>
      </c>
      <c r="D12">
        <v>0</v>
      </c>
      <c r="E12">
        <v>0</v>
      </c>
    </row>
    <row r="13" spans="1:5" x14ac:dyDescent="0.25">
      <c r="A13" t="s">
        <v>33</v>
      </c>
      <c r="B13" t="s">
        <v>31</v>
      </c>
      <c r="C13">
        <v>0</v>
      </c>
      <c r="D13">
        <v>0</v>
      </c>
      <c r="E13">
        <v>0</v>
      </c>
    </row>
    <row r="14" spans="1:5" x14ac:dyDescent="0.25">
      <c r="A14" t="s">
        <v>9</v>
      </c>
      <c r="B14" t="s">
        <v>12</v>
      </c>
      <c r="C14" t="s">
        <v>35</v>
      </c>
      <c r="D14">
        <v>0</v>
      </c>
      <c r="E14">
        <v>0</v>
      </c>
    </row>
    <row r="15" spans="1:5" x14ac:dyDescent="0.25">
      <c r="A15" t="s">
        <v>12</v>
      </c>
      <c r="B15" t="s">
        <v>12</v>
      </c>
      <c r="C15" t="s">
        <v>35</v>
      </c>
      <c r="D15">
        <v>0</v>
      </c>
      <c r="E15">
        <v>0</v>
      </c>
    </row>
    <row r="16" spans="1:5" x14ac:dyDescent="0.25">
      <c r="A16" t="s">
        <v>38</v>
      </c>
      <c r="B16" t="s">
        <v>38</v>
      </c>
      <c r="C16">
        <v>0</v>
      </c>
      <c r="D16">
        <v>0</v>
      </c>
      <c r="E16">
        <v>0</v>
      </c>
    </row>
    <row r="17" spans="1:5" x14ac:dyDescent="0.25">
      <c r="A17" t="s">
        <v>40</v>
      </c>
      <c r="B17" t="s">
        <v>40</v>
      </c>
      <c r="C17">
        <v>0</v>
      </c>
      <c r="D17">
        <v>0</v>
      </c>
      <c r="E17">
        <v>0</v>
      </c>
    </row>
    <row r="18" spans="1:5" x14ac:dyDescent="0.25">
      <c r="A18" t="s">
        <v>16</v>
      </c>
      <c r="B18" t="s">
        <v>16</v>
      </c>
      <c r="C18" t="s">
        <v>42</v>
      </c>
      <c r="D18">
        <v>0</v>
      </c>
      <c r="E18">
        <v>0</v>
      </c>
    </row>
    <row r="19" spans="1:5" x14ac:dyDescent="0.25">
      <c r="A19" t="s">
        <v>44</v>
      </c>
      <c r="B19" t="s">
        <v>40</v>
      </c>
      <c r="C19">
        <v>0</v>
      </c>
      <c r="D19">
        <v>0</v>
      </c>
      <c r="E19">
        <v>0</v>
      </c>
    </row>
    <row r="20" spans="1:5" x14ac:dyDescent="0.25">
      <c r="A20" t="s">
        <v>46</v>
      </c>
      <c r="B20" t="s">
        <v>40</v>
      </c>
      <c r="C20">
        <v>0</v>
      </c>
      <c r="D20">
        <v>0</v>
      </c>
      <c r="E20">
        <v>0</v>
      </c>
    </row>
    <row r="21" spans="1:5" x14ac:dyDescent="0.25">
      <c r="A21" t="s">
        <v>48</v>
      </c>
      <c r="B21" t="s">
        <v>40</v>
      </c>
      <c r="C21">
        <v>0</v>
      </c>
      <c r="D21">
        <v>0</v>
      </c>
      <c r="E21">
        <v>0</v>
      </c>
    </row>
    <row r="22" spans="1:5" x14ac:dyDescent="0.25">
      <c r="A22" t="s">
        <v>49</v>
      </c>
      <c r="B22" t="s">
        <v>50</v>
      </c>
      <c r="C22">
        <v>0</v>
      </c>
      <c r="D22">
        <v>0</v>
      </c>
      <c r="E22">
        <v>0</v>
      </c>
    </row>
    <row r="23" spans="1:5" x14ac:dyDescent="0.25">
      <c r="A23" t="s">
        <v>51</v>
      </c>
      <c r="B23" t="s">
        <v>52</v>
      </c>
      <c r="C23">
        <v>0</v>
      </c>
      <c r="D23">
        <v>0</v>
      </c>
      <c r="E23">
        <v>0</v>
      </c>
    </row>
    <row r="24" spans="1:5" x14ac:dyDescent="0.25">
      <c r="A24" t="s">
        <v>53</v>
      </c>
      <c r="B24" t="s">
        <v>54</v>
      </c>
      <c r="C24">
        <v>0</v>
      </c>
      <c r="D24">
        <v>0</v>
      </c>
      <c r="E24">
        <v>0</v>
      </c>
    </row>
    <row r="25" spans="1:5" x14ac:dyDescent="0.25">
      <c r="A25" t="s">
        <v>55</v>
      </c>
      <c r="B25" t="s">
        <v>56</v>
      </c>
      <c r="C25">
        <v>0</v>
      </c>
      <c r="D25">
        <v>0</v>
      </c>
      <c r="E25">
        <v>0</v>
      </c>
    </row>
    <row r="26" spans="1:5" x14ac:dyDescent="0.25">
      <c r="A26" t="s">
        <v>57</v>
      </c>
      <c r="B26" t="s">
        <v>58</v>
      </c>
      <c r="C26" t="s">
        <v>59</v>
      </c>
      <c r="D26">
        <v>0</v>
      </c>
      <c r="E26">
        <v>0</v>
      </c>
    </row>
    <row r="27" spans="1:5" x14ac:dyDescent="0.25">
      <c r="A27" t="s">
        <v>60</v>
      </c>
      <c r="B27" t="s">
        <v>58</v>
      </c>
      <c r="C27" t="s">
        <v>59</v>
      </c>
      <c r="D27">
        <v>0</v>
      </c>
      <c r="E27">
        <v>0</v>
      </c>
    </row>
    <row r="28" spans="1:5" x14ac:dyDescent="0.25">
      <c r="A28" t="s">
        <v>61</v>
      </c>
      <c r="B28" t="s">
        <v>58</v>
      </c>
      <c r="C28" t="s">
        <v>59</v>
      </c>
      <c r="D28">
        <v>0</v>
      </c>
      <c r="E28">
        <v>0</v>
      </c>
    </row>
    <row r="29" spans="1:5" x14ac:dyDescent="0.25">
      <c r="A29" t="s">
        <v>62</v>
      </c>
      <c r="B29" t="s">
        <v>62</v>
      </c>
      <c r="C29">
        <v>0</v>
      </c>
      <c r="D29">
        <v>0</v>
      </c>
      <c r="E29">
        <v>0</v>
      </c>
    </row>
    <row r="30" spans="1:5" x14ac:dyDescent="0.25">
      <c r="A30" t="s">
        <v>63</v>
      </c>
      <c r="B30" t="s">
        <v>63</v>
      </c>
      <c r="C30">
        <v>0</v>
      </c>
      <c r="D30">
        <v>0</v>
      </c>
      <c r="E30">
        <v>0</v>
      </c>
    </row>
    <row r="31" spans="1:5" x14ac:dyDescent="0.25">
      <c r="A31" t="s">
        <v>18</v>
      </c>
      <c r="B31" t="s">
        <v>18</v>
      </c>
      <c r="C31" t="s">
        <v>64</v>
      </c>
      <c r="D31">
        <v>0</v>
      </c>
      <c r="E31">
        <v>0</v>
      </c>
    </row>
    <row r="32" spans="1:5" x14ac:dyDescent="0.25">
      <c r="A32" t="s">
        <v>20</v>
      </c>
      <c r="B32" t="s">
        <v>18</v>
      </c>
      <c r="C32" t="s">
        <v>64</v>
      </c>
      <c r="D32">
        <v>0</v>
      </c>
      <c r="E32">
        <v>0</v>
      </c>
    </row>
    <row r="33" spans="1:5" x14ac:dyDescent="0.25">
      <c r="A33" t="s">
        <v>22</v>
      </c>
      <c r="B33" t="s">
        <v>22</v>
      </c>
      <c r="C33" t="s">
        <v>65</v>
      </c>
      <c r="D33">
        <v>0</v>
      </c>
      <c r="E33">
        <v>0</v>
      </c>
    </row>
    <row r="34" spans="1:5" x14ac:dyDescent="0.25">
      <c r="A34" t="s">
        <v>25</v>
      </c>
      <c r="B34" t="s">
        <v>22</v>
      </c>
      <c r="C34" t="s">
        <v>65</v>
      </c>
      <c r="D34">
        <v>0</v>
      </c>
      <c r="E34">
        <v>0</v>
      </c>
    </row>
    <row r="35" spans="1:5" x14ac:dyDescent="0.25">
      <c r="A35" t="s">
        <v>27</v>
      </c>
      <c r="B35" t="s">
        <v>27</v>
      </c>
      <c r="C35" t="s">
        <v>66</v>
      </c>
      <c r="D35">
        <v>0</v>
      </c>
      <c r="E35">
        <v>0</v>
      </c>
    </row>
    <row r="36" spans="1:5" x14ac:dyDescent="0.25">
      <c r="A36" t="s">
        <v>29</v>
      </c>
      <c r="B36" t="s">
        <v>29</v>
      </c>
      <c r="C36" t="s">
        <v>67</v>
      </c>
      <c r="D36">
        <v>0</v>
      </c>
      <c r="E36">
        <v>0</v>
      </c>
    </row>
    <row r="37" spans="1:5" x14ac:dyDescent="0.25">
      <c r="A37" t="s">
        <v>68</v>
      </c>
      <c r="B37" t="s">
        <v>69</v>
      </c>
      <c r="C37">
        <v>0</v>
      </c>
      <c r="D37">
        <v>0</v>
      </c>
      <c r="E37">
        <v>0</v>
      </c>
    </row>
    <row r="38" spans="1:5" x14ac:dyDescent="0.25">
      <c r="A38" t="s">
        <v>70</v>
      </c>
      <c r="B38" t="s">
        <v>70</v>
      </c>
      <c r="C38">
        <v>0</v>
      </c>
      <c r="D38">
        <v>0</v>
      </c>
      <c r="E38">
        <v>0</v>
      </c>
    </row>
    <row r="39" spans="1:5" x14ac:dyDescent="0.25">
      <c r="A39" t="s">
        <v>71</v>
      </c>
      <c r="B39" t="s">
        <v>71</v>
      </c>
      <c r="C39">
        <v>0</v>
      </c>
      <c r="D39">
        <v>0</v>
      </c>
      <c r="E39">
        <v>0</v>
      </c>
    </row>
    <row r="40" spans="1:5" x14ac:dyDescent="0.25">
      <c r="A40" t="s">
        <v>69</v>
      </c>
      <c r="B40" t="s">
        <v>69</v>
      </c>
      <c r="C40" t="s">
        <v>72</v>
      </c>
      <c r="D40" t="s">
        <v>73</v>
      </c>
      <c r="E40" t="s">
        <v>74</v>
      </c>
    </row>
    <row r="41" spans="1:5" x14ac:dyDescent="0.25">
      <c r="A41" t="s">
        <v>56</v>
      </c>
      <c r="B41" t="s">
        <v>56</v>
      </c>
      <c r="C41">
        <v>0</v>
      </c>
      <c r="D41">
        <v>0</v>
      </c>
      <c r="E41">
        <v>0</v>
      </c>
    </row>
    <row r="42" spans="1:5" x14ac:dyDescent="0.25">
      <c r="A42" t="s">
        <v>32</v>
      </c>
      <c r="B42" t="s">
        <v>32</v>
      </c>
      <c r="C42" t="s">
        <v>75</v>
      </c>
      <c r="D42">
        <v>0</v>
      </c>
      <c r="E42">
        <v>0</v>
      </c>
    </row>
    <row r="43" spans="1:5" x14ac:dyDescent="0.25">
      <c r="A43" t="s">
        <v>34</v>
      </c>
      <c r="B43" t="s">
        <v>34</v>
      </c>
      <c r="C43" t="s">
        <v>76</v>
      </c>
      <c r="D43">
        <v>0</v>
      </c>
      <c r="E43">
        <v>0</v>
      </c>
    </row>
    <row r="44" spans="1:5" x14ac:dyDescent="0.25">
      <c r="A44" t="s">
        <v>36</v>
      </c>
      <c r="B44" t="s">
        <v>36</v>
      </c>
      <c r="C44" t="s">
        <v>77</v>
      </c>
      <c r="D44">
        <v>0</v>
      </c>
      <c r="E44">
        <v>0</v>
      </c>
    </row>
    <row r="45" spans="1:5" x14ac:dyDescent="0.25">
      <c r="A45" t="s">
        <v>37</v>
      </c>
      <c r="B45" t="s">
        <v>37</v>
      </c>
      <c r="C45">
        <v>0</v>
      </c>
      <c r="D45">
        <v>0</v>
      </c>
      <c r="E45">
        <v>0</v>
      </c>
    </row>
    <row r="46" spans="1:5" x14ac:dyDescent="0.25">
      <c r="A46" t="s">
        <v>78</v>
      </c>
      <c r="B46" t="s">
        <v>78</v>
      </c>
      <c r="C46">
        <v>0</v>
      </c>
      <c r="D46">
        <v>0</v>
      </c>
      <c r="E46">
        <v>0</v>
      </c>
    </row>
    <row r="47" spans="1:5" x14ac:dyDescent="0.25">
      <c r="A47" t="s">
        <v>79</v>
      </c>
      <c r="B47" t="s">
        <v>79</v>
      </c>
      <c r="C47">
        <v>0</v>
      </c>
      <c r="D47">
        <v>0</v>
      </c>
      <c r="E47">
        <v>0</v>
      </c>
    </row>
    <row r="48" spans="1:5" x14ac:dyDescent="0.25">
      <c r="A48" t="s">
        <v>80</v>
      </c>
      <c r="B48" t="s">
        <v>80</v>
      </c>
      <c r="C48">
        <v>0</v>
      </c>
      <c r="D48">
        <v>0</v>
      </c>
      <c r="E48">
        <v>0</v>
      </c>
    </row>
    <row r="49" spans="1:5" x14ac:dyDescent="0.25">
      <c r="A49" t="s">
        <v>81</v>
      </c>
      <c r="B49" t="s">
        <v>54</v>
      </c>
      <c r="C49">
        <v>0</v>
      </c>
      <c r="D49">
        <v>0</v>
      </c>
      <c r="E49">
        <v>0</v>
      </c>
    </row>
    <row r="50" spans="1:5" x14ac:dyDescent="0.25">
      <c r="A50" t="s">
        <v>54</v>
      </c>
      <c r="B50" t="s">
        <v>54</v>
      </c>
      <c r="C50">
        <v>0</v>
      </c>
      <c r="D50">
        <v>0</v>
      </c>
      <c r="E50">
        <v>0</v>
      </c>
    </row>
    <row r="51" spans="1:5" x14ac:dyDescent="0.25">
      <c r="A51" t="s">
        <v>82</v>
      </c>
      <c r="B51" t="s">
        <v>82</v>
      </c>
      <c r="C51">
        <v>0</v>
      </c>
      <c r="D51">
        <v>0</v>
      </c>
      <c r="E51">
        <v>0</v>
      </c>
    </row>
    <row r="52" spans="1:5" x14ac:dyDescent="0.25">
      <c r="A52" t="s">
        <v>83</v>
      </c>
      <c r="B52" t="s">
        <v>84</v>
      </c>
      <c r="C52">
        <v>0</v>
      </c>
      <c r="D52">
        <v>0</v>
      </c>
      <c r="E52">
        <v>0</v>
      </c>
    </row>
    <row r="53" spans="1:5" x14ac:dyDescent="0.25">
      <c r="A53" t="s">
        <v>84</v>
      </c>
      <c r="B53" t="s">
        <v>84</v>
      </c>
      <c r="C53">
        <v>0</v>
      </c>
      <c r="D53">
        <v>0</v>
      </c>
      <c r="E53">
        <v>0</v>
      </c>
    </row>
    <row r="54" spans="1:5" x14ac:dyDescent="0.25">
      <c r="A54" t="s">
        <v>85</v>
      </c>
      <c r="B54" t="s">
        <v>58</v>
      </c>
      <c r="C54" t="s">
        <v>59</v>
      </c>
      <c r="D54">
        <v>0</v>
      </c>
      <c r="E54">
        <v>0</v>
      </c>
    </row>
    <row r="55" spans="1:5" x14ac:dyDescent="0.25">
      <c r="A55" t="s">
        <v>86</v>
      </c>
      <c r="B55" t="s">
        <v>58</v>
      </c>
      <c r="C55" t="s">
        <v>59</v>
      </c>
      <c r="D55">
        <v>0</v>
      </c>
      <c r="E55">
        <v>0</v>
      </c>
    </row>
    <row r="56" spans="1:5" x14ac:dyDescent="0.25">
      <c r="A56" t="s">
        <v>87</v>
      </c>
      <c r="B56" t="s">
        <v>58</v>
      </c>
      <c r="C56" t="s">
        <v>59</v>
      </c>
      <c r="D56">
        <v>0</v>
      </c>
      <c r="E56">
        <v>0</v>
      </c>
    </row>
    <row r="57" spans="1:5" x14ac:dyDescent="0.25">
      <c r="A57" t="s">
        <v>88</v>
      </c>
      <c r="B57" t="s">
        <v>88</v>
      </c>
      <c r="C57">
        <v>0</v>
      </c>
      <c r="D57">
        <v>0</v>
      </c>
      <c r="E57">
        <v>0</v>
      </c>
    </row>
    <row r="58" spans="1:5" x14ac:dyDescent="0.25">
      <c r="A58" t="s">
        <v>89</v>
      </c>
      <c r="B58" t="s">
        <v>89</v>
      </c>
      <c r="C58">
        <v>0</v>
      </c>
      <c r="D58">
        <v>0</v>
      </c>
      <c r="E58">
        <v>0</v>
      </c>
    </row>
    <row r="59" spans="1:5" x14ac:dyDescent="0.25">
      <c r="A59" t="s">
        <v>90</v>
      </c>
      <c r="B59" t="s">
        <v>90</v>
      </c>
      <c r="C59">
        <v>0</v>
      </c>
      <c r="D59">
        <v>0</v>
      </c>
      <c r="E59">
        <v>0</v>
      </c>
    </row>
    <row r="60" spans="1:5" x14ac:dyDescent="0.25">
      <c r="A60" t="s">
        <v>91</v>
      </c>
      <c r="B60" t="s">
        <v>91</v>
      </c>
      <c r="C60">
        <v>0</v>
      </c>
      <c r="D60">
        <v>0</v>
      </c>
      <c r="E60">
        <v>0</v>
      </c>
    </row>
    <row r="61" spans="1:5" x14ac:dyDescent="0.25">
      <c r="A61" t="s">
        <v>92</v>
      </c>
      <c r="B61" t="s">
        <v>92</v>
      </c>
      <c r="C61">
        <v>0</v>
      </c>
      <c r="D61">
        <v>0</v>
      </c>
      <c r="E61">
        <v>0</v>
      </c>
    </row>
    <row r="62" spans="1:5" x14ac:dyDescent="0.25">
      <c r="A62" t="s">
        <v>93</v>
      </c>
      <c r="B62" t="s">
        <v>93</v>
      </c>
      <c r="C62">
        <v>0</v>
      </c>
      <c r="D62">
        <v>0</v>
      </c>
      <c r="E62">
        <v>0</v>
      </c>
    </row>
    <row r="63" spans="1:5" x14ac:dyDescent="0.25">
      <c r="A63" t="s">
        <v>47</v>
      </c>
      <c r="B63" t="s">
        <v>47</v>
      </c>
      <c r="C63" t="s">
        <v>94</v>
      </c>
      <c r="D63">
        <v>0</v>
      </c>
      <c r="E63">
        <v>0</v>
      </c>
    </row>
    <row r="64" spans="1:5" x14ac:dyDescent="0.25">
      <c r="A64" t="s">
        <v>95</v>
      </c>
      <c r="B64" t="s">
        <v>96</v>
      </c>
      <c r="C64">
        <v>0</v>
      </c>
      <c r="D64">
        <v>0</v>
      </c>
      <c r="E64">
        <v>0</v>
      </c>
    </row>
    <row r="65" spans="1:5" x14ac:dyDescent="0.25">
      <c r="A65" t="s">
        <v>97</v>
      </c>
      <c r="B65" t="s">
        <v>96</v>
      </c>
      <c r="C65">
        <v>0</v>
      </c>
      <c r="D65">
        <v>0</v>
      </c>
      <c r="E65">
        <v>0</v>
      </c>
    </row>
    <row r="66" spans="1:5" x14ac:dyDescent="0.25">
      <c r="A66" t="s">
        <v>98</v>
      </c>
      <c r="B66" t="s">
        <v>98</v>
      </c>
      <c r="C66">
        <v>0</v>
      </c>
      <c r="D66">
        <v>0</v>
      </c>
      <c r="E66">
        <v>0</v>
      </c>
    </row>
    <row r="67" spans="1:5" x14ac:dyDescent="0.25">
      <c r="A67" t="s">
        <v>99</v>
      </c>
      <c r="B67" t="s">
        <v>96</v>
      </c>
      <c r="C67">
        <v>0</v>
      </c>
      <c r="D67">
        <v>0</v>
      </c>
      <c r="E67">
        <v>0</v>
      </c>
    </row>
    <row r="68" spans="1:5" x14ac:dyDescent="0.25">
      <c r="A68" t="s">
        <v>100</v>
      </c>
      <c r="B68" t="s">
        <v>100</v>
      </c>
      <c r="C68">
        <v>0</v>
      </c>
      <c r="D68">
        <v>0</v>
      </c>
      <c r="E68">
        <v>0</v>
      </c>
    </row>
    <row r="69" spans="1:5" x14ac:dyDescent="0.25">
      <c r="A69" t="s">
        <v>101</v>
      </c>
      <c r="B69" t="s">
        <v>101</v>
      </c>
      <c r="C69">
        <v>0</v>
      </c>
      <c r="D69">
        <v>0</v>
      </c>
      <c r="E69">
        <v>0</v>
      </c>
    </row>
    <row r="70" spans="1:5" x14ac:dyDescent="0.25">
      <c r="A70" t="s">
        <v>102</v>
      </c>
      <c r="B70" t="s">
        <v>103</v>
      </c>
      <c r="C70" t="s">
        <v>104</v>
      </c>
      <c r="D70">
        <v>0</v>
      </c>
      <c r="E70">
        <v>0</v>
      </c>
    </row>
    <row r="71" spans="1:5" x14ac:dyDescent="0.25">
      <c r="A71" t="s">
        <v>105</v>
      </c>
      <c r="B71" t="s">
        <v>103</v>
      </c>
      <c r="C71" t="s">
        <v>104</v>
      </c>
      <c r="D71">
        <v>0</v>
      </c>
      <c r="E71">
        <v>0</v>
      </c>
    </row>
    <row r="72" spans="1:5" x14ac:dyDescent="0.25">
      <c r="A72" t="s">
        <v>106</v>
      </c>
      <c r="B72" t="s">
        <v>103</v>
      </c>
      <c r="C72" t="s">
        <v>104</v>
      </c>
      <c r="D72">
        <v>0</v>
      </c>
      <c r="E72">
        <v>0</v>
      </c>
    </row>
    <row r="73" spans="1:5" x14ac:dyDescent="0.25">
      <c r="A73" t="s">
        <v>107</v>
      </c>
      <c r="B73" t="s">
        <v>107</v>
      </c>
      <c r="C73" t="s">
        <v>108</v>
      </c>
      <c r="D73">
        <v>0</v>
      </c>
      <c r="E73">
        <v>0</v>
      </c>
    </row>
    <row r="74" spans="1:5" x14ac:dyDescent="0.25">
      <c r="A74" t="s">
        <v>109</v>
      </c>
      <c r="B74" t="s">
        <v>107</v>
      </c>
      <c r="C74" t="s">
        <v>108</v>
      </c>
      <c r="D74">
        <v>0</v>
      </c>
      <c r="E74">
        <v>0</v>
      </c>
    </row>
    <row r="75" spans="1:5" x14ac:dyDescent="0.25">
      <c r="A75" t="s">
        <v>110</v>
      </c>
      <c r="B75" t="s">
        <v>110</v>
      </c>
      <c r="C75">
        <v>0</v>
      </c>
      <c r="D75">
        <v>0</v>
      </c>
      <c r="E75">
        <v>0</v>
      </c>
    </row>
    <row r="76" spans="1:5" x14ac:dyDescent="0.25">
      <c r="A76" t="s">
        <v>111</v>
      </c>
      <c r="B76" t="s">
        <v>111</v>
      </c>
      <c r="C76">
        <v>0</v>
      </c>
      <c r="D76">
        <v>0</v>
      </c>
      <c r="E76">
        <v>0</v>
      </c>
    </row>
    <row r="77" spans="1:5" x14ac:dyDescent="0.25">
      <c r="A77" t="s">
        <v>112</v>
      </c>
      <c r="B77" t="s">
        <v>112</v>
      </c>
      <c r="C77">
        <v>0</v>
      </c>
      <c r="D77">
        <v>0</v>
      </c>
      <c r="E77">
        <v>0</v>
      </c>
    </row>
    <row r="78" spans="1:5" x14ac:dyDescent="0.25">
      <c r="A78" t="s">
        <v>113</v>
      </c>
      <c r="B78" t="s">
        <v>112</v>
      </c>
      <c r="C78">
        <v>0</v>
      </c>
      <c r="D78">
        <v>0</v>
      </c>
      <c r="E78">
        <v>0</v>
      </c>
    </row>
    <row r="79" spans="1:5" x14ac:dyDescent="0.25">
      <c r="A79" t="s">
        <v>39</v>
      </c>
      <c r="B79" t="s">
        <v>39</v>
      </c>
      <c r="C79" t="s">
        <v>114</v>
      </c>
      <c r="D79">
        <v>0</v>
      </c>
      <c r="E79">
        <v>0</v>
      </c>
    </row>
    <row r="80" spans="1:5" x14ac:dyDescent="0.25">
      <c r="A80" t="s">
        <v>115</v>
      </c>
      <c r="B80" t="s">
        <v>115</v>
      </c>
      <c r="C80">
        <v>0</v>
      </c>
      <c r="D80">
        <v>0</v>
      </c>
      <c r="E80">
        <v>0</v>
      </c>
    </row>
    <row r="81" spans="1:5" x14ac:dyDescent="0.25">
      <c r="A81" t="s">
        <v>116</v>
      </c>
      <c r="B81" t="s">
        <v>116</v>
      </c>
      <c r="C81">
        <v>0</v>
      </c>
      <c r="D81">
        <v>0</v>
      </c>
      <c r="E81">
        <v>0</v>
      </c>
    </row>
    <row r="82" spans="1:5" x14ac:dyDescent="0.25">
      <c r="A82" t="s">
        <v>117</v>
      </c>
      <c r="B82" t="s">
        <v>118</v>
      </c>
      <c r="C82" t="s">
        <v>119</v>
      </c>
      <c r="D82">
        <v>0</v>
      </c>
      <c r="E82">
        <v>0</v>
      </c>
    </row>
    <row r="83" spans="1:5" x14ac:dyDescent="0.25">
      <c r="A83" t="s">
        <v>120</v>
      </c>
      <c r="B83" t="s">
        <v>120</v>
      </c>
      <c r="C83">
        <v>0</v>
      </c>
      <c r="D83">
        <v>0</v>
      </c>
      <c r="E83">
        <v>0</v>
      </c>
    </row>
    <row r="84" spans="1:5" x14ac:dyDescent="0.25">
      <c r="A84" t="s">
        <v>121</v>
      </c>
      <c r="B84" t="s">
        <v>121</v>
      </c>
      <c r="C84">
        <v>0</v>
      </c>
      <c r="D84">
        <v>0</v>
      </c>
      <c r="E84">
        <v>0</v>
      </c>
    </row>
    <row r="85" spans="1:5" x14ac:dyDescent="0.25">
      <c r="A85" t="s">
        <v>122</v>
      </c>
      <c r="B85" t="s">
        <v>118</v>
      </c>
      <c r="C85" t="s">
        <v>72</v>
      </c>
      <c r="D85" t="s">
        <v>123</v>
      </c>
      <c r="E85" t="s">
        <v>124</v>
      </c>
    </row>
    <row r="86" spans="1:5" x14ac:dyDescent="0.25">
      <c r="A86" t="s">
        <v>125</v>
      </c>
      <c r="B86" t="s">
        <v>118</v>
      </c>
      <c r="C86" t="s">
        <v>72</v>
      </c>
      <c r="D86" t="s">
        <v>123</v>
      </c>
      <c r="E86" t="s">
        <v>124</v>
      </c>
    </row>
    <row r="87" spans="1:5" x14ac:dyDescent="0.25">
      <c r="A87" t="s">
        <v>126</v>
      </c>
      <c r="B87" t="s">
        <v>126</v>
      </c>
      <c r="C87">
        <v>0</v>
      </c>
      <c r="D87">
        <v>0</v>
      </c>
      <c r="E87">
        <v>0</v>
      </c>
    </row>
    <row r="88" spans="1:5" x14ac:dyDescent="0.25">
      <c r="A88" t="s">
        <v>127</v>
      </c>
      <c r="B88" t="s">
        <v>128</v>
      </c>
      <c r="C88">
        <v>0</v>
      </c>
      <c r="D88">
        <v>0</v>
      </c>
      <c r="E88">
        <v>0</v>
      </c>
    </row>
    <row r="89" spans="1:5" x14ac:dyDescent="0.25">
      <c r="A89" t="s">
        <v>129</v>
      </c>
      <c r="B89" t="s">
        <v>128</v>
      </c>
      <c r="C89">
        <v>0</v>
      </c>
      <c r="D89">
        <v>0</v>
      </c>
      <c r="E89">
        <v>0</v>
      </c>
    </row>
    <row r="90" spans="1:5" x14ac:dyDescent="0.25">
      <c r="A90" t="s">
        <v>41</v>
      </c>
      <c r="B90" t="s">
        <v>41</v>
      </c>
      <c r="C90" t="s">
        <v>130</v>
      </c>
      <c r="D90">
        <v>0</v>
      </c>
      <c r="E90">
        <v>0</v>
      </c>
    </row>
    <row r="91" spans="1:5" x14ac:dyDescent="0.25">
      <c r="A91" t="s">
        <v>43</v>
      </c>
      <c r="B91" t="s">
        <v>131</v>
      </c>
      <c r="C91" s="36" t="s">
        <v>132</v>
      </c>
      <c r="D91" s="36" t="s">
        <v>133</v>
      </c>
      <c r="E91" s="36">
        <v>0</v>
      </c>
    </row>
    <row r="92" spans="1:5" x14ac:dyDescent="0.25">
      <c r="A92" t="s">
        <v>135</v>
      </c>
      <c r="B92" t="s">
        <v>135</v>
      </c>
      <c r="C92" t="s">
        <v>136</v>
      </c>
      <c r="D92" t="s">
        <v>137</v>
      </c>
      <c r="E92">
        <v>0</v>
      </c>
    </row>
    <row r="93" spans="1:5" x14ac:dyDescent="0.25">
      <c r="A93" t="s">
        <v>138</v>
      </c>
      <c r="B93" t="s">
        <v>135</v>
      </c>
      <c r="C93" t="s">
        <v>136</v>
      </c>
      <c r="D93" t="s">
        <v>137</v>
      </c>
      <c r="E93">
        <v>0</v>
      </c>
    </row>
    <row r="94" spans="1:5" x14ac:dyDescent="0.25">
      <c r="A94" t="s">
        <v>45</v>
      </c>
      <c r="B94" t="s">
        <v>45</v>
      </c>
      <c r="C94" t="s">
        <v>139</v>
      </c>
      <c r="D94">
        <v>0</v>
      </c>
      <c r="E94">
        <v>0</v>
      </c>
    </row>
    <row r="95" spans="1:5" x14ac:dyDescent="0.25">
      <c r="A95" t="s">
        <v>140</v>
      </c>
      <c r="B95" t="s">
        <v>140</v>
      </c>
      <c r="C95">
        <v>0</v>
      </c>
      <c r="D95">
        <v>0</v>
      </c>
      <c r="E95">
        <v>0</v>
      </c>
    </row>
    <row r="96" spans="1:5" x14ac:dyDescent="0.25">
      <c r="A96" t="s">
        <v>141</v>
      </c>
      <c r="B96" t="s">
        <v>56</v>
      </c>
      <c r="C96">
        <v>0</v>
      </c>
      <c r="D96">
        <v>0</v>
      </c>
      <c r="E96">
        <v>0</v>
      </c>
    </row>
    <row r="97" spans="1:5" x14ac:dyDescent="0.25">
      <c r="A97">
        <v>0</v>
      </c>
      <c r="B97">
        <v>0</v>
      </c>
      <c r="C97">
        <v>0</v>
      </c>
      <c r="D97">
        <v>0</v>
      </c>
      <c r="E97">
        <v>0</v>
      </c>
    </row>
    <row r="98" spans="1:5" x14ac:dyDescent="0.25">
      <c r="A98">
        <v>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>
        <v>0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>
        <v>0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>
        <v>0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>
        <v>0</v>
      </c>
      <c r="B102">
        <v>0</v>
      </c>
      <c r="C102">
        <v>0</v>
      </c>
      <c r="D102">
        <v>0</v>
      </c>
      <c r="E102">
        <v>0</v>
      </c>
    </row>
    <row r="103" spans="1:5" x14ac:dyDescent="0.25">
      <c r="A103">
        <v>0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>
        <v>0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>
        <v>0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>
        <v>0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>
        <v>0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>
        <v>0</v>
      </c>
      <c r="B108">
        <v>0</v>
      </c>
      <c r="C108">
        <v>0</v>
      </c>
      <c r="D108">
        <v>0</v>
      </c>
      <c r="E108">
        <v>0</v>
      </c>
    </row>
    <row r="109" spans="1:5" x14ac:dyDescent="0.25">
      <c r="A109">
        <v>0</v>
      </c>
      <c r="B109">
        <v>0</v>
      </c>
      <c r="C109">
        <v>0</v>
      </c>
      <c r="D109">
        <v>0</v>
      </c>
      <c r="E109">
        <v>0</v>
      </c>
    </row>
    <row r="110" spans="1:5" x14ac:dyDescent="0.25">
      <c r="A110">
        <v>0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>
        <v>0</v>
      </c>
      <c r="B111">
        <v>0</v>
      </c>
      <c r="C111">
        <v>0</v>
      </c>
      <c r="D111">
        <v>0</v>
      </c>
      <c r="E111">
        <v>0</v>
      </c>
    </row>
    <row r="112" spans="1:5" x14ac:dyDescent="0.25">
      <c r="A112">
        <v>0</v>
      </c>
      <c r="B112">
        <v>0</v>
      </c>
      <c r="C112">
        <v>0</v>
      </c>
      <c r="D112">
        <v>0</v>
      </c>
      <c r="E112">
        <v>0</v>
      </c>
    </row>
    <row r="113" spans="1:5" x14ac:dyDescent="0.25">
      <c r="A113">
        <v>0</v>
      </c>
      <c r="B113">
        <v>0</v>
      </c>
      <c r="C113">
        <v>0</v>
      </c>
      <c r="D113">
        <v>0</v>
      </c>
      <c r="E113">
        <v>0</v>
      </c>
    </row>
    <row r="114" spans="1:5" x14ac:dyDescent="0.25">
      <c r="A114">
        <v>0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>
        <v>0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>
        <v>0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>
        <v>0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>
        <v>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>
        <v>0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>
        <v>0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>
        <v>0</v>
      </c>
      <c r="B121">
        <v>0</v>
      </c>
      <c r="C121">
        <v>0</v>
      </c>
      <c r="D121">
        <v>0</v>
      </c>
      <c r="E121">
        <v>0</v>
      </c>
    </row>
    <row r="122" spans="1:5" x14ac:dyDescent="0.25">
      <c r="A122">
        <v>0</v>
      </c>
      <c r="B122">
        <v>0</v>
      </c>
      <c r="C122">
        <v>0</v>
      </c>
      <c r="D122">
        <v>0</v>
      </c>
      <c r="E122">
        <v>0</v>
      </c>
    </row>
    <row r="123" spans="1:5" x14ac:dyDescent="0.25">
      <c r="A123">
        <v>0</v>
      </c>
      <c r="B123">
        <v>0</v>
      </c>
      <c r="C123">
        <v>0</v>
      </c>
      <c r="D123">
        <v>0</v>
      </c>
      <c r="E123">
        <v>0</v>
      </c>
    </row>
    <row r="124" spans="1:5" x14ac:dyDescent="0.25">
      <c r="A124">
        <v>0</v>
      </c>
      <c r="B124">
        <v>0</v>
      </c>
      <c r="C124">
        <v>0</v>
      </c>
      <c r="D124">
        <v>0</v>
      </c>
      <c r="E124">
        <v>0</v>
      </c>
    </row>
    <row r="125" spans="1:5" x14ac:dyDescent="0.25">
      <c r="A125">
        <v>0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>
        <v>0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>
        <v>0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>
        <v>0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>
        <v>0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>
        <v>0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>
        <v>0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>
        <v>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>
        <v>0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>
        <v>0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>
        <v>0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>
        <v>0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>
        <v>0</v>
      </c>
      <c r="B137">
        <v>0</v>
      </c>
      <c r="C137">
        <v>0</v>
      </c>
      <c r="D137">
        <v>0</v>
      </c>
      <c r="E137">
        <v>0</v>
      </c>
    </row>
    <row r="138" spans="1:5" x14ac:dyDescent="0.25">
      <c r="A138">
        <v>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>
        <v>0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>
        <v>0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>
        <v>0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>
        <v>0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>
        <v>0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>
        <v>0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>
        <v>0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>
        <v>0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>
        <v>0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>
        <v>0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>
        <v>0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>
        <v>0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>
        <v>0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>
        <v>0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>
        <v>0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>
        <v>0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>
        <v>0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>
        <v>0</v>
      </c>
      <c r="B156">
        <v>0</v>
      </c>
      <c r="C156">
        <v>0</v>
      </c>
      <c r="D156">
        <v>0</v>
      </c>
      <c r="E156">
        <v>0</v>
      </c>
    </row>
    <row r="157" spans="1:5" x14ac:dyDescent="0.25">
      <c r="A157">
        <v>0</v>
      </c>
      <c r="B157">
        <v>0</v>
      </c>
      <c r="C157">
        <v>0</v>
      </c>
      <c r="D157">
        <v>0</v>
      </c>
      <c r="E157">
        <v>0</v>
      </c>
    </row>
    <row r="158" spans="1:5" x14ac:dyDescent="0.25">
      <c r="A158">
        <v>0</v>
      </c>
      <c r="B158">
        <v>0</v>
      </c>
      <c r="C158">
        <v>0</v>
      </c>
      <c r="D158">
        <v>0</v>
      </c>
      <c r="E158">
        <v>0</v>
      </c>
    </row>
    <row r="159" spans="1:5" x14ac:dyDescent="0.25">
      <c r="A159">
        <v>0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>
        <v>0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>
        <v>0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>
        <v>0</v>
      </c>
      <c r="B162">
        <v>0</v>
      </c>
      <c r="C162">
        <v>0</v>
      </c>
      <c r="D162">
        <v>0</v>
      </c>
      <c r="E162">
        <v>0</v>
      </c>
    </row>
    <row r="163" spans="1:5" x14ac:dyDescent="0.25">
      <c r="A163">
        <v>0</v>
      </c>
      <c r="B163">
        <v>0</v>
      </c>
      <c r="C163">
        <v>0</v>
      </c>
      <c r="D163">
        <v>0</v>
      </c>
      <c r="E163">
        <v>0</v>
      </c>
    </row>
    <row r="164" spans="1:5" x14ac:dyDescent="0.25">
      <c r="A164">
        <v>0</v>
      </c>
      <c r="B164">
        <v>0</v>
      </c>
      <c r="C164">
        <v>0</v>
      </c>
      <c r="D164">
        <v>0</v>
      </c>
      <c r="E164">
        <v>0</v>
      </c>
    </row>
    <row r="165" spans="1:5" x14ac:dyDescent="0.25">
      <c r="A165">
        <v>0</v>
      </c>
      <c r="B165">
        <v>0</v>
      </c>
      <c r="C165">
        <v>0</v>
      </c>
      <c r="D165">
        <v>0</v>
      </c>
      <c r="E165">
        <v>0</v>
      </c>
    </row>
    <row r="166" spans="1:5" x14ac:dyDescent="0.25">
      <c r="A166">
        <v>0</v>
      </c>
      <c r="B166">
        <v>0</v>
      </c>
      <c r="C166">
        <v>0</v>
      </c>
      <c r="D166">
        <v>0</v>
      </c>
      <c r="E166">
        <v>0</v>
      </c>
    </row>
    <row r="167" spans="1:5" x14ac:dyDescent="0.25">
      <c r="A167">
        <v>0</v>
      </c>
      <c r="B167">
        <v>0</v>
      </c>
      <c r="C167">
        <v>0</v>
      </c>
      <c r="D167">
        <v>0</v>
      </c>
      <c r="E167">
        <v>0</v>
      </c>
    </row>
    <row r="168" spans="1:5" x14ac:dyDescent="0.25">
      <c r="A168">
        <v>0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>
        <v>0</v>
      </c>
      <c r="B169">
        <v>0</v>
      </c>
      <c r="C169">
        <v>0</v>
      </c>
      <c r="D169">
        <v>0</v>
      </c>
      <c r="E169">
        <v>0</v>
      </c>
    </row>
    <row r="170" spans="1:5" x14ac:dyDescent="0.25">
      <c r="A170">
        <v>0</v>
      </c>
      <c r="B170">
        <v>0</v>
      </c>
      <c r="C170">
        <v>0</v>
      </c>
      <c r="D170">
        <v>0</v>
      </c>
      <c r="E170">
        <v>0</v>
      </c>
    </row>
    <row r="171" spans="1:5" x14ac:dyDescent="0.25">
      <c r="A171">
        <v>0</v>
      </c>
      <c r="B171">
        <v>0</v>
      </c>
      <c r="C171">
        <v>0</v>
      </c>
      <c r="D171">
        <v>0</v>
      </c>
      <c r="E171">
        <v>0</v>
      </c>
    </row>
    <row r="172" spans="1:5" x14ac:dyDescent="0.25">
      <c r="A172">
        <v>0</v>
      </c>
      <c r="B172">
        <v>0</v>
      </c>
      <c r="C172">
        <v>0</v>
      </c>
      <c r="D172">
        <v>0</v>
      </c>
      <c r="E172">
        <v>0</v>
      </c>
    </row>
    <row r="173" spans="1:5" x14ac:dyDescent="0.25">
      <c r="A173">
        <v>0</v>
      </c>
      <c r="B173">
        <v>0</v>
      </c>
      <c r="C173">
        <v>0</v>
      </c>
      <c r="D173">
        <v>0</v>
      </c>
      <c r="E173">
        <v>0</v>
      </c>
    </row>
    <row r="174" spans="1:5" x14ac:dyDescent="0.25">
      <c r="A174">
        <v>0</v>
      </c>
      <c r="B174">
        <v>0</v>
      </c>
      <c r="C174">
        <v>0</v>
      </c>
      <c r="D174">
        <v>0</v>
      </c>
      <c r="E174">
        <v>0</v>
      </c>
    </row>
    <row r="175" spans="1:5" x14ac:dyDescent="0.25">
      <c r="A175">
        <v>0</v>
      </c>
      <c r="B175">
        <v>0</v>
      </c>
      <c r="C175">
        <v>0</v>
      </c>
      <c r="D175">
        <v>0</v>
      </c>
      <c r="E175">
        <v>0</v>
      </c>
    </row>
    <row r="176" spans="1:5" x14ac:dyDescent="0.25">
      <c r="A176">
        <v>0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>
        <v>0</v>
      </c>
      <c r="B177">
        <v>0</v>
      </c>
      <c r="C177">
        <v>0</v>
      </c>
      <c r="D177">
        <v>0</v>
      </c>
      <c r="E177">
        <v>0</v>
      </c>
    </row>
    <row r="178" spans="1:5" x14ac:dyDescent="0.25">
      <c r="A178">
        <v>0</v>
      </c>
      <c r="B178">
        <v>0</v>
      </c>
      <c r="C178">
        <v>0</v>
      </c>
      <c r="D178">
        <v>0</v>
      </c>
      <c r="E178">
        <v>0</v>
      </c>
    </row>
    <row r="179" spans="1:5" x14ac:dyDescent="0.25">
      <c r="A179">
        <v>0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>
        <v>0</v>
      </c>
      <c r="B180">
        <v>0</v>
      </c>
      <c r="C180">
        <v>0</v>
      </c>
      <c r="D180">
        <v>0</v>
      </c>
      <c r="E180">
        <v>0</v>
      </c>
    </row>
    <row r="181" spans="1:5" x14ac:dyDescent="0.25">
      <c r="A181">
        <v>0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>
        <v>0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>
        <v>0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>
        <v>0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>
        <v>0</v>
      </c>
      <c r="B185">
        <v>0</v>
      </c>
      <c r="C185">
        <v>0</v>
      </c>
      <c r="D185">
        <v>0</v>
      </c>
      <c r="E185">
        <v>0</v>
      </c>
    </row>
    <row r="186" spans="1:5" x14ac:dyDescent="0.25">
      <c r="A186">
        <v>0</v>
      </c>
      <c r="B186">
        <v>0</v>
      </c>
      <c r="C186">
        <v>0</v>
      </c>
      <c r="D186">
        <v>0</v>
      </c>
      <c r="E186">
        <v>0</v>
      </c>
    </row>
    <row r="187" spans="1:5" x14ac:dyDescent="0.25">
      <c r="A187">
        <v>0</v>
      </c>
      <c r="B187">
        <v>0</v>
      </c>
      <c r="C187">
        <v>0</v>
      </c>
      <c r="D187">
        <v>0</v>
      </c>
      <c r="E187">
        <v>0</v>
      </c>
    </row>
    <row r="188" spans="1:5" x14ac:dyDescent="0.25">
      <c r="A188">
        <v>0</v>
      </c>
      <c r="B188">
        <v>0</v>
      </c>
      <c r="C188">
        <v>0</v>
      </c>
      <c r="D188">
        <v>0</v>
      </c>
      <c r="E188">
        <v>0</v>
      </c>
    </row>
    <row r="189" spans="1:5" x14ac:dyDescent="0.25">
      <c r="A189">
        <v>0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>
        <v>0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>
        <v>0</v>
      </c>
      <c r="B191">
        <v>0</v>
      </c>
      <c r="C191">
        <v>0</v>
      </c>
      <c r="D191">
        <v>0</v>
      </c>
      <c r="E191">
        <v>0</v>
      </c>
    </row>
    <row r="192" spans="1:5" x14ac:dyDescent="0.25">
      <c r="A192">
        <v>0</v>
      </c>
      <c r="B192">
        <v>0</v>
      </c>
      <c r="C192">
        <v>0</v>
      </c>
      <c r="D192">
        <v>0</v>
      </c>
      <c r="E192">
        <v>0</v>
      </c>
    </row>
    <row r="193" spans="1:5" x14ac:dyDescent="0.25">
      <c r="A193">
        <v>0</v>
      </c>
      <c r="B193">
        <v>0</v>
      </c>
      <c r="C193">
        <v>0</v>
      </c>
      <c r="D193">
        <v>0</v>
      </c>
      <c r="E193">
        <v>0</v>
      </c>
    </row>
    <row r="194" spans="1:5" x14ac:dyDescent="0.25">
      <c r="A194">
        <v>0</v>
      </c>
      <c r="B194">
        <v>0</v>
      </c>
      <c r="C194">
        <v>0</v>
      </c>
      <c r="D194">
        <v>0</v>
      </c>
      <c r="E194">
        <v>0</v>
      </c>
    </row>
    <row r="195" spans="1:5" x14ac:dyDescent="0.25">
      <c r="A195">
        <v>0</v>
      </c>
      <c r="B195">
        <v>0</v>
      </c>
      <c r="C195">
        <v>0</v>
      </c>
      <c r="D195">
        <v>0</v>
      </c>
      <c r="E195">
        <v>0</v>
      </c>
    </row>
    <row r="196" spans="1:5" x14ac:dyDescent="0.25">
      <c r="A196">
        <v>0</v>
      </c>
      <c r="B196">
        <v>0</v>
      </c>
      <c r="C196">
        <v>0</v>
      </c>
      <c r="D196">
        <v>0</v>
      </c>
      <c r="E196">
        <v>0</v>
      </c>
    </row>
    <row r="197" spans="1:5" x14ac:dyDescent="0.25">
      <c r="A197">
        <v>0</v>
      </c>
      <c r="B197">
        <v>0</v>
      </c>
      <c r="C197">
        <v>0</v>
      </c>
      <c r="D197">
        <v>0</v>
      </c>
      <c r="E197">
        <v>0</v>
      </c>
    </row>
    <row r="198" spans="1:5" x14ac:dyDescent="0.25">
      <c r="A198">
        <v>0</v>
      </c>
      <c r="B198">
        <v>0</v>
      </c>
      <c r="C198">
        <v>0</v>
      </c>
      <c r="D198">
        <v>0</v>
      </c>
      <c r="E198">
        <v>0</v>
      </c>
    </row>
    <row r="199" spans="1:5" x14ac:dyDescent="0.25">
      <c r="A199">
        <v>0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>
        <v>0</v>
      </c>
      <c r="B200">
        <v>0</v>
      </c>
      <c r="C200">
        <v>0</v>
      </c>
      <c r="D200">
        <v>0</v>
      </c>
      <c r="E200">
        <v>0</v>
      </c>
    </row>
    <row r="201" spans="1:5" x14ac:dyDescent="0.25">
      <c r="A201">
        <v>0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>
        <v>0</v>
      </c>
      <c r="B202">
        <v>0</v>
      </c>
      <c r="C202">
        <v>0</v>
      </c>
      <c r="D202">
        <v>0</v>
      </c>
      <c r="E202">
        <v>0</v>
      </c>
    </row>
    <row r="203" spans="1:5" x14ac:dyDescent="0.25">
      <c r="A203">
        <v>0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>
        <v>0</v>
      </c>
      <c r="B204">
        <v>0</v>
      </c>
      <c r="C204">
        <v>0</v>
      </c>
      <c r="D204">
        <v>0</v>
      </c>
      <c r="E204">
        <v>0</v>
      </c>
    </row>
    <row r="205" spans="1:5" x14ac:dyDescent="0.25">
      <c r="A205">
        <v>0</v>
      </c>
      <c r="B205">
        <v>0</v>
      </c>
      <c r="C205">
        <v>0</v>
      </c>
      <c r="D205">
        <v>0</v>
      </c>
      <c r="E205">
        <v>0</v>
      </c>
    </row>
    <row r="206" spans="1:5" x14ac:dyDescent="0.25">
      <c r="A206">
        <v>0</v>
      </c>
      <c r="B206">
        <v>0</v>
      </c>
      <c r="C206">
        <v>0</v>
      </c>
      <c r="D206">
        <v>0</v>
      </c>
      <c r="E206">
        <v>0</v>
      </c>
    </row>
    <row r="207" spans="1:5" x14ac:dyDescent="0.25">
      <c r="A207">
        <v>0</v>
      </c>
      <c r="B207">
        <v>0</v>
      </c>
      <c r="C207">
        <v>0</v>
      </c>
      <c r="D207">
        <v>0</v>
      </c>
      <c r="E207">
        <v>0</v>
      </c>
    </row>
    <row r="208" spans="1:5" x14ac:dyDescent="0.25">
      <c r="A208">
        <v>0</v>
      </c>
      <c r="B208">
        <v>0</v>
      </c>
      <c r="C208">
        <v>0</v>
      </c>
      <c r="D208">
        <v>0</v>
      </c>
      <c r="E208">
        <v>0</v>
      </c>
    </row>
    <row r="209" spans="1:5" x14ac:dyDescent="0.25">
      <c r="A209">
        <v>0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>
        <v>0</v>
      </c>
      <c r="B210">
        <v>0</v>
      </c>
      <c r="C210">
        <v>0</v>
      </c>
      <c r="D210">
        <v>0</v>
      </c>
      <c r="E210">
        <v>0</v>
      </c>
    </row>
    <row r="211" spans="1:5" x14ac:dyDescent="0.25">
      <c r="A211">
        <v>0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>
        <v>0</v>
      </c>
      <c r="B212">
        <v>0</v>
      </c>
      <c r="C212">
        <v>0</v>
      </c>
      <c r="D212">
        <v>0</v>
      </c>
      <c r="E212">
        <v>0</v>
      </c>
    </row>
    <row r="213" spans="1:5" x14ac:dyDescent="0.25">
      <c r="A213">
        <v>0</v>
      </c>
      <c r="B213">
        <v>0</v>
      </c>
      <c r="C213">
        <v>0</v>
      </c>
      <c r="D213">
        <v>0</v>
      </c>
      <c r="E213">
        <v>0</v>
      </c>
    </row>
    <row r="214" spans="1:5" x14ac:dyDescent="0.25">
      <c r="A214">
        <v>0</v>
      </c>
      <c r="B214">
        <v>0</v>
      </c>
      <c r="C214">
        <v>0</v>
      </c>
      <c r="D214">
        <v>0</v>
      </c>
      <c r="E214">
        <v>0</v>
      </c>
    </row>
    <row r="215" spans="1:5" x14ac:dyDescent="0.25">
      <c r="A215">
        <v>0</v>
      </c>
      <c r="B215">
        <v>0</v>
      </c>
      <c r="C215">
        <v>0</v>
      </c>
      <c r="D215">
        <v>0</v>
      </c>
      <c r="E215">
        <v>0</v>
      </c>
    </row>
    <row r="216" spans="1:5" x14ac:dyDescent="0.25">
      <c r="A216">
        <v>0</v>
      </c>
      <c r="B216">
        <v>0</v>
      </c>
      <c r="C216">
        <v>0</v>
      </c>
      <c r="D216">
        <v>0</v>
      </c>
      <c r="E216">
        <v>0</v>
      </c>
    </row>
    <row r="217" spans="1:5" x14ac:dyDescent="0.25">
      <c r="A217">
        <v>0</v>
      </c>
      <c r="B217">
        <v>0</v>
      </c>
      <c r="C217">
        <v>0</v>
      </c>
      <c r="D217">
        <v>0</v>
      </c>
      <c r="E217">
        <v>0</v>
      </c>
    </row>
    <row r="218" spans="1:5" x14ac:dyDescent="0.25">
      <c r="A218">
        <v>0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>
        <v>0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>
        <v>0</v>
      </c>
      <c r="B220">
        <v>0</v>
      </c>
      <c r="C220">
        <v>0</v>
      </c>
      <c r="D220">
        <v>0</v>
      </c>
      <c r="E220">
        <v>0</v>
      </c>
    </row>
    <row r="221" spans="1:5" x14ac:dyDescent="0.25">
      <c r="A221">
        <v>0</v>
      </c>
      <c r="B221">
        <v>0</v>
      </c>
      <c r="C221">
        <v>0</v>
      </c>
      <c r="D221">
        <v>0</v>
      </c>
      <c r="E221">
        <v>0</v>
      </c>
    </row>
    <row r="222" spans="1:5" x14ac:dyDescent="0.25">
      <c r="A222">
        <v>0</v>
      </c>
      <c r="B222">
        <v>0</v>
      </c>
      <c r="C222">
        <v>0</v>
      </c>
      <c r="D222">
        <v>0</v>
      </c>
      <c r="E222">
        <v>0</v>
      </c>
    </row>
    <row r="223" spans="1:5" x14ac:dyDescent="0.25">
      <c r="A223">
        <v>0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>
        <v>0</v>
      </c>
      <c r="B224">
        <v>0</v>
      </c>
      <c r="C224">
        <v>0</v>
      </c>
      <c r="D224">
        <v>0</v>
      </c>
      <c r="E224">
        <v>0</v>
      </c>
    </row>
    <row r="225" spans="1:5" x14ac:dyDescent="0.25">
      <c r="A225">
        <v>0</v>
      </c>
      <c r="B225">
        <v>0</v>
      </c>
      <c r="C225">
        <v>0</v>
      </c>
      <c r="D225">
        <v>0</v>
      </c>
      <c r="E225">
        <v>0</v>
      </c>
    </row>
    <row r="226" spans="1:5" x14ac:dyDescent="0.25">
      <c r="A226">
        <v>0</v>
      </c>
      <c r="B226">
        <v>0</v>
      </c>
      <c r="C226">
        <v>0</v>
      </c>
      <c r="D226">
        <v>0</v>
      </c>
      <c r="E226">
        <v>0</v>
      </c>
    </row>
    <row r="227" spans="1:5" x14ac:dyDescent="0.25">
      <c r="A227">
        <v>0</v>
      </c>
      <c r="B227">
        <v>0</v>
      </c>
      <c r="C227">
        <v>0</v>
      </c>
      <c r="D227">
        <v>0</v>
      </c>
      <c r="E227">
        <v>0</v>
      </c>
    </row>
    <row r="228" spans="1:5" x14ac:dyDescent="0.25">
      <c r="A228">
        <v>0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>
        <v>0</v>
      </c>
      <c r="B229">
        <v>0</v>
      </c>
      <c r="C229">
        <v>0</v>
      </c>
      <c r="D229">
        <v>0</v>
      </c>
      <c r="E229">
        <v>0</v>
      </c>
    </row>
    <row r="230" spans="1:5" x14ac:dyDescent="0.25">
      <c r="A230">
        <v>0</v>
      </c>
      <c r="B230">
        <v>0</v>
      </c>
      <c r="C230">
        <v>0</v>
      </c>
      <c r="D230">
        <v>0</v>
      </c>
      <c r="E230">
        <v>0</v>
      </c>
    </row>
    <row r="231" spans="1:5" x14ac:dyDescent="0.25">
      <c r="A231">
        <v>0</v>
      </c>
      <c r="B231">
        <v>0</v>
      </c>
      <c r="C231">
        <v>0</v>
      </c>
      <c r="D231">
        <v>0</v>
      </c>
      <c r="E231">
        <v>0</v>
      </c>
    </row>
    <row r="232" spans="1:5" x14ac:dyDescent="0.25">
      <c r="A232">
        <v>0</v>
      </c>
      <c r="B232">
        <v>0</v>
      </c>
      <c r="C232">
        <v>0</v>
      </c>
      <c r="D232">
        <v>0</v>
      </c>
      <c r="E232">
        <v>0</v>
      </c>
    </row>
    <row r="233" spans="1:5" x14ac:dyDescent="0.25">
      <c r="A233">
        <v>0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>
        <v>0</v>
      </c>
      <c r="B234">
        <v>0</v>
      </c>
      <c r="C234">
        <v>0</v>
      </c>
      <c r="D234">
        <v>0</v>
      </c>
      <c r="E234">
        <v>0</v>
      </c>
    </row>
    <row r="235" spans="1:5" x14ac:dyDescent="0.25">
      <c r="A235">
        <v>0</v>
      </c>
      <c r="B235">
        <v>0</v>
      </c>
      <c r="C235">
        <v>0</v>
      </c>
      <c r="D235">
        <v>0</v>
      </c>
      <c r="E235">
        <v>0</v>
      </c>
    </row>
    <row r="236" spans="1:5" x14ac:dyDescent="0.25">
      <c r="A236">
        <v>0</v>
      </c>
      <c r="B236">
        <v>0</v>
      </c>
      <c r="C236">
        <v>0</v>
      </c>
      <c r="D236">
        <v>0</v>
      </c>
      <c r="E236">
        <v>0</v>
      </c>
    </row>
    <row r="237" spans="1:5" x14ac:dyDescent="0.25">
      <c r="A237">
        <v>0</v>
      </c>
      <c r="B237">
        <v>0</v>
      </c>
      <c r="C237">
        <v>0</v>
      </c>
      <c r="D237">
        <v>0</v>
      </c>
      <c r="E237">
        <v>0</v>
      </c>
    </row>
    <row r="238" spans="1:5" x14ac:dyDescent="0.25">
      <c r="A238">
        <v>0</v>
      </c>
      <c r="B238">
        <v>0</v>
      </c>
      <c r="C238">
        <v>0</v>
      </c>
      <c r="D238">
        <v>0</v>
      </c>
      <c r="E238">
        <v>0</v>
      </c>
    </row>
    <row r="239" spans="1:5" x14ac:dyDescent="0.25">
      <c r="A239">
        <v>0</v>
      </c>
      <c r="B239">
        <v>0</v>
      </c>
      <c r="C239">
        <v>0</v>
      </c>
      <c r="D239">
        <v>0</v>
      </c>
      <c r="E239">
        <v>0</v>
      </c>
    </row>
    <row r="240" spans="1:5" x14ac:dyDescent="0.25">
      <c r="A240">
        <v>0</v>
      </c>
      <c r="B240">
        <v>0</v>
      </c>
      <c r="C240">
        <v>0</v>
      </c>
      <c r="D240">
        <v>0</v>
      </c>
      <c r="E240">
        <v>0</v>
      </c>
    </row>
    <row r="241" spans="1:5" x14ac:dyDescent="0.25">
      <c r="A241">
        <v>0</v>
      </c>
      <c r="B241">
        <v>0</v>
      </c>
      <c r="C241">
        <v>0</v>
      </c>
      <c r="D241">
        <v>0</v>
      </c>
      <c r="E241">
        <v>0</v>
      </c>
    </row>
    <row r="242" spans="1:5" x14ac:dyDescent="0.25">
      <c r="A242">
        <v>0</v>
      </c>
      <c r="B242">
        <v>0</v>
      </c>
      <c r="C242">
        <v>0</v>
      </c>
      <c r="D242">
        <v>0</v>
      </c>
      <c r="E242">
        <v>0</v>
      </c>
    </row>
    <row r="243" spans="1:5" x14ac:dyDescent="0.25">
      <c r="A243">
        <v>0</v>
      </c>
      <c r="B243">
        <v>0</v>
      </c>
      <c r="C243">
        <v>0</v>
      </c>
      <c r="D243">
        <v>0</v>
      </c>
      <c r="E243">
        <v>0</v>
      </c>
    </row>
    <row r="244" spans="1:5" x14ac:dyDescent="0.25">
      <c r="A244">
        <v>0</v>
      </c>
      <c r="B244">
        <v>0</v>
      </c>
      <c r="C244">
        <v>0</v>
      </c>
      <c r="D244">
        <v>0</v>
      </c>
      <c r="E244">
        <v>0</v>
      </c>
    </row>
    <row r="245" spans="1:5" x14ac:dyDescent="0.25">
      <c r="A245">
        <v>0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>
        <v>0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>
        <v>0</v>
      </c>
      <c r="B247">
        <v>0</v>
      </c>
      <c r="C247">
        <v>0</v>
      </c>
      <c r="D247">
        <v>0</v>
      </c>
      <c r="E247">
        <v>0</v>
      </c>
    </row>
    <row r="248" spans="1:5" x14ac:dyDescent="0.25">
      <c r="A248">
        <v>0</v>
      </c>
      <c r="B248">
        <v>0</v>
      </c>
      <c r="C248">
        <v>0</v>
      </c>
      <c r="D248">
        <v>0</v>
      </c>
      <c r="E248">
        <v>0</v>
      </c>
    </row>
    <row r="249" spans="1:5" x14ac:dyDescent="0.25">
      <c r="A249">
        <v>0</v>
      </c>
      <c r="B249">
        <v>0</v>
      </c>
      <c r="C249">
        <v>0</v>
      </c>
      <c r="D249">
        <v>0</v>
      </c>
      <c r="E249">
        <v>0</v>
      </c>
    </row>
    <row r="250" spans="1:5" x14ac:dyDescent="0.25">
      <c r="A250">
        <v>0</v>
      </c>
      <c r="B250">
        <v>0</v>
      </c>
      <c r="C250">
        <v>0</v>
      </c>
      <c r="D250">
        <v>0</v>
      </c>
      <c r="E250">
        <v>0</v>
      </c>
    </row>
    <row r="251" spans="1:5" x14ac:dyDescent="0.25">
      <c r="A251">
        <v>0</v>
      </c>
      <c r="B251">
        <v>0</v>
      </c>
      <c r="C251">
        <v>0</v>
      </c>
      <c r="D251">
        <v>0</v>
      </c>
      <c r="E251">
        <v>0</v>
      </c>
    </row>
    <row r="252" spans="1:5" x14ac:dyDescent="0.25">
      <c r="A252">
        <v>0</v>
      </c>
      <c r="B252">
        <v>0</v>
      </c>
      <c r="C252">
        <v>0</v>
      </c>
      <c r="D252">
        <v>0</v>
      </c>
      <c r="E252">
        <v>0</v>
      </c>
    </row>
    <row r="253" spans="1:5" x14ac:dyDescent="0.25">
      <c r="A253">
        <v>0</v>
      </c>
      <c r="B253">
        <v>0</v>
      </c>
      <c r="C253">
        <v>0</v>
      </c>
      <c r="D253">
        <v>0</v>
      </c>
      <c r="E253">
        <v>0</v>
      </c>
    </row>
    <row r="254" spans="1:5" x14ac:dyDescent="0.25">
      <c r="A254">
        <v>0</v>
      </c>
      <c r="B254">
        <v>0</v>
      </c>
      <c r="C254">
        <v>0</v>
      </c>
      <c r="D254">
        <v>0</v>
      </c>
      <c r="E254">
        <v>0</v>
      </c>
    </row>
    <row r="255" spans="1:5" x14ac:dyDescent="0.25">
      <c r="A255">
        <v>0</v>
      </c>
      <c r="B255">
        <v>0</v>
      </c>
      <c r="C255">
        <v>0</v>
      </c>
      <c r="D255">
        <v>0</v>
      </c>
      <c r="E255">
        <v>0</v>
      </c>
    </row>
    <row r="256" spans="1:5" x14ac:dyDescent="0.25">
      <c r="A256">
        <v>0</v>
      </c>
      <c r="B256">
        <v>0</v>
      </c>
      <c r="C256">
        <v>0</v>
      </c>
      <c r="D256">
        <v>0</v>
      </c>
      <c r="E256">
        <v>0</v>
      </c>
    </row>
    <row r="257" spans="1:5" x14ac:dyDescent="0.25">
      <c r="A257">
        <v>0</v>
      </c>
      <c r="B257">
        <v>0</v>
      </c>
      <c r="C257">
        <v>0</v>
      </c>
      <c r="D257">
        <v>0</v>
      </c>
      <c r="E257">
        <v>0</v>
      </c>
    </row>
    <row r="258" spans="1:5" x14ac:dyDescent="0.25">
      <c r="A258">
        <v>0</v>
      </c>
      <c r="B258">
        <v>0</v>
      </c>
      <c r="C258">
        <v>0</v>
      </c>
      <c r="D258">
        <v>0</v>
      </c>
      <c r="E258">
        <v>0</v>
      </c>
    </row>
    <row r="259" spans="1:5" x14ac:dyDescent="0.25">
      <c r="A259">
        <v>0</v>
      </c>
      <c r="B259">
        <v>0</v>
      </c>
      <c r="C259">
        <v>0</v>
      </c>
      <c r="D259">
        <v>0</v>
      </c>
      <c r="E259">
        <v>0</v>
      </c>
    </row>
    <row r="260" spans="1:5" x14ac:dyDescent="0.25">
      <c r="A260">
        <v>0</v>
      </c>
      <c r="B260">
        <v>0</v>
      </c>
      <c r="C260">
        <v>0</v>
      </c>
      <c r="D260">
        <v>0</v>
      </c>
      <c r="E260">
        <v>0</v>
      </c>
    </row>
    <row r="261" spans="1:5" x14ac:dyDescent="0.25">
      <c r="A261">
        <v>0</v>
      </c>
      <c r="B261">
        <v>0</v>
      </c>
      <c r="C261">
        <v>0</v>
      </c>
      <c r="D261">
        <v>0</v>
      </c>
      <c r="E261">
        <v>0</v>
      </c>
    </row>
    <row r="262" spans="1:5" x14ac:dyDescent="0.25">
      <c r="A262">
        <v>0</v>
      </c>
      <c r="B262">
        <v>0</v>
      </c>
      <c r="C262">
        <v>0</v>
      </c>
      <c r="D262">
        <v>0</v>
      </c>
      <c r="E262">
        <v>0</v>
      </c>
    </row>
    <row r="263" spans="1:5" x14ac:dyDescent="0.25">
      <c r="A263">
        <v>0</v>
      </c>
      <c r="B263">
        <v>0</v>
      </c>
      <c r="C263">
        <v>0</v>
      </c>
      <c r="D263">
        <v>0</v>
      </c>
      <c r="E263">
        <v>0</v>
      </c>
    </row>
    <row r="264" spans="1:5" x14ac:dyDescent="0.25">
      <c r="A264">
        <v>0</v>
      </c>
      <c r="B264">
        <v>0</v>
      </c>
      <c r="C264">
        <v>0</v>
      </c>
      <c r="D264">
        <v>0</v>
      </c>
      <c r="E264">
        <v>0</v>
      </c>
    </row>
    <row r="265" spans="1:5" x14ac:dyDescent="0.25">
      <c r="A265">
        <v>0</v>
      </c>
      <c r="B265">
        <v>0</v>
      </c>
      <c r="C265">
        <v>0</v>
      </c>
      <c r="D265">
        <v>0</v>
      </c>
      <c r="E265">
        <v>0</v>
      </c>
    </row>
    <row r="266" spans="1:5" x14ac:dyDescent="0.25">
      <c r="A266">
        <v>0</v>
      </c>
      <c r="B266">
        <v>0</v>
      </c>
      <c r="C266">
        <v>0</v>
      </c>
      <c r="D266">
        <v>0</v>
      </c>
      <c r="E266">
        <v>0</v>
      </c>
    </row>
    <row r="267" spans="1:5" x14ac:dyDescent="0.25">
      <c r="A267">
        <v>0</v>
      </c>
      <c r="B267">
        <v>0</v>
      </c>
      <c r="C267">
        <v>0</v>
      </c>
      <c r="D267">
        <v>0</v>
      </c>
      <c r="E267">
        <v>0</v>
      </c>
    </row>
    <row r="268" spans="1:5" x14ac:dyDescent="0.25">
      <c r="A268">
        <v>0</v>
      </c>
      <c r="B268">
        <v>0</v>
      </c>
      <c r="C268">
        <v>0</v>
      </c>
      <c r="D268">
        <v>0</v>
      </c>
      <c r="E268">
        <v>0</v>
      </c>
    </row>
    <row r="269" spans="1:5" x14ac:dyDescent="0.25">
      <c r="A269">
        <v>0</v>
      </c>
      <c r="B269">
        <v>0</v>
      </c>
      <c r="C269">
        <v>0</v>
      </c>
      <c r="D269">
        <v>0</v>
      </c>
      <c r="E269">
        <v>0</v>
      </c>
    </row>
    <row r="270" spans="1:5" x14ac:dyDescent="0.25">
      <c r="A270">
        <v>0</v>
      </c>
      <c r="B270">
        <v>0</v>
      </c>
      <c r="C270">
        <v>0</v>
      </c>
      <c r="D270">
        <v>0</v>
      </c>
      <c r="E270">
        <v>0</v>
      </c>
    </row>
    <row r="271" spans="1:5" x14ac:dyDescent="0.25">
      <c r="A271">
        <v>0</v>
      </c>
      <c r="B271">
        <v>0</v>
      </c>
      <c r="C271">
        <v>0</v>
      </c>
      <c r="D271">
        <v>0</v>
      </c>
      <c r="E271">
        <v>0</v>
      </c>
    </row>
    <row r="272" spans="1:5" x14ac:dyDescent="0.25">
      <c r="A272">
        <v>0</v>
      </c>
      <c r="B272">
        <v>0</v>
      </c>
      <c r="C272">
        <v>0</v>
      </c>
      <c r="D272">
        <v>0</v>
      </c>
      <c r="E272">
        <v>0</v>
      </c>
    </row>
    <row r="273" spans="1:5" x14ac:dyDescent="0.25">
      <c r="A273">
        <v>0</v>
      </c>
      <c r="B273">
        <v>0</v>
      </c>
      <c r="C273">
        <v>0</v>
      </c>
      <c r="D273">
        <v>0</v>
      </c>
      <c r="E273">
        <v>0</v>
      </c>
    </row>
    <row r="274" spans="1:5" x14ac:dyDescent="0.25">
      <c r="A274">
        <v>0</v>
      </c>
      <c r="B274">
        <v>0</v>
      </c>
      <c r="C274">
        <v>0</v>
      </c>
      <c r="D274">
        <v>0</v>
      </c>
      <c r="E274">
        <v>0</v>
      </c>
    </row>
    <row r="275" spans="1:5" x14ac:dyDescent="0.25">
      <c r="A275">
        <v>0</v>
      </c>
      <c r="B275">
        <v>0</v>
      </c>
      <c r="C275">
        <v>0</v>
      </c>
      <c r="D275">
        <v>0</v>
      </c>
      <c r="E275">
        <v>0</v>
      </c>
    </row>
    <row r="276" spans="1:5" x14ac:dyDescent="0.25">
      <c r="A276">
        <v>0</v>
      </c>
      <c r="B276">
        <v>0</v>
      </c>
      <c r="C276">
        <v>0</v>
      </c>
      <c r="D276">
        <v>0</v>
      </c>
      <c r="E276">
        <v>0</v>
      </c>
    </row>
    <row r="277" spans="1:5" x14ac:dyDescent="0.25">
      <c r="A277">
        <v>0</v>
      </c>
      <c r="B277">
        <v>0</v>
      </c>
      <c r="C277">
        <v>0</v>
      </c>
      <c r="D277">
        <v>0</v>
      </c>
      <c r="E277">
        <v>0</v>
      </c>
    </row>
    <row r="278" spans="1:5" x14ac:dyDescent="0.25">
      <c r="A278">
        <v>0</v>
      </c>
      <c r="B278">
        <v>0</v>
      </c>
      <c r="C278">
        <v>0</v>
      </c>
      <c r="D278">
        <v>0</v>
      </c>
      <c r="E278">
        <v>0</v>
      </c>
    </row>
    <row r="279" spans="1:5" x14ac:dyDescent="0.25">
      <c r="A279">
        <v>0</v>
      </c>
      <c r="B279">
        <v>0</v>
      </c>
      <c r="C279">
        <v>0</v>
      </c>
      <c r="D279">
        <v>0</v>
      </c>
      <c r="E279">
        <v>0</v>
      </c>
    </row>
    <row r="280" spans="1:5" x14ac:dyDescent="0.25">
      <c r="A280">
        <v>0</v>
      </c>
      <c r="B280">
        <v>0</v>
      </c>
      <c r="C280">
        <v>0</v>
      </c>
      <c r="D280">
        <v>0</v>
      </c>
      <c r="E280">
        <v>0</v>
      </c>
    </row>
    <row r="281" spans="1:5" x14ac:dyDescent="0.25">
      <c r="A281">
        <v>0</v>
      </c>
      <c r="B281">
        <v>0</v>
      </c>
      <c r="C281">
        <v>0</v>
      </c>
      <c r="D281">
        <v>0</v>
      </c>
      <c r="E281">
        <v>0</v>
      </c>
    </row>
    <row r="282" spans="1:5" x14ac:dyDescent="0.25">
      <c r="A282">
        <v>0</v>
      </c>
      <c r="B282">
        <v>0</v>
      </c>
      <c r="C282">
        <v>0</v>
      </c>
      <c r="D282">
        <v>0</v>
      </c>
      <c r="E282">
        <v>0</v>
      </c>
    </row>
    <row r="283" spans="1:5" x14ac:dyDescent="0.25">
      <c r="A283">
        <v>0</v>
      </c>
      <c r="B283">
        <v>0</v>
      </c>
      <c r="C283">
        <v>0</v>
      </c>
      <c r="D283">
        <v>0</v>
      </c>
      <c r="E283">
        <v>0</v>
      </c>
    </row>
    <row r="284" spans="1:5" x14ac:dyDescent="0.25">
      <c r="A284">
        <v>0</v>
      </c>
      <c r="B284">
        <v>0</v>
      </c>
      <c r="C284">
        <v>0</v>
      </c>
      <c r="D284">
        <v>0</v>
      </c>
      <c r="E284">
        <v>0</v>
      </c>
    </row>
    <row r="285" spans="1:5" x14ac:dyDescent="0.25">
      <c r="A285">
        <v>0</v>
      </c>
      <c r="B285">
        <v>0</v>
      </c>
      <c r="C285">
        <v>0</v>
      </c>
      <c r="D285">
        <v>0</v>
      </c>
      <c r="E285">
        <v>0</v>
      </c>
    </row>
    <row r="286" spans="1:5" x14ac:dyDescent="0.25">
      <c r="A286">
        <v>0</v>
      </c>
      <c r="B286">
        <v>0</v>
      </c>
      <c r="C286">
        <v>0</v>
      </c>
      <c r="D286">
        <v>0</v>
      </c>
      <c r="E286">
        <v>0</v>
      </c>
    </row>
    <row r="287" spans="1:5" x14ac:dyDescent="0.25">
      <c r="A287">
        <v>0</v>
      </c>
      <c r="B287">
        <v>0</v>
      </c>
      <c r="C287">
        <v>0</v>
      </c>
      <c r="D287">
        <v>0</v>
      </c>
      <c r="E287">
        <v>0</v>
      </c>
    </row>
    <row r="288" spans="1:5" x14ac:dyDescent="0.25">
      <c r="A288">
        <v>0</v>
      </c>
      <c r="B288">
        <v>0</v>
      </c>
      <c r="C288">
        <v>0</v>
      </c>
      <c r="D288">
        <v>0</v>
      </c>
      <c r="E288">
        <v>0</v>
      </c>
    </row>
    <row r="289" spans="1:5" x14ac:dyDescent="0.25">
      <c r="A289">
        <v>0</v>
      </c>
      <c r="B289">
        <v>0</v>
      </c>
      <c r="C289">
        <v>0</v>
      </c>
      <c r="D289">
        <v>0</v>
      </c>
      <c r="E289">
        <v>0</v>
      </c>
    </row>
    <row r="290" spans="1:5" x14ac:dyDescent="0.25">
      <c r="A290">
        <v>0</v>
      </c>
      <c r="B290">
        <v>0</v>
      </c>
      <c r="C290">
        <v>0</v>
      </c>
      <c r="D290">
        <v>0</v>
      </c>
      <c r="E290">
        <v>0</v>
      </c>
    </row>
    <row r="291" spans="1:5" x14ac:dyDescent="0.25">
      <c r="A291">
        <v>0</v>
      </c>
      <c r="B291">
        <v>0</v>
      </c>
      <c r="C291">
        <v>0</v>
      </c>
      <c r="D291">
        <v>0</v>
      </c>
      <c r="E291">
        <v>0</v>
      </c>
    </row>
    <row r="292" spans="1:5" x14ac:dyDescent="0.25">
      <c r="A292">
        <v>0</v>
      </c>
      <c r="B292">
        <v>0</v>
      </c>
      <c r="C292">
        <v>0</v>
      </c>
      <c r="D292">
        <v>0</v>
      </c>
      <c r="E292">
        <v>0</v>
      </c>
    </row>
    <row r="293" spans="1:5" x14ac:dyDescent="0.25">
      <c r="A293">
        <v>0</v>
      </c>
      <c r="B293">
        <v>0</v>
      </c>
      <c r="C293">
        <v>0</v>
      </c>
      <c r="D293">
        <v>0</v>
      </c>
      <c r="E293">
        <v>0</v>
      </c>
    </row>
    <row r="294" spans="1:5" x14ac:dyDescent="0.25">
      <c r="A294">
        <v>0</v>
      </c>
      <c r="B294">
        <v>0</v>
      </c>
      <c r="C294">
        <v>0</v>
      </c>
      <c r="D294">
        <v>0</v>
      </c>
      <c r="E294">
        <v>0</v>
      </c>
    </row>
    <row r="295" spans="1:5" x14ac:dyDescent="0.25">
      <c r="A295">
        <v>0</v>
      </c>
      <c r="B295">
        <v>0</v>
      </c>
      <c r="C295">
        <v>0</v>
      </c>
      <c r="D295">
        <v>0</v>
      </c>
      <c r="E295">
        <v>0</v>
      </c>
    </row>
    <row r="296" spans="1:5" x14ac:dyDescent="0.25">
      <c r="A296">
        <v>0</v>
      </c>
      <c r="B296">
        <v>0</v>
      </c>
      <c r="C296">
        <v>0</v>
      </c>
      <c r="D296">
        <v>0</v>
      </c>
      <c r="E296">
        <v>0</v>
      </c>
    </row>
    <row r="297" spans="1:5" x14ac:dyDescent="0.25">
      <c r="A297">
        <v>0</v>
      </c>
      <c r="B297">
        <v>0</v>
      </c>
      <c r="C297">
        <v>0</v>
      </c>
      <c r="D297">
        <v>0</v>
      </c>
      <c r="E297">
        <v>0</v>
      </c>
    </row>
    <row r="298" spans="1:5" x14ac:dyDescent="0.25">
      <c r="A298">
        <v>0</v>
      </c>
      <c r="B298">
        <v>0</v>
      </c>
      <c r="C298">
        <v>0</v>
      </c>
      <c r="D298">
        <v>0</v>
      </c>
      <c r="E298">
        <v>0</v>
      </c>
    </row>
    <row r="299" spans="1:5" x14ac:dyDescent="0.25">
      <c r="A299">
        <v>0</v>
      </c>
      <c r="B299">
        <v>0</v>
      </c>
      <c r="C299">
        <v>0</v>
      </c>
      <c r="D299">
        <v>0</v>
      </c>
      <c r="E299">
        <v>0</v>
      </c>
    </row>
    <row r="300" spans="1:5" x14ac:dyDescent="0.25">
      <c r="A300">
        <v>0</v>
      </c>
      <c r="B300">
        <v>0</v>
      </c>
      <c r="C300">
        <v>0</v>
      </c>
      <c r="D300">
        <v>0</v>
      </c>
      <c r="E300">
        <v>0</v>
      </c>
    </row>
    <row r="301" spans="1:5" x14ac:dyDescent="0.25">
      <c r="A301">
        <v>0</v>
      </c>
      <c r="B301">
        <v>0</v>
      </c>
      <c r="C301">
        <v>0</v>
      </c>
      <c r="D301">
        <v>0</v>
      </c>
      <c r="E301">
        <v>0</v>
      </c>
    </row>
    <row r="302" spans="1:5" x14ac:dyDescent="0.25">
      <c r="A302">
        <v>0</v>
      </c>
      <c r="B302">
        <v>0</v>
      </c>
      <c r="C302">
        <v>0</v>
      </c>
      <c r="D302">
        <v>0</v>
      </c>
      <c r="E302">
        <v>0</v>
      </c>
    </row>
    <row r="303" spans="1:5" x14ac:dyDescent="0.25">
      <c r="A303">
        <v>0</v>
      </c>
      <c r="B303">
        <v>0</v>
      </c>
      <c r="C303">
        <v>0</v>
      </c>
      <c r="D303">
        <v>0</v>
      </c>
      <c r="E303">
        <v>0</v>
      </c>
    </row>
    <row r="304" spans="1:5" x14ac:dyDescent="0.25">
      <c r="A304">
        <v>0</v>
      </c>
      <c r="B304">
        <v>0</v>
      </c>
      <c r="C304">
        <v>0</v>
      </c>
      <c r="D304">
        <v>0</v>
      </c>
      <c r="E304">
        <v>0</v>
      </c>
    </row>
    <row r="305" spans="1:5" x14ac:dyDescent="0.25">
      <c r="A305">
        <v>0</v>
      </c>
      <c r="B305">
        <v>0</v>
      </c>
      <c r="C305">
        <v>0</v>
      </c>
      <c r="D305">
        <v>0</v>
      </c>
      <c r="E305">
        <v>0</v>
      </c>
    </row>
    <row r="306" spans="1:5" x14ac:dyDescent="0.25">
      <c r="A306">
        <v>0</v>
      </c>
      <c r="B306">
        <v>0</v>
      </c>
      <c r="C306">
        <v>0</v>
      </c>
      <c r="D306">
        <v>0</v>
      </c>
      <c r="E306">
        <v>0</v>
      </c>
    </row>
    <row r="307" spans="1:5" x14ac:dyDescent="0.25">
      <c r="A307">
        <v>0</v>
      </c>
      <c r="B307">
        <v>0</v>
      </c>
      <c r="C307">
        <v>0</v>
      </c>
      <c r="D307">
        <v>0</v>
      </c>
      <c r="E307">
        <v>0</v>
      </c>
    </row>
    <row r="308" spans="1:5" x14ac:dyDescent="0.25">
      <c r="A308">
        <v>0</v>
      </c>
      <c r="B308">
        <v>0</v>
      </c>
      <c r="C308">
        <v>0</v>
      </c>
      <c r="D308">
        <v>0</v>
      </c>
      <c r="E308">
        <v>0</v>
      </c>
    </row>
    <row r="309" spans="1:5" x14ac:dyDescent="0.25">
      <c r="A309">
        <v>0</v>
      </c>
      <c r="B309">
        <v>0</v>
      </c>
      <c r="C309">
        <v>0</v>
      </c>
      <c r="D309">
        <v>0</v>
      </c>
      <c r="E309">
        <v>0</v>
      </c>
    </row>
    <row r="310" spans="1:5" x14ac:dyDescent="0.25">
      <c r="A310">
        <v>0</v>
      </c>
      <c r="B310">
        <v>0</v>
      </c>
      <c r="C310">
        <v>0</v>
      </c>
      <c r="D310">
        <v>0</v>
      </c>
      <c r="E310">
        <v>0</v>
      </c>
    </row>
    <row r="311" spans="1:5" x14ac:dyDescent="0.25">
      <c r="A311">
        <v>0</v>
      </c>
      <c r="B311">
        <v>0</v>
      </c>
      <c r="C311">
        <v>0</v>
      </c>
      <c r="D311">
        <v>0</v>
      </c>
      <c r="E311">
        <v>0</v>
      </c>
    </row>
    <row r="312" spans="1:5" x14ac:dyDescent="0.25">
      <c r="A312">
        <v>0</v>
      </c>
      <c r="B312">
        <v>0</v>
      </c>
      <c r="C312">
        <v>0</v>
      </c>
      <c r="D312">
        <v>0</v>
      </c>
      <c r="E312">
        <v>0</v>
      </c>
    </row>
    <row r="313" spans="1:5" x14ac:dyDescent="0.25">
      <c r="A313">
        <v>0</v>
      </c>
      <c r="B313">
        <v>0</v>
      </c>
      <c r="C313">
        <v>0</v>
      </c>
      <c r="D313">
        <v>0</v>
      </c>
      <c r="E313">
        <v>0</v>
      </c>
    </row>
    <row r="314" spans="1:5" x14ac:dyDescent="0.25">
      <c r="A314">
        <v>0</v>
      </c>
      <c r="B314">
        <v>0</v>
      </c>
      <c r="C314">
        <v>0</v>
      </c>
      <c r="D314">
        <v>0</v>
      </c>
      <c r="E314">
        <v>0</v>
      </c>
    </row>
    <row r="315" spans="1:5" x14ac:dyDescent="0.25">
      <c r="A315">
        <v>0</v>
      </c>
      <c r="B315">
        <v>0</v>
      </c>
      <c r="C315">
        <v>0</v>
      </c>
      <c r="D315">
        <v>0</v>
      </c>
      <c r="E315">
        <v>0</v>
      </c>
    </row>
    <row r="316" spans="1:5" x14ac:dyDescent="0.25">
      <c r="A316">
        <v>0</v>
      </c>
      <c r="B316">
        <v>0</v>
      </c>
      <c r="C316">
        <v>0</v>
      </c>
      <c r="D316">
        <v>0</v>
      </c>
      <c r="E316">
        <v>0</v>
      </c>
    </row>
    <row r="317" spans="1:5" x14ac:dyDescent="0.25">
      <c r="A317">
        <v>0</v>
      </c>
      <c r="B317">
        <v>0</v>
      </c>
      <c r="C317">
        <v>0</v>
      </c>
      <c r="D317">
        <v>0</v>
      </c>
      <c r="E317">
        <v>0</v>
      </c>
    </row>
    <row r="318" spans="1:5" x14ac:dyDescent="0.25">
      <c r="A318">
        <v>0</v>
      </c>
      <c r="B318">
        <v>0</v>
      </c>
      <c r="C318">
        <v>0</v>
      </c>
      <c r="D318">
        <v>0</v>
      </c>
      <c r="E318">
        <v>0</v>
      </c>
    </row>
    <row r="319" spans="1:5" x14ac:dyDescent="0.25">
      <c r="A319">
        <v>0</v>
      </c>
      <c r="B319">
        <v>0</v>
      </c>
      <c r="C319">
        <v>0</v>
      </c>
      <c r="D319">
        <v>0</v>
      </c>
      <c r="E319">
        <v>0</v>
      </c>
    </row>
    <row r="320" spans="1:5" x14ac:dyDescent="0.25">
      <c r="A320">
        <v>0</v>
      </c>
      <c r="B320">
        <v>0</v>
      </c>
      <c r="C320">
        <v>0</v>
      </c>
      <c r="D320">
        <v>0</v>
      </c>
      <c r="E320">
        <v>0</v>
      </c>
    </row>
    <row r="321" spans="1:5" x14ac:dyDescent="0.25">
      <c r="A321">
        <v>0</v>
      </c>
      <c r="B321">
        <v>0</v>
      </c>
      <c r="C321">
        <v>0</v>
      </c>
      <c r="D321">
        <v>0</v>
      </c>
      <c r="E321">
        <v>0</v>
      </c>
    </row>
    <row r="322" spans="1:5" x14ac:dyDescent="0.25">
      <c r="A322">
        <v>0</v>
      </c>
      <c r="B322">
        <v>0</v>
      </c>
      <c r="C322">
        <v>0</v>
      </c>
      <c r="D322">
        <v>0</v>
      </c>
      <c r="E322">
        <v>0</v>
      </c>
    </row>
    <row r="323" spans="1:5" x14ac:dyDescent="0.25">
      <c r="A323">
        <v>0</v>
      </c>
      <c r="B323">
        <v>0</v>
      </c>
      <c r="C323">
        <v>0</v>
      </c>
      <c r="D323">
        <v>0</v>
      </c>
      <c r="E323">
        <v>0</v>
      </c>
    </row>
    <row r="324" spans="1:5" x14ac:dyDescent="0.25">
      <c r="A324">
        <v>0</v>
      </c>
      <c r="B324">
        <v>0</v>
      </c>
      <c r="C324">
        <v>0</v>
      </c>
      <c r="D324">
        <v>0</v>
      </c>
      <c r="E324">
        <v>0</v>
      </c>
    </row>
    <row r="325" spans="1:5" x14ac:dyDescent="0.25">
      <c r="A325">
        <v>0</v>
      </c>
      <c r="B325">
        <v>0</v>
      </c>
      <c r="C325">
        <v>0</v>
      </c>
      <c r="D325">
        <v>0</v>
      </c>
      <c r="E325">
        <v>0</v>
      </c>
    </row>
    <row r="326" spans="1:5" x14ac:dyDescent="0.25">
      <c r="A326">
        <v>0</v>
      </c>
      <c r="B326">
        <v>0</v>
      </c>
      <c r="C326">
        <v>0</v>
      </c>
      <c r="D326">
        <v>0</v>
      </c>
      <c r="E326">
        <v>0</v>
      </c>
    </row>
    <row r="327" spans="1:5" x14ac:dyDescent="0.25">
      <c r="A327">
        <v>0</v>
      </c>
      <c r="B327">
        <v>0</v>
      </c>
      <c r="C327">
        <v>0</v>
      </c>
      <c r="D327">
        <v>0</v>
      </c>
      <c r="E327">
        <v>0</v>
      </c>
    </row>
    <row r="328" spans="1:5" x14ac:dyDescent="0.25">
      <c r="A328">
        <v>0</v>
      </c>
      <c r="B328">
        <v>0</v>
      </c>
      <c r="C328">
        <v>0</v>
      </c>
      <c r="D328">
        <v>0</v>
      </c>
      <c r="E328">
        <v>0</v>
      </c>
    </row>
    <row r="329" spans="1:5" x14ac:dyDescent="0.25">
      <c r="A329">
        <v>0</v>
      </c>
      <c r="B329">
        <v>0</v>
      </c>
      <c r="C329">
        <v>0</v>
      </c>
      <c r="D329">
        <v>0</v>
      </c>
      <c r="E329">
        <v>0</v>
      </c>
    </row>
    <row r="330" spans="1:5" x14ac:dyDescent="0.25">
      <c r="A330">
        <v>0</v>
      </c>
      <c r="B330">
        <v>0</v>
      </c>
      <c r="C330">
        <v>0</v>
      </c>
      <c r="D330">
        <v>0</v>
      </c>
      <c r="E330">
        <v>0</v>
      </c>
    </row>
    <row r="331" spans="1:5" x14ac:dyDescent="0.25">
      <c r="A331">
        <v>0</v>
      </c>
      <c r="B331">
        <v>0</v>
      </c>
      <c r="C331">
        <v>0</v>
      </c>
      <c r="D331">
        <v>0</v>
      </c>
      <c r="E331">
        <v>0</v>
      </c>
    </row>
    <row r="332" spans="1:5" x14ac:dyDescent="0.25">
      <c r="A332">
        <v>0</v>
      </c>
      <c r="B332">
        <v>0</v>
      </c>
      <c r="C332">
        <v>0</v>
      </c>
      <c r="D332">
        <v>0</v>
      </c>
      <c r="E332">
        <v>0</v>
      </c>
    </row>
    <row r="333" spans="1:5" x14ac:dyDescent="0.25">
      <c r="A333">
        <v>0</v>
      </c>
      <c r="B333">
        <v>0</v>
      </c>
      <c r="C333">
        <v>0</v>
      </c>
      <c r="D333">
        <v>0</v>
      </c>
      <c r="E333">
        <v>0</v>
      </c>
    </row>
    <row r="334" spans="1:5" x14ac:dyDescent="0.25">
      <c r="A334">
        <v>0</v>
      </c>
      <c r="B334">
        <v>0</v>
      </c>
      <c r="C334">
        <v>0</v>
      </c>
      <c r="D334">
        <v>0</v>
      </c>
      <c r="E334">
        <v>0</v>
      </c>
    </row>
    <row r="335" spans="1:5" x14ac:dyDescent="0.25">
      <c r="A335">
        <v>0</v>
      </c>
      <c r="B335">
        <v>0</v>
      </c>
      <c r="C335">
        <v>0</v>
      </c>
      <c r="D335">
        <v>0</v>
      </c>
      <c r="E335">
        <v>0</v>
      </c>
    </row>
    <row r="336" spans="1:5" x14ac:dyDescent="0.25">
      <c r="A336">
        <v>0</v>
      </c>
      <c r="B336">
        <v>0</v>
      </c>
      <c r="C336">
        <v>0</v>
      </c>
      <c r="D336">
        <v>0</v>
      </c>
      <c r="E336">
        <v>0</v>
      </c>
    </row>
    <row r="337" spans="1:5" x14ac:dyDescent="0.25">
      <c r="A337">
        <v>0</v>
      </c>
      <c r="B337">
        <v>0</v>
      </c>
      <c r="C337">
        <v>0</v>
      </c>
      <c r="D337">
        <v>0</v>
      </c>
      <c r="E337">
        <v>0</v>
      </c>
    </row>
    <row r="338" spans="1:5" x14ac:dyDescent="0.25">
      <c r="A338">
        <v>0</v>
      </c>
      <c r="B338">
        <v>0</v>
      </c>
      <c r="C338">
        <v>0</v>
      </c>
      <c r="D338">
        <v>0</v>
      </c>
      <c r="E338">
        <v>0</v>
      </c>
    </row>
    <row r="339" spans="1:5" x14ac:dyDescent="0.25">
      <c r="A339">
        <v>0</v>
      </c>
      <c r="B339">
        <v>0</v>
      </c>
      <c r="C339">
        <v>0</v>
      </c>
      <c r="D339">
        <v>0</v>
      </c>
      <c r="E339">
        <v>0</v>
      </c>
    </row>
    <row r="340" spans="1:5" x14ac:dyDescent="0.25">
      <c r="A340">
        <v>0</v>
      </c>
      <c r="B340">
        <v>0</v>
      </c>
      <c r="C340">
        <v>0</v>
      </c>
      <c r="D340">
        <v>0</v>
      </c>
      <c r="E340">
        <v>0</v>
      </c>
    </row>
    <row r="341" spans="1:5" x14ac:dyDescent="0.25">
      <c r="A341">
        <v>0</v>
      </c>
      <c r="B341">
        <v>0</v>
      </c>
      <c r="C341">
        <v>0</v>
      </c>
      <c r="D341">
        <v>0</v>
      </c>
      <c r="E341">
        <v>0</v>
      </c>
    </row>
    <row r="342" spans="1:5" x14ac:dyDescent="0.25">
      <c r="A342">
        <v>0</v>
      </c>
      <c r="B342">
        <v>0</v>
      </c>
      <c r="C342">
        <v>0</v>
      </c>
      <c r="D342">
        <v>0</v>
      </c>
      <c r="E342">
        <v>0</v>
      </c>
    </row>
    <row r="343" spans="1:5" x14ac:dyDescent="0.25">
      <c r="A343">
        <v>0</v>
      </c>
      <c r="B343">
        <v>0</v>
      </c>
      <c r="C343">
        <v>0</v>
      </c>
      <c r="D343">
        <v>0</v>
      </c>
      <c r="E343">
        <v>0</v>
      </c>
    </row>
    <row r="344" spans="1:5" x14ac:dyDescent="0.25">
      <c r="A344">
        <v>0</v>
      </c>
      <c r="B344">
        <v>0</v>
      </c>
      <c r="C344">
        <v>0</v>
      </c>
      <c r="D344">
        <v>0</v>
      </c>
      <c r="E344">
        <v>0</v>
      </c>
    </row>
    <row r="345" spans="1:5" x14ac:dyDescent="0.25">
      <c r="A345">
        <v>0</v>
      </c>
      <c r="B345">
        <v>0</v>
      </c>
      <c r="C345">
        <v>0</v>
      </c>
      <c r="D345">
        <v>0</v>
      </c>
      <c r="E345">
        <v>0</v>
      </c>
    </row>
    <row r="346" spans="1:5" x14ac:dyDescent="0.25">
      <c r="A346">
        <v>0</v>
      </c>
      <c r="B346">
        <v>0</v>
      </c>
      <c r="C346">
        <v>0</v>
      </c>
      <c r="D346">
        <v>0</v>
      </c>
      <c r="E346">
        <v>0</v>
      </c>
    </row>
    <row r="347" spans="1:5" x14ac:dyDescent="0.25">
      <c r="A347">
        <v>0</v>
      </c>
      <c r="B347">
        <v>0</v>
      </c>
      <c r="C347">
        <v>0</v>
      </c>
      <c r="D347">
        <v>0</v>
      </c>
      <c r="E347">
        <v>0</v>
      </c>
    </row>
    <row r="348" spans="1:5" x14ac:dyDescent="0.25">
      <c r="A348">
        <v>0</v>
      </c>
      <c r="B348">
        <v>0</v>
      </c>
      <c r="C348">
        <v>0</v>
      </c>
      <c r="D348">
        <v>0</v>
      </c>
      <c r="E348">
        <v>0</v>
      </c>
    </row>
    <row r="349" spans="1:5" x14ac:dyDescent="0.25">
      <c r="A349">
        <v>0</v>
      </c>
      <c r="B349">
        <v>0</v>
      </c>
      <c r="C349">
        <v>0</v>
      </c>
      <c r="D349">
        <v>0</v>
      </c>
      <c r="E349">
        <v>0</v>
      </c>
    </row>
    <row r="350" spans="1:5" x14ac:dyDescent="0.25">
      <c r="A350">
        <v>0</v>
      </c>
      <c r="B350">
        <v>0</v>
      </c>
      <c r="C350">
        <v>0</v>
      </c>
      <c r="D350">
        <v>0</v>
      </c>
      <c r="E350">
        <v>0</v>
      </c>
    </row>
    <row r="351" spans="1:5" x14ac:dyDescent="0.25">
      <c r="A351">
        <v>0</v>
      </c>
      <c r="B351">
        <v>0</v>
      </c>
      <c r="C351">
        <v>0</v>
      </c>
      <c r="D351">
        <v>0</v>
      </c>
      <c r="E351">
        <v>0</v>
      </c>
    </row>
    <row r="352" spans="1:5" x14ac:dyDescent="0.25">
      <c r="A352">
        <v>0</v>
      </c>
      <c r="B352">
        <v>0</v>
      </c>
      <c r="C352">
        <v>0</v>
      </c>
      <c r="D352">
        <v>0</v>
      </c>
      <c r="E352">
        <v>0</v>
      </c>
    </row>
    <row r="353" spans="1:5" x14ac:dyDescent="0.25">
      <c r="A353">
        <v>0</v>
      </c>
      <c r="B353">
        <v>0</v>
      </c>
      <c r="C353">
        <v>0</v>
      </c>
      <c r="D353">
        <v>0</v>
      </c>
      <c r="E353">
        <v>0</v>
      </c>
    </row>
    <row r="354" spans="1:5" x14ac:dyDescent="0.25">
      <c r="A354">
        <v>0</v>
      </c>
      <c r="B354">
        <v>0</v>
      </c>
      <c r="C354">
        <v>0</v>
      </c>
      <c r="D354">
        <v>0</v>
      </c>
      <c r="E354">
        <v>0</v>
      </c>
    </row>
    <row r="355" spans="1:5" x14ac:dyDescent="0.25">
      <c r="A355">
        <v>0</v>
      </c>
      <c r="B355">
        <v>0</v>
      </c>
      <c r="C355">
        <v>0</v>
      </c>
      <c r="D355">
        <v>0</v>
      </c>
      <c r="E355">
        <v>0</v>
      </c>
    </row>
    <row r="356" spans="1:5" x14ac:dyDescent="0.25">
      <c r="A356">
        <v>0</v>
      </c>
      <c r="B356">
        <v>0</v>
      </c>
      <c r="C356">
        <v>0</v>
      </c>
      <c r="D356">
        <v>0</v>
      </c>
      <c r="E356">
        <v>0</v>
      </c>
    </row>
    <row r="357" spans="1:5" x14ac:dyDescent="0.25">
      <c r="A357">
        <v>0</v>
      </c>
      <c r="B357">
        <v>0</v>
      </c>
      <c r="C357">
        <v>0</v>
      </c>
      <c r="D357">
        <v>0</v>
      </c>
      <c r="E357">
        <v>0</v>
      </c>
    </row>
    <row r="358" spans="1:5" x14ac:dyDescent="0.25">
      <c r="A358">
        <v>0</v>
      </c>
      <c r="B358">
        <v>0</v>
      </c>
      <c r="C358">
        <v>0</v>
      </c>
      <c r="D358">
        <v>0</v>
      </c>
      <c r="E358">
        <v>0</v>
      </c>
    </row>
    <row r="359" spans="1:5" x14ac:dyDescent="0.25">
      <c r="A359">
        <v>0</v>
      </c>
      <c r="B359">
        <v>0</v>
      </c>
      <c r="C359">
        <v>0</v>
      </c>
      <c r="D359">
        <v>0</v>
      </c>
      <c r="E359">
        <v>0</v>
      </c>
    </row>
    <row r="360" spans="1:5" x14ac:dyDescent="0.25">
      <c r="A360">
        <v>0</v>
      </c>
      <c r="B360">
        <v>0</v>
      </c>
      <c r="C360">
        <v>0</v>
      </c>
      <c r="D360">
        <v>0</v>
      </c>
      <c r="E360">
        <v>0</v>
      </c>
    </row>
    <row r="361" spans="1:5" x14ac:dyDescent="0.25">
      <c r="A361">
        <v>0</v>
      </c>
      <c r="B361">
        <v>0</v>
      </c>
      <c r="C361">
        <v>0</v>
      </c>
      <c r="D361">
        <v>0</v>
      </c>
      <c r="E361">
        <v>0</v>
      </c>
    </row>
    <row r="362" spans="1:5" x14ac:dyDescent="0.25">
      <c r="A362">
        <v>0</v>
      </c>
      <c r="B362">
        <v>0</v>
      </c>
      <c r="C362">
        <v>0</v>
      </c>
      <c r="D362">
        <v>0</v>
      </c>
      <c r="E362">
        <v>0</v>
      </c>
    </row>
    <row r="363" spans="1:5" x14ac:dyDescent="0.25">
      <c r="A363">
        <v>0</v>
      </c>
      <c r="B363">
        <v>0</v>
      </c>
      <c r="C363">
        <v>0</v>
      </c>
      <c r="D363">
        <v>0</v>
      </c>
      <c r="E363">
        <v>0</v>
      </c>
    </row>
    <row r="364" spans="1:5" x14ac:dyDescent="0.25">
      <c r="A364">
        <v>0</v>
      </c>
      <c r="B364">
        <v>0</v>
      </c>
      <c r="C364">
        <v>0</v>
      </c>
      <c r="D364">
        <v>0</v>
      </c>
      <c r="E364">
        <v>0</v>
      </c>
    </row>
    <row r="365" spans="1:5" x14ac:dyDescent="0.25">
      <c r="A365">
        <v>0</v>
      </c>
      <c r="B365">
        <v>0</v>
      </c>
      <c r="C365">
        <v>0</v>
      </c>
      <c r="D365">
        <v>0</v>
      </c>
      <c r="E365">
        <v>0</v>
      </c>
    </row>
    <row r="366" spans="1:5" x14ac:dyDescent="0.25">
      <c r="A366">
        <v>0</v>
      </c>
      <c r="B366">
        <v>0</v>
      </c>
      <c r="C366">
        <v>0</v>
      </c>
      <c r="D366">
        <v>0</v>
      </c>
      <c r="E366">
        <v>0</v>
      </c>
    </row>
    <row r="367" spans="1:5" x14ac:dyDescent="0.25">
      <c r="A367">
        <v>0</v>
      </c>
      <c r="B367">
        <v>0</v>
      </c>
      <c r="C367">
        <v>0</v>
      </c>
      <c r="D367">
        <v>0</v>
      </c>
      <c r="E367">
        <v>0</v>
      </c>
    </row>
    <row r="368" spans="1:5" x14ac:dyDescent="0.25">
      <c r="A368">
        <v>0</v>
      </c>
      <c r="B368">
        <v>0</v>
      </c>
      <c r="C368">
        <v>0</v>
      </c>
      <c r="D368">
        <v>0</v>
      </c>
      <c r="E368">
        <v>0</v>
      </c>
    </row>
    <row r="369" spans="1:5" x14ac:dyDescent="0.25">
      <c r="A369">
        <v>0</v>
      </c>
      <c r="B369">
        <v>0</v>
      </c>
      <c r="C369">
        <v>0</v>
      </c>
      <c r="D369">
        <v>0</v>
      </c>
      <c r="E369">
        <v>0</v>
      </c>
    </row>
    <row r="370" spans="1:5" x14ac:dyDescent="0.25">
      <c r="A370">
        <v>0</v>
      </c>
      <c r="B370">
        <v>0</v>
      </c>
      <c r="C370">
        <v>0</v>
      </c>
      <c r="D370">
        <v>0</v>
      </c>
      <c r="E370">
        <v>0</v>
      </c>
    </row>
    <row r="371" spans="1:5" x14ac:dyDescent="0.25">
      <c r="A371">
        <v>0</v>
      </c>
      <c r="B371">
        <v>0</v>
      </c>
      <c r="C371">
        <v>0</v>
      </c>
      <c r="D371">
        <v>0</v>
      </c>
      <c r="E371">
        <v>0</v>
      </c>
    </row>
    <row r="372" spans="1:5" x14ac:dyDescent="0.25">
      <c r="A372">
        <v>0</v>
      </c>
      <c r="B372">
        <v>0</v>
      </c>
      <c r="C372">
        <v>0</v>
      </c>
      <c r="D372">
        <v>0</v>
      </c>
      <c r="E372">
        <v>0</v>
      </c>
    </row>
    <row r="373" spans="1:5" x14ac:dyDescent="0.25">
      <c r="A373">
        <v>0</v>
      </c>
      <c r="B373">
        <v>0</v>
      </c>
      <c r="C373">
        <v>0</v>
      </c>
      <c r="D373">
        <v>0</v>
      </c>
      <c r="E373">
        <v>0</v>
      </c>
    </row>
    <row r="374" spans="1:5" x14ac:dyDescent="0.25">
      <c r="A374">
        <v>0</v>
      </c>
      <c r="B374">
        <v>0</v>
      </c>
      <c r="C374">
        <v>0</v>
      </c>
      <c r="D374">
        <v>0</v>
      </c>
      <c r="E374">
        <v>0</v>
      </c>
    </row>
    <row r="375" spans="1:5" x14ac:dyDescent="0.25">
      <c r="A375">
        <v>0</v>
      </c>
      <c r="B375">
        <v>0</v>
      </c>
      <c r="C375">
        <v>0</v>
      </c>
      <c r="D375">
        <v>0</v>
      </c>
      <c r="E375">
        <v>0</v>
      </c>
    </row>
    <row r="376" spans="1:5" x14ac:dyDescent="0.25">
      <c r="A376">
        <v>0</v>
      </c>
      <c r="B376">
        <v>0</v>
      </c>
      <c r="C376">
        <v>0</v>
      </c>
      <c r="D376">
        <v>0</v>
      </c>
      <c r="E376">
        <v>0</v>
      </c>
    </row>
    <row r="377" spans="1:5" x14ac:dyDescent="0.25">
      <c r="A377">
        <v>0</v>
      </c>
      <c r="B377">
        <v>0</v>
      </c>
      <c r="C377">
        <v>0</v>
      </c>
      <c r="D377">
        <v>0</v>
      </c>
      <c r="E377">
        <v>0</v>
      </c>
    </row>
    <row r="378" spans="1:5" x14ac:dyDescent="0.25">
      <c r="A378">
        <v>0</v>
      </c>
      <c r="B378">
        <v>0</v>
      </c>
      <c r="C378">
        <v>0</v>
      </c>
      <c r="D378">
        <v>0</v>
      </c>
      <c r="E378">
        <v>0</v>
      </c>
    </row>
    <row r="379" spans="1:5" x14ac:dyDescent="0.25">
      <c r="A379">
        <v>0</v>
      </c>
      <c r="B379">
        <v>0</v>
      </c>
      <c r="C379">
        <v>0</v>
      </c>
      <c r="D379">
        <v>0</v>
      </c>
      <c r="E379">
        <v>0</v>
      </c>
    </row>
    <row r="380" spans="1:5" x14ac:dyDescent="0.25">
      <c r="A380">
        <v>0</v>
      </c>
      <c r="B380">
        <v>0</v>
      </c>
      <c r="C380">
        <v>0</v>
      </c>
      <c r="D380">
        <v>0</v>
      </c>
      <c r="E380">
        <v>0</v>
      </c>
    </row>
    <row r="381" spans="1:5" x14ac:dyDescent="0.25">
      <c r="A381">
        <v>0</v>
      </c>
      <c r="B381">
        <v>0</v>
      </c>
      <c r="C381">
        <v>0</v>
      </c>
      <c r="D381">
        <v>0</v>
      </c>
      <c r="E381">
        <v>0</v>
      </c>
    </row>
    <row r="382" spans="1:5" x14ac:dyDescent="0.25">
      <c r="A382">
        <v>0</v>
      </c>
      <c r="B382">
        <v>0</v>
      </c>
      <c r="C382">
        <v>0</v>
      </c>
      <c r="D382">
        <v>0</v>
      </c>
      <c r="E382">
        <v>0</v>
      </c>
    </row>
    <row r="383" spans="1:5" x14ac:dyDescent="0.25">
      <c r="A383">
        <v>0</v>
      </c>
      <c r="B383">
        <v>0</v>
      </c>
      <c r="C383">
        <v>0</v>
      </c>
      <c r="D383">
        <v>0</v>
      </c>
      <c r="E383">
        <v>0</v>
      </c>
    </row>
    <row r="384" spans="1:5" x14ac:dyDescent="0.25">
      <c r="A384">
        <v>0</v>
      </c>
      <c r="B384">
        <v>0</v>
      </c>
      <c r="C384">
        <v>0</v>
      </c>
      <c r="D384">
        <v>0</v>
      </c>
      <c r="E384">
        <v>0</v>
      </c>
    </row>
    <row r="385" spans="1:5" x14ac:dyDescent="0.25">
      <c r="A385">
        <v>0</v>
      </c>
      <c r="B385">
        <v>0</v>
      </c>
      <c r="C385">
        <v>0</v>
      </c>
      <c r="D385">
        <v>0</v>
      </c>
      <c r="E385">
        <v>0</v>
      </c>
    </row>
    <row r="386" spans="1:5" x14ac:dyDescent="0.25">
      <c r="A386">
        <v>0</v>
      </c>
      <c r="B386">
        <v>0</v>
      </c>
      <c r="C386">
        <v>0</v>
      </c>
      <c r="D386">
        <v>0</v>
      </c>
      <c r="E386">
        <v>0</v>
      </c>
    </row>
    <row r="387" spans="1:5" x14ac:dyDescent="0.25">
      <c r="A387">
        <v>0</v>
      </c>
      <c r="B387">
        <v>0</v>
      </c>
      <c r="C387">
        <v>0</v>
      </c>
      <c r="D387">
        <v>0</v>
      </c>
      <c r="E387">
        <v>0</v>
      </c>
    </row>
    <row r="388" spans="1:5" x14ac:dyDescent="0.25">
      <c r="A388">
        <v>0</v>
      </c>
      <c r="B388">
        <v>0</v>
      </c>
      <c r="C388">
        <v>0</v>
      </c>
      <c r="D388">
        <v>0</v>
      </c>
      <c r="E388">
        <v>0</v>
      </c>
    </row>
    <row r="389" spans="1:5" x14ac:dyDescent="0.25">
      <c r="A389">
        <v>0</v>
      </c>
      <c r="B389">
        <v>0</v>
      </c>
      <c r="C389">
        <v>0</v>
      </c>
      <c r="D389">
        <v>0</v>
      </c>
      <c r="E389">
        <v>0</v>
      </c>
    </row>
    <row r="390" spans="1:5" x14ac:dyDescent="0.25">
      <c r="A390">
        <v>0</v>
      </c>
      <c r="B390">
        <v>0</v>
      </c>
      <c r="C390">
        <v>0</v>
      </c>
      <c r="D390">
        <v>0</v>
      </c>
      <c r="E390">
        <v>0</v>
      </c>
    </row>
    <row r="391" spans="1:5" x14ac:dyDescent="0.25">
      <c r="A391">
        <v>0</v>
      </c>
      <c r="B391">
        <v>0</v>
      </c>
      <c r="C391">
        <v>0</v>
      </c>
      <c r="D391">
        <v>0</v>
      </c>
      <c r="E391">
        <v>0</v>
      </c>
    </row>
    <row r="392" spans="1:5" x14ac:dyDescent="0.25">
      <c r="A392">
        <v>0</v>
      </c>
      <c r="B392">
        <v>0</v>
      </c>
      <c r="C392">
        <v>0</v>
      </c>
      <c r="D392">
        <v>0</v>
      </c>
      <c r="E392">
        <v>0</v>
      </c>
    </row>
    <row r="393" spans="1:5" x14ac:dyDescent="0.25">
      <c r="A393">
        <v>0</v>
      </c>
      <c r="B393">
        <v>0</v>
      </c>
      <c r="C393">
        <v>0</v>
      </c>
      <c r="D393">
        <v>0</v>
      </c>
      <c r="E393">
        <v>0</v>
      </c>
    </row>
    <row r="394" spans="1:5" x14ac:dyDescent="0.25">
      <c r="A394">
        <v>0</v>
      </c>
      <c r="B394">
        <v>0</v>
      </c>
      <c r="C394">
        <v>0</v>
      </c>
      <c r="D394">
        <v>0</v>
      </c>
      <c r="E394">
        <v>0</v>
      </c>
    </row>
    <row r="395" spans="1:5" x14ac:dyDescent="0.25">
      <c r="A395">
        <v>0</v>
      </c>
      <c r="B395">
        <v>0</v>
      </c>
      <c r="C395">
        <v>0</v>
      </c>
      <c r="D395">
        <v>0</v>
      </c>
      <c r="E395">
        <v>0</v>
      </c>
    </row>
    <row r="396" spans="1:5" x14ac:dyDescent="0.25">
      <c r="A396">
        <v>0</v>
      </c>
      <c r="B396">
        <v>0</v>
      </c>
      <c r="C396">
        <v>0</v>
      </c>
      <c r="D396">
        <v>0</v>
      </c>
      <c r="E396">
        <v>0</v>
      </c>
    </row>
    <row r="397" spans="1:5" x14ac:dyDescent="0.25">
      <c r="A397">
        <v>0</v>
      </c>
      <c r="B397">
        <v>0</v>
      </c>
      <c r="C397">
        <v>0</v>
      </c>
      <c r="D397">
        <v>0</v>
      </c>
      <c r="E397">
        <v>0</v>
      </c>
    </row>
    <row r="398" spans="1:5" x14ac:dyDescent="0.25">
      <c r="A398">
        <v>0</v>
      </c>
      <c r="B398">
        <v>0</v>
      </c>
      <c r="C398">
        <v>0</v>
      </c>
      <c r="D398">
        <v>0</v>
      </c>
      <c r="E398">
        <v>0</v>
      </c>
    </row>
    <row r="399" spans="1:5" x14ac:dyDescent="0.25">
      <c r="A399">
        <v>0</v>
      </c>
      <c r="B399">
        <v>0</v>
      </c>
      <c r="C399">
        <v>0</v>
      </c>
      <c r="D399">
        <v>0</v>
      </c>
      <c r="E399">
        <v>0</v>
      </c>
    </row>
    <row r="400" spans="1:5" x14ac:dyDescent="0.25">
      <c r="A400">
        <v>0</v>
      </c>
      <c r="B400">
        <v>0</v>
      </c>
      <c r="C400">
        <v>0</v>
      </c>
      <c r="D400">
        <v>0</v>
      </c>
      <c r="E400">
        <v>0</v>
      </c>
    </row>
    <row r="401" spans="1:5" x14ac:dyDescent="0.25">
      <c r="A401">
        <v>0</v>
      </c>
      <c r="B401">
        <v>0</v>
      </c>
      <c r="C401">
        <v>0</v>
      </c>
      <c r="D401">
        <v>0</v>
      </c>
      <c r="E401">
        <v>0</v>
      </c>
    </row>
    <row r="402" spans="1:5" x14ac:dyDescent="0.25">
      <c r="A402">
        <v>0</v>
      </c>
      <c r="B402">
        <v>0</v>
      </c>
      <c r="C402">
        <v>0</v>
      </c>
      <c r="D402">
        <v>0</v>
      </c>
      <c r="E402">
        <v>0</v>
      </c>
    </row>
    <row r="403" spans="1:5" x14ac:dyDescent="0.25">
      <c r="A403">
        <v>0</v>
      </c>
      <c r="B403">
        <v>0</v>
      </c>
      <c r="C403">
        <v>0</v>
      </c>
      <c r="D403">
        <v>0</v>
      </c>
      <c r="E403">
        <v>0</v>
      </c>
    </row>
    <row r="404" spans="1:5" x14ac:dyDescent="0.25">
      <c r="A404">
        <v>0</v>
      </c>
      <c r="B404">
        <v>0</v>
      </c>
      <c r="C404">
        <v>0</v>
      </c>
      <c r="D404">
        <v>0</v>
      </c>
      <c r="E404">
        <v>0</v>
      </c>
    </row>
    <row r="405" spans="1:5" x14ac:dyDescent="0.25">
      <c r="A405">
        <v>0</v>
      </c>
      <c r="B405">
        <v>0</v>
      </c>
      <c r="C405">
        <v>0</v>
      </c>
      <c r="D405">
        <v>0</v>
      </c>
      <c r="E405">
        <v>0</v>
      </c>
    </row>
    <row r="406" spans="1:5" x14ac:dyDescent="0.25">
      <c r="A406">
        <v>0</v>
      </c>
      <c r="B406">
        <v>0</v>
      </c>
      <c r="C406">
        <v>0</v>
      </c>
      <c r="D406">
        <v>0</v>
      </c>
      <c r="E406">
        <v>0</v>
      </c>
    </row>
    <row r="407" spans="1:5" x14ac:dyDescent="0.25">
      <c r="A407">
        <v>0</v>
      </c>
      <c r="B407">
        <v>0</v>
      </c>
      <c r="C407">
        <v>0</v>
      </c>
      <c r="D407">
        <v>0</v>
      </c>
      <c r="E407">
        <v>0</v>
      </c>
    </row>
    <row r="408" spans="1:5" x14ac:dyDescent="0.25">
      <c r="A408">
        <v>0</v>
      </c>
      <c r="B408">
        <v>0</v>
      </c>
      <c r="C408">
        <v>0</v>
      </c>
      <c r="D408">
        <v>0</v>
      </c>
      <c r="E408">
        <v>0</v>
      </c>
    </row>
    <row r="409" spans="1:5" x14ac:dyDescent="0.25">
      <c r="A409">
        <v>0</v>
      </c>
      <c r="B409">
        <v>0</v>
      </c>
      <c r="C409">
        <v>0</v>
      </c>
      <c r="D409">
        <v>0</v>
      </c>
      <c r="E409">
        <v>0</v>
      </c>
    </row>
    <row r="410" spans="1:5" x14ac:dyDescent="0.25">
      <c r="A410">
        <v>0</v>
      </c>
      <c r="B410">
        <v>0</v>
      </c>
      <c r="C410">
        <v>0</v>
      </c>
      <c r="D410">
        <v>0</v>
      </c>
      <c r="E410">
        <v>0</v>
      </c>
    </row>
    <row r="411" spans="1:5" x14ac:dyDescent="0.25">
      <c r="A411">
        <v>0</v>
      </c>
      <c r="B411">
        <v>0</v>
      </c>
      <c r="C411">
        <v>0</v>
      </c>
      <c r="D411">
        <v>0</v>
      </c>
      <c r="E411">
        <v>0</v>
      </c>
    </row>
    <row r="412" spans="1:5" x14ac:dyDescent="0.25">
      <c r="A412">
        <v>0</v>
      </c>
      <c r="B412">
        <v>0</v>
      </c>
      <c r="C412">
        <v>0</v>
      </c>
      <c r="D412">
        <v>0</v>
      </c>
      <c r="E412">
        <v>0</v>
      </c>
    </row>
    <row r="413" spans="1:5" x14ac:dyDescent="0.25">
      <c r="A413">
        <v>0</v>
      </c>
      <c r="B413">
        <v>0</v>
      </c>
      <c r="C413">
        <v>0</v>
      </c>
      <c r="D413">
        <v>0</v>
      </c>
      <c r="E413">
        <v>0</v>
      </c>
    </row>
    <row r="414" spans="1:5" x14ac:dyDescent="0.25">
      <c r="A414">
        <v>0</v>
      </c>
      <c r="B414">
        <v>0</v>
      </c>
      <c r="C414">
        <v>0</v>
      </c>
      <c r="D414">
        <v>0</v>
      </c>
      <c r="E414">
        <v>0</v>
      </c>
    </row>
    <row r="415" spans="1:5" x14ac:dyDescent="0.25">
      <c r="A415">
        <v>0</v>
      </c>
      <c r="B415">
        <v>0</v>
      </c>
      <c r="C415">
        <v>0</v>
      </c>
      <c r="D415">
        <v>0</v>
      </c>
      <c r="E415">
        <v>0</v>
      </c>
    </row>
    <row r="416" spans="1:5" x14ac:dyDescent="0.25">
      <c r="A416">
        <v>0</v>
      </c>
      <c r="B416">
        <v>0</v>
      </c>
      <c r="C416">
        <v>0</v>
      </c>
      <c r="D416">
        <v>0</v>
      </c>
      <c r="E416">
        <v>0</v>
      </c>
    </row>
    <row r="417" spans="1:5" x14ac:dyDescent="0.25">
      <c r="A417">
        <v>0</v>
      </c>
      <c r="B417">
        <v>0</v>
      </c>
      <c r="C417">
        <v>0</v>
      </c>
      <c r="D417">
        <v>0</v>
      </c>
      <c r="E417">
        <v>0</v>
      </c>
    </row>
    <row r="418" spans="1:5" x14ac:dyDescent="0.25">
      <c r="A418">
        <v>0</v>
      </c>
      <c r="B418">
        <v>0</v>
      </c>
      <c r="C418">
        <v>0</v>
      </c>
      <c r="D418">
        <v>0</v>
      </c>
      <c r="E418">
        <v>0</v>
      </c>
    </row>
    <row r="419" spans="1:5" x14ac:dyDescent="0.25">
      <c r="A419">
        <v>0</v>
      </c>
      <c r="B419">
        <v>0</v>
      </c>
      <c r="C419">
        <v>0</v>
      </c>
      <c r="D419">
        <v>0</v>
      </c>
      <c r="E419">
        <v>0</v>
      </c>
    </row>
    <row r="420" spans="1:5" x14ac:dyDescent="0.25">
      <c r="A420">
        <v>0</v>
      </c>
      <c r="B420">
        <v>0</v>
      </c>
      <c r="C420">
        <v>0</v>
      </c>
      <c r="D420">
        <v>0</v>
      </c>
      <c r="E420">
        <v>0</v>
      </c>
    </row>
    <row r="421" spans="1:5" x14ac:dyDescent="0.25">
      <c r="A421">
        <v>0</v>
      </c>
      <c r="B421">
        <v>0</v>
      </c>
      <c r="C421">
        <v>0</v>
      </c>
      <c r="D421">
        <v>0</v>
      </c>
      <c r="E421">
        <v>0</v>
      </c>
    </row>
    <row r="422" spans="1:5" x14ac:dyDescent="0.25">
      <c r="A422">
        <v>0</v>
      </c>
      <c r="B422">
        <v>0</v>
      </c>
      <c r="C422">
        <v>0</v>
      </c>
      <c r="D422">
        <v>0</v>
      </c>
      <c r="E422">
        <v>0</v>
      </c>
    </row>
    <row r="423" spans="1:5" x14ac:dyDescent="0.25">
      <c r="A423">
        <v>0</v>
      </c>
      <c r="B423">
        <v>0</v>
      </c>
      <c r="C423">
        <v>0</v>
      </c>
      <c r="D423">
        <v>0</v>
      </c>
      <c r="E423">
        <v>0</v>
      </c>
    </row>
    <row r="424" spans="1:5" x14ac:dyDescent="0.25">
      <c r="A424">
        <v>0</v>
      </c>
      <c r="B424">
        <v>0</v>
      </c>
      <c r="C424">
        <v>0</v>
      </c>
      <c r="D424">
        <v>0</v>
      </c>
      <c r="E424">
        <v>0</v>
      </c>
    </row>
    <row r="425" spans="1:5" x14ac:dyDescent="0.25">
      <c r="A425">
        <v>0</v>
      </c>
      <c r="B425">
        <v>0</v>
      </c>
      <c r="C425">
        <v>0</v>
      </c>
      <c r="D425">
        <v>0</v>
      </c>
      <c r="E425">
        <v>0</v>
      </c>
    </row>
    <row r="426" spans="1:5" x14ac:dyDescent="0.25">
      <c r="A426">
        <v>0</v>
      </c>
      <c r="B426">
        <v>0</v>
      </c>
      <c r="C426">
        <v>0</v>
      </c>
      <c r="D426">
        <v>0</v>
      </c>
      <c r="E426">
        <v>0</v>
      </c>
    </row>
    <row r="427" spans="1:5" x14ac:dyDescent="0.25">
      <c r="A427">
        <v>0</v>
      </c>
      <c r="B427">
        <v>0</v>
      </c>
      <c r="C427">
        <v>0</v>
      </c>
      <c r="D427">
        <v>0</v>
      </c>
      <c r="E427">
        <v>0</v>
      </c>
    </row>
    <row r="428" spans="1:5" x14ac:dyDescent="0.25">
      <c r="A428">
        <v>0</v>
      </c>
      <c r="B428">
        <v>0</v>
      </c>
      <c r="C428">
        <v>0</v>
      </c>
      <c r="D428">
        <v>0</v>
      </c>
      <c r="E428">
        <v>0</v>
      </c>
    </row>
    <row r="429" spans="1:5" x14ac:dyDescent="0.25">
      <c r="A429">
        <v>0</v>
      </c>
      <c r="B429">
        <v>0</v>
      </c>
      <c r="C429">
        <v>0</v>
      </c>
      <c r="D429">
        <v>0</v>
      </c>
      <c r="E429">
        <v>0</v>
      </c>
    </row>
    <row r="430" spans="1:5" x14ac:dyDescent="0.25">
      <c r="A430">
        <v>0</v>
      </c>
      <c r="B430">
        <v>0</v>
      </c>
      <c r="C430">
        <v>0</v>
      </c>
      <c r="D430">
        <v>0</v>
      </c>
      <c r="E430">
        <v>0</v>
      </c>
    </row>
    <row r="431" spans="1:5" x14ac:dyDescent="0.25">
      <c r="A431">
        <v>0</v>
      </c>
      <c r="B431">
        <v>0</v>
      </c>
      <c r="C431">
        <v>0</v>
      </c>
      <c r="D431">
        <v>0</v>
      </c>
      <c r="E431">
        <v>0</v>
      </c>
    </row>
    <row r="432" spans="1:5" x14ac:dyDescent="0.25">
      <c r="A432">
        <v>0</v>
      </c>
      <c r="B432">
        <v>0</v>
      </c>
      <c r="C432">
        <v>0</v>
      </c>
      <c r="D432">
        <v>0</v>
      </c>
      <c r="E432">
        <v>0</v>
      </c>
    </row>
    <row r="433" spans="1:5" x14ac:dyDescent="0.25">
      <c r="A433">
        <v>0</v>
      </c>
      <c r="B433">
        <v>0</v>
      </c>
      <c r="C433">
        <v>0</v>
      </c>
      <c r="D433">
        <v>0</v>
      </c>
      <c r="E433">
        <v>0</v>
      </c>
    </row>
    <row r="434" spans="1:5" x14ac:dyDescent="0.25">
      <c r="A434">
        <v>0</v>
      </c>
      <c r="B434">
        <v>0</v>
      </c>
      <c r="C434">
        <v>0</v>
      </c>
      <c r="D434">
        <v>0</v>
      </c>
      <c r="E434">
        <v>0</v>
      </c>
    </row>
    <row r="435" spans="1:5" x14ac:dyDescent="0.25">
      <c r="A435">
        <v>0</v>
      </c>
      <c r="B435">
        <v>0</v>
      </c>
      <c r="C435">
        <v>0</v>
      </c>
      <c r="D435">
        <v>0</v>
      </c>
      <c r="E435">
        <v>0</v>
      </c>
    </row>
    <row r="436" spans="1:5" x14ac:dyDescent="0.25">
      <c r="A436">
        <v>0</v>
      </c>
      <c r="B436">
        <v>0</v>
      </c>
      <c r="C436">
        <v>0</v>
      </c>
      <c r="D436">
        <v>0</v>
      </c>
      <c r="E436">
        <v>0</v>
      </c>
    </row>
    <row r="437" spans="1:5" x14ac:dyDescent="0.25">
      <c r="A437">
        <v>0</v>
      </c>
      <c r="B437">
        <v>0</v>
      </c>
      <c r="C437">
        <v>0</v>
      </c>
      <c r="D437">
        <v>0</v>
      </c>
      <c r="E437">
        <v>0</v>
      </c>
    </row>
    <row r="438" spans="1:5" x14ac:dyDescent="0.25">
      <c r="A438">
        <v>0</v>
      </c>
      <c r="B438">
        <v>0</v>
      </c>
      <c r="C438">
        <v>0</v>
      </c>
      <c r="D438">
        <v>0</v>
      </c>
      <c r="E438">
        <v>0</v>
      </c>
    </row>
    <row r="439" spans="1:5" x14ac:dyDescent="0.25">
      <c r="A439">
        <v>0</v>
      </c>
      <c r="B439">
        <v>0</v>
      </c>
      <c r="C439">
        <v>0</v>
      </c>
      <c r="D439">
        <v>0</v>
      </c>
      <c r="E439">
        <v>0</v>
      </c>
    </row>
    <row r="440" spans="1:5" x14ac:dyDescent="0.25">
      <c r="A440">
        <v>0</v>
      </c>
      <c r="B440">
        <v>0</v>
      </c>
      <c r="C440">
        <v>0</v>
      </c>
      <c r="D440">
        <v>0</v>
      </c>
      <c r="E440">
        <v>0</v>
      </c>
    </row>
    <row r="441" spans="1:5" x14ac:dyDescent="0.25">
      <c r="A441">
        <v>0</v>
      </c>
      <c r="B441">
        <v>0</v>
      </c>
      <c r="C441">
        <v>0</v>
      </c>
      <c r="D441">
        <v>0</v>
      </c>
      <c r="E441">
        <v>0</v>
      </c>
    </row>
    <row r="442" spans="1:5" x14ac:dyDescent="0.25">
      <c r="A442">
        <v>0</v>
      </c>
      <c r="B442">
        <v>0</v>
      </c>
      <c r="C442">
        <v>0</v>
      </c>
      <c r="D442">
        <v>0</v>
      </c>
      <c r="E442">
        <v>0</v>
      </c>
    </row>
    <row r="443" spans="1:5" x14ac:dyDescent="0.25">
      <c r="A443">
        <v>0</v>
      </c>
      <c r="B443">
        <v>0</v>
      </c>
      <c r="C443">
        <v>0</v>
      </c>
      <c r="D443">
        <v>0</v>
      </c>
      <c r="E443">
        <v>0</v>
      </c>
    </row>
    <row r="444" spans="1:5" x14ac:dyDescent="0.25">
      <c r="A444">
        <v>0</v>
      </c>
      <c r="B444">
        <v>0</v>
      </c>
      <c r="C444">
        <v>0</v>
      </c>
      <c r="D444">
        <v>0</v>
      </c>
      <c r="E444">
        <v>0</v>
      </c>
    </row>
    <row r="445" spans="1:5" x14ac:dyDescent="0.25">
      <c r="A445">
        <v>0</v>
      </c>
      <c r="B445">
        <v>0</v>
      </c>
      <c r="C445">
        <v>0</v>
      </c>
      <c r="D445">
        <v>0</v>
      </c>
      <c r="E445">
        <v>0</v>
      </c>
    </row>
    <row r="446" spans="1:5" x14ac:dyDescent="0.25">
      <c r="A446">
        <v>0</v>
      </c>
      <c r="B446">
        <v>0</v>
      </c>
      <c r="C446">
        <v>0</v>
      </c>
      <c r="D446">
        <v>0</v>
      </c>
      <c r="E446">
        <v>0</v>
      </c>
    </row>
    <row r="447" spans="1:5" x14ac:dyDescent="0.25">
      <c r="A447">
        <v>0</v>
      </c>
      <c r="B447">
        <v>0</v>
      </c>
      <c r="C447">
        <v>0</v>
      </c>
      <c r="D447">
        <v>0</v>
      </c>
      <c r="E447">
        <v>0</v>
      </c>
    </row>
    <row r="448" spans="1:5" x14ac:dyDescent="0.25">
      <c r="A448">
        <v>0</v>
      </c>
      <c r="B448">
        <v>0</v>
      </c>
      <c r="C448">
        <v>0</v>
      </c>
      <c r="D448">
        <v>0</v>
      </c>
      <c r="E448">
        <v>0</v>
      </c>
    </row>
    <row r="449" spans="1:5" x14ac:dyDescent="0.25">
      <c r="A449">
        <v>0</v>
      </c>
      <c r="B449">
        <v>0</v>
      </c>
      <c r="C449">
        <v>0</v>
      </c>
      <c r="D449">
        <v>0</v>
      </c>
      <c r="E449">
        <v>0</v>
      </c>
    </row>
    <row r="450" spans="1:5" x14ac:dyDescent="0.25">
      <c r="A450">
        <v>0</v>
      </c>
      <c r="B450">
        <v>0</v>
      </c>
      <c r="C450">
        <v>0</v>
      </c>
      <c r="D450">
        <v>0</v>
      </c>
      <c r="E450">
        <v>0</v>
      </c>
    </row>
    <row r="451" spans="1:5" x14ac:dyDescent="0.25">
      <c r="A451">
        <v>0</v>
      </c>
      <c r="B451">
        <v>0</v>
      </c>
      <c r="C451">
        <v>0</v>
      </c>
      <c r="D451">
        <v>0</v>
      </c>
      <c r="E451">
        <v>0</v>
      </c>
    </row>
    <row r="452" spans="1:5" x14ac:dyDescent="0.25">
      <c r="A452">
        <v>0</v>
      </c>
      <c r="B452">
        <v>0</v>
      </c>
      <c r="C452">
        <v>0</v>
      </c>
      <c r="D452">
        <v>0</v>
      </c>
      <c r="E452">
        <v>0</v>
      </c>
    </row>
    <row r="453" spans="1:5" x14ac:dyDescent="0.25">
      <c r="A453">
        <v>0</v>
      </c>
      <c r="B453">
        <v>0</v>
      </c>
      <c r="C453">
        <v>0</v>
      </c>
      <c r="D453">
        <v>0</v>
      </c>
      <c r="E453">
        <v>0</v>
      </c>
    </row>
    <row r="454" spans="1:5" x14ac:dyDescent="0.25">
      <c r="A454">
        <v>0</v>
      </c>
      <c r="B454">
        <v>0</v>
      </c>
      <c r="C454">
        <v>0</v>
      </c>
      <c r="D454">
        <v>0</v>
      </c>
      <c r="E454">
        <v>0</v>
      </c>
    </row>
    <row r="455" spans="1:5" x14ac:dyDescent="0.25">
      <c r="A455">
        <v>0</v>
      </c>
      <c r="B455">
        <v>0</v>
      </c>
      <c r="C455">
        <v>0</v>
      </c>
      <c r="D455">
        <v>0</v>
      </c>
      <c r="E455">
        <v>0</v>
      </c>
    </row>
    <row r="456" spans="1:5" x14ac:dyDescent="0.25">
      <c r="A456">
        <v>0</v>
      </c>
      <c r="B456">
        <v>0</v>
      </c>
      <c r="C456">
        <v>0</v>
      </c>
      <c r="D456">
        <v>0</v>
      </c>
      <c r="E456">
        <v>0</v>
      </c>
    </row>
    <row r="457" spans="1:5" x14ac:dyDescent="0.25">
      <c r="A457">
        <v>0</v>
      </c>
      <c r="B457">
        <v>0</v>
      </c>
      <c r="C457">
        <v>0</v>
      </c>
      <c r="D457">
        <v>0</v>
      </c>
      <c r="E457">
        <v>0</v>
      </c>
    </row>
    <row r="458" spans="1:5" x14ac:dyDescent="0.25">
      <c r="A458">
        <v>0</v>
      </c>
      <c r="B458">
        <v>0</v>
      </c>
      <c r="C458">
        <v>0</v>
      </c>
      <c r="D458">
        <v>0</v>
      </c>
      <c r="E458">
        <v>0</v>
      </c>
    </row>
    <row r="459" spans="1:5" x14ac:dyDescent="0.25">
      <c r="A459">
        <v>0</v>
      </c>
      <c r="B459">
        <v>0</v>
      </c>
      <c r="C459">
        <v>0</v>
      </c>
      <c r="D459">
        <v>0</v>
      </c>
      <c r="E459">
        <v>0</v>
      </c>
    </row>
    <row r="460" spans="1:5" x14ac:dyDescent="0.25">
      <c r="A460">
        <v>0</v>
      </c>
      <c r="B460">
        <v>0</v>
      </c>
      <c r="C460">
        <v>0</v>
      </c>
      <c r="D460">
        <v>0</v>
      </c>
      <c r="E460">
        <v>0</v>
      </c>
    </row>
    <row r="461" spans="1:5" x14ac:dyDescent="0.25">
      <c r="A461">
        <v>0</v>
      </c>
      <c r="B461">
        <v>0</v>
      </c>
      <c r="C461">
        <v>0</v>
      </c>
      <c r="D461">
        <v>0</v>
      </c>
      <c r="E461">
        <v>0</v>
      </c>
    </row>
    <row r="462" spans="1:5" x14ac:dyDescent="0.25">
      <c r="A462">
        <v>0</v>
      </c>
      <c r="B462">
        <v>0</v>
      </c>
      <c r="C462">
        <v>0</v>
      </c>
      <c r="D462">
        <v>0</v>
      </c>
      <c r="E462">
        <v>0</v>
      </c>
    </row>
    <row r="463" spans="1:5" x14ac:dyDescent="0.25">
      <c r="A463">
        <v>0</v>
      </c>
      <c r="B463">
        <v>0</v>
      </c>
      <c r="C463">
        <v>0</v>
      </c>
      <c r="D463">
        <v>0</v>
      </c>
      <c r="E463">
        <v>0</v>
      </c>
    </row>
    <row r="464" spans="1:5" x14ac:dyDescent="0.25">
      <c r="A464">
        <v>0</v>
      </c>
      <c r="B464">
        <v>0</v>
      </c>
      <c r="C464">
        <v>0</v>
      </c>
      <c r="D464">
        <v>0</v>
      </c>
      <c r="E464">
        <v>0</v>
      </c>
    </row>
    <row r="465" spans="1:5" x14ac:dyDescent="0.25">
      <c r="A465">
        <v>0</v>
      </c>
      <c r="B465">
        <v>0</v>
      </c>
      <c r="C465">
        <v>0</v>
      </c>
      <c r="D465">
        <v>0</v>
      </c>
      <c r="E465">
        <v>0</v>
      </c>
    </row>
    <row r="466" spans="1:5" x14ac:dyDescent="0.25">
      <c r="A466">
        <v>0</v>
      </c>
      <c r="B466">
        <v>0</v>
      </c>
      <c r="C466">
        <v>0</v>
      </c>
      <c r="D466">
        <v>0</v>
      </c>
      <c r="E466">
        <v>0</v>
      </c>
    </row>
    <row r="467" spans="1:5" x14ac:dyDescent="0.25">
      <c r="A467">
        <v>0</v>
      </c>
      <c r="B467">
        <v>0</v>
      </c>
      <c r="C467">
        <v>0</v>
      </c>
      <c r="D467">
        <v>0</v>
      </c>
      <c r="E467">
        <v>0</v>
      </c>
    </row>
    <row r="468" spans="1:5" x14ac:dyDescent="0.25">
      <c r="A468">
        <v>0</v>
      </c>
      <c r="B468">
        <v>0</v>
      </c>
      <c r="C468">
        <v>0</v>
      </c>
      <c r="D468">
        <v>0</v>
      </c>
      <c r="E468">
        <v>0</v>
      </c>
    </row>
    <row r="469" spans="1:5" x14ac:dyDescent="0.25">
      <c r="A469">
        <v>0</v>
      </c>
      <c r="B469">
        <v>0</v>
      </c>
      <c r="C469">
        <v>0</v>
      </c>
      <c r="D469">
        <v>0</v>
      </c>
      <c r="E469">
        <v>0</v>
      </c>
    </row>
    <row r="470" spans="1:5" x14ac:dyDescent="0.25">
      <c r="A470">
        <v>0</v>
      </c>
      <c r="B470">
        <v>0</v>
      </c>
      <c r="C470">
        <v>0</v>
      </c>
      <c r="D470">
        <v>0</v>
      </c>
      <c r="E470">
        <v>0</v>
      </c>
    </row>
    <row r="471" spans="1:5" x14ac:dyDescent="0.25">
      <c r="A471">
        <v>0</v>
      </c>
      <c r="B471">
        <v>0</v>
      </c>
      <c r="C471">
        <v>0</v>
      </c>
      <c r="D471">
        <v>0</v>
      </c>
      <c r="E471">
        <v>0</v>
      </c>
    </row>
    <row r="472" spans="1:5" x14ac:dyDescent="0.25">
      <c r="A472">
        <v>0</v>
      </c>
      <c r="B472">
        <v>0</v>
      </c>
      <c r="C472">
        <v>0</v>
      </c>
      <c r="D472">
        <v>0</v>
      </c>
      <c r="E472">
        <v>0</v>
      </c>
    </row>
    <row r="473" spans="1:5" x14ac:dyDescent="0.25">
      <c r="A473">
        <v>0</v>
      </c>
      <c r="B473">
        <v>0</v>
      </c>
      <c r="C473">
        <v>0</v>
      </c>
      <c r="D473">
        <v>0</v>
      </c>
      <c r="E473">
        <v>0</v>
      </c>
    </row>
    <row r="474" spans="1:5" x14ac:dyDescent="0.25">
      <c r="A474">
        <v>0</v>
      </c>
      <c r="B474">
        <v>0</v>
      </c>
      <c r="C474">
        <v>0</v>
      </c>
      <c r="D474">
        <v>0</v>
      </c>
      <c r="E474">
        <v>0</v>
      </c>
    </row>
    <row r="475" spans="1:5" x14ac:dyDescent="0.25">
      <c r="A475">
        <v>0</v>
      </c>
      <c r="B475">
        <v>0</v>
      </c>
      <c r="C475">
        <v>0</v>
      </c>
      <c r="D475">
        <v>0</v>
      </c>
      <c r="E475">
        <v>0</v>
      </c>
    </row>
    <row r="476" spans="1:5" x14ac:dyDescent="0.25">
      <c r="A476">
        <v>0</v>
      </c>
      <c r="B476">
        <v>0</v>
      </c>
      <c r="C476">
        <v>0</v>
      </c>
      <c r="D476">
        <v>0</v>
      </c>
      <c r="E476">
        <v>0</v>
      </c>
    </row>
    <row r="477" spans="1:5" x14ac:dyDescent="0.25">
      <c r="A477">
        <v>0</v>
      </c>
      <c r="B477">
        <v>0</v>
      </c>
      <c r="C477">
        <v>0</v>
      </c>
      <c r="D477">
        <v>0</v>
      </c>
      <c r="E477">
        <v>0</v>
      </c>
    </row>
    <row r="478" spans="1:5" x14ac:dyDescent="0.25">
      <c r="A478">
        <v>0</v>
      </c>
      <c r="B478">
        <v>0</v>
      </c>
      <c r="C478">
        <v>0</v>
      </c>
      <c r="D478">
        <v>0</v>
      </c>
      <c r="E478">
        <v>0</v>
      </c>
    </row>
    <row r="479" spans="1:5" x14ac:dyDescent="0.25">
      <c r="A479">
        <v>0</v>
      </c>
      <c r="B479">
        <v>0</v>
      </c>
      <c r="C479">
        <v>0</v>
      </c>
      <c r="D479">
        <v>0</v>
      </c>
      <c r="E479">
        <v>0</v>
      </c>
    </row>
    <row r="480" spans="1:5" x14ac:dyDescent="0.25">
      <c r="A480">
        <v>0</v>
      </c>
      <c r="B480">
        <v>0</v>
      </c>
      <c r="C480">
        <v>0</v>
      </c>
      <c r="D480">
        <v>0</v>
      </c>
      <c r="E480">
        <v>0</v>
      </c>
    </row>
    <row r="481" spans="1:5" x14ac:dyDescent="0.25">
      <c r="A481">
        <v>0</v>
      </c>
      <c r="B481">
        <v>0</v>
      </c>
      <c r="C481">
        <v>0</v>
      </c>
      <c r="D481">
        <v>0</v>
      </c>
      <c r="E481">
        <v>0</v>
      </c>
    </row>
    <row r="482" spans="1:5" x14ac:dyDescent="0.25">
      <c r="A482">
        <v>0</v>
      </c>
      <c r="B482">
        <v>0</v>
      </c>
      <c r="C482">
        <v>0</v>
      </c>
      <c r="D482">
        <v>0</v>
      </c>
      <c r="E482">
        <v>0</v>
      </c>
    </row>
    <row r="483" spans="1:5" x14ac:dyDescent="0.25">
      <c r="A483">
        <v>0</v>
      </c>
      <c r="B483">
        <v>0</v>
      </c>
      <c r="C483">
        <v>0</v>
      </c>
      <c r="D483">
        <v>0</v>
      </c>
      <c r="E483">
        <v>0</v>
      </c>
    </row>
    <row r="484" spans="1:5" x14ac:dyDescent="0.25">
      <c r="A484">
        <v>0</v>
      </c>
      <c r="B484">
        <v>0</v>
      </c>
      <c r="C484">
        <v>0</v>
      </c>
      <c r="D484">
        <v>0</v>
      </c>
      <c r="E484">
        <v>0</v>
      </c>
    </row>
    <row r="485" spans="1:5" x14ac:dyDescent="0.25">
      <c r="A485">
        <v>0</v>
      </c>
      <c r="B485">
        <v>0</v>
      </c>
      <c r="C485">
        <v>0</v>
      </c>
      <c r="D485">
        <v>0</v>
      </c>
      <c r="E485">
        <v>0</v>
      </c>
    </row>
    <row r="486" spans="1:5" x14ac:dyDescent="0.25">
      <c r="A486">
        <v>0</v>
      </c>
      <c r="B486">
        <v>0</v>
      </c>
      <c r="C486">
        <v>0</v>
      </c>
      <c r="D486">
        <v>0</v>
      </c>
      <c r="E486">
        <v>0</v>
      </c>
    </row>
    <row r="487" spans="1:5" x14ac:dyDescent="0.25">
      <c r="A487">
        <v>0</v>
      </c>
      <c r="B487">
        <v>0</v>
      </c>
      <c r="C487">
        <v>0</v>
      </c>
      <c r="D487">
        <v>0</v>
      </c>
      <c r="E487">
        <v>0</v>
      </c>
    </row>
    <row r="488" spans="1:5" x14ac:dyDescent="0.25">
      <c r="A488">
        <v>0</v>
      </c>
      <c r="B488">
        <v>0</v>
      </c>
      <c r="C488">
        <v>0</v>
      </c>
      <c r="D488">
        <v>0</v>
      </c>
      <c r="E488">
        <v>0</v>
      </c>
    </row>
    <row r="489" spans="1:5" x14ac:dyDescent="0.25">
      <c r="A489">
        <v>0</v>
      </c>
      <c r="B489">
        <v>0</v>
      </c>
      <c r="C489">
        <v>0</v>
      </c>
      <c r="D489">
        <v>0</v>
      </c>
      <c r="E489">
        <v>0</v>
      </c>
    </row>
    <row r="490" spans="1:5" x14ac:dyDescent="0.25">
      <c r="A490">
        <v>0</v>
      </c>
      <c r="B490">
        <v>0</v>
      </c>
      <c r="C490">
        <v>0</v>
      </c>
      <c r="D490">
        <v>0</v>
      </c>
      <c r="E490">
        <v>0</v>
      </c>
    </row>
    <row r="491" spans="1:5" x14ac:dyDescent="0.25">
      <c r="A491">
        <v>0</v>
      </c>
      <c r="B491">
        <v>0</v>
      </c>
      <c r="C491">
        <v>0</v>
      </c>
      <c r="D491">
        <v>0</v>
      </c>
      <c r="E491">
        <v>0</v>
      </c>
    </row>
    <row r="492" spans="1:5" x14ac:dyDescent="0.25">
      <c r="A492">
        <v>0</v>
      </c>
      <c r="B492">
        <v>0</v>
      </c>
      <c r="C492">
        <v>0</v>
      </c>
      <c r="D492">
        <v>0</v>
      </c>
      <c r="E492">
        <v>0</v>
      </c>
    </row>
    <row r="493" spans="1:5" x14ac:dyDescent="0.25">
      <c r="A493">
        <v>0</v>
      </c>
      <c r="B493">
        <v>0</v>
      </c>
      <c r="C493">
        <v>0</v>
      </c>
      <c r="D493">
        <v>0</v>
      </c>
      <c r="E493">
        <v>0</v>
      </c>
    </row>
    <row r="494" spans="1:5" x14ac:dyDescent="0.25">
      <c r="A494">
        <v>0</v>
      </c>
      <c r="B494">
        <v>0</v>
      </c>
      <c r="C494">
        <v>0</v>
      </c>
      <c r="D494">
        <v>0</v>
      </c>
      <c r="E494">
        <v>0</v>
      </c>
    </row>
    <row r="495" spans="1:5" x14ac:dyDescent="0.25">
      <c r="A495">
        <v>0</v>
      </c>
      <c r="B495">
        <v>0</v>
      </c>
      <c r="C495">
        <v>0</v>
      </c>
      <c r="D495">
        <v>0</v>
      </c>
      <c r="E495">
        <v>0</v>
      </c>
    </row>
    <row r="496" spans="1:5" x14ac:dyDescent="0.25">
      <c r="A496">
        <v>0</v>
      </c>
      <c r="B496">
        <v>0</v>
      </c>
      <c r="C496">
        <v>0</v>
      </c>
      <c r="D496">
        <v>0</v>
      </c>
      <c r="E496">
        <v>0</v>
      </c>
    </row>
    <row r="497" spans="1:5" x14ac:dyDescent="0.25">
      <c r="A497">
        <v>0</v>
      </c>
      <c r="B497">
        <v>0</v>
      </c>
      <c r="C497">
        <v>0</v>
      </c>
      <c r="D497">
        <v>0</v>
      </c>
      <c r="E497">
        <v>0</v>
      </c>
    </row>
    <row r="498" spans="1:5" x14ac:dyDescent="0.25">
      <c r="A498">
        <v>0</v>
      </c>
      <c r="B498">
        <v>0</v>
      </c>
      <c r="C498">
        <v>0</v>
      </c>
      <c r="D498">
        <v>0</v>
      </c>
      <c r="E498">
        <v>0</v>
      </c>
    </row>
    <row r="499" spans="1:5" x14ac:dyDescent="0.25">
      <c r="A499">
        <v>0</v>
      </c>
      <c r="B499">
        <v>0</v>
      </c>
      <c r="C499">
        <v>0</v>
      </c>
      <c r="D499">
        <v>0</v>
      </c>
      <c r="E499">
        <v>0</v>
      </c>
    </row>
    <row r="500" spans="1:5" x14ac:dyDescent="0.25">
      <c r="A500">
        <v>0</v>
      </c>
      <c r="B500">
        <v>0</v>
      </c>
      <c r="C500">
        <v>0</v>
      </c>
      <c r="D500">
        <v>0</v>
      </c>
      <c r="E5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500"/>
  <sheetViews>
    <sheetView zoomScale="130" zoomScaleNormal="130" workbookViewId="0">
      <selection activeCell="B13" sqref="A1:E500"/>
    </sheetView>
  </sheetViews>
  <sheetFormatPr defaultColWidth="9.140625" defaultRowHeight="15" x14ac:dyDescent="0.25"/>
  <cols>
    <col min="1" max="2" width="46.7109375" style="37" bestFit="1" customWidth="1"/>
    <col min="3" max="3" width="7" style="37" bestFit="1" customWidth="1"/>
    <col min="4" max="4" width="12.42578125" style="37" bestFit="1" customWidth="1"/>
    <col min="5" max="5" width="7" style="37" bestFit="1" customWidth="1"/>
    <col min="6" max="11" width="9.140625" style="37" customWidth="1"/>
    <col min="12" max="16384" width="9.140625" style="37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6</v>
      </c>
      <c r="C2">
        <v>0</v>
      </c>
      <c r="D2">
        <v>0</v>
      </c>
      <c r="E2">
        <v>0</v>
      </c>
    </row>
    <row r="3" spans="1:5" x14ac:dyDescent="0.25">
      <c r="A3" t="s">
        <v>8</v>
      </c>
      <c r="B3" t="s">
        <v>8</v>
      </c>
      <c r="C3">
        <v>0</v>
      </c>
      <c r="D3">
        <v>0</v>
      </c>
      <c r="E3">
        <v>0</v>
      </c>
    </row>
    <row r="4" spans="1:5" x14ac:dyDescent="0.25">
      <c r="A4" t="s">
        <v>10</v>
      </c>
      <c r="B4" t="s">
        <v>10</v>
      </c>
      <c r="C4" t="s">
        <v>11</v>
      </c>
      <c r="D4">
        <v>0</v>
      </c>
      <c r="E4">
        <v>0</v>
      </c>
    </row>
    <row r="5" spans="1:5" x14ac:dyDescent="0.25">
      <c r="A5" t="s">
        <v>13</v>
      </c>
      <c r="B5" t="s">
        <v>14</v>
      </c>
      <c r="C5" t="s">
        <v>15</v>
      </c>
      <c r="D5">
        <v>0</v>
      </c>
      <c r="E5">
        <v>0</v>
      </c>
    </row>
    <row r="6" spans="1:5" x14ac:dyDescent="0.25">
      <c r="A6" t="s">
        <v>17</v>
      </c>
      <c r="B6" t="s">
        <v>14</v>
      </c>
      <c r="C6" t="s">
        <v>15</v>
      </c>
      <c r="D6">
        <v>0</v>
      </c>
      <c r="E6">
        <v>0</v>
      </c>
    </row>
    <row r="7" spans="1:5" x14ac:dyDescent="0.25">
      <c r="A7" t="s">
        <v>19</v>
      </c>
      <c r="B7" t="s">
        <v>14</v>
      </c>
      <c r="C7" t="s">
        <v>15</v>
      </c>
      <c r="D7">
        <v>0</v>
      </c>
      <c r="E7">
        <v>0</v>
      </c>
    </row>
    <row r="8" spans="1:5" x14ac:dyDescent="0.25">
      <c r="A8" t="s">
        <v>7</v>
      </c>
      <c r="B8" t="s">
        <v>7</v>
      </c>
      <c r="C8" t="s">
        <v>21</v>
      </c>
      <c r="D8">
        <v>0</v>
      </c>
      <c r="E8">
        <v>0</v>
      </c>
    </row>
    <row r="9" spans="1:5" x14ac:dyDescent="0.25">
      <c r="A9" t="s">
        <v>23</v>
      </c>
      <c r="B9" t="s">
        <v>24</v>
      </c>
      <c r="C9">
        <v>0</v>
      </c>
      <c r="D9">
        <v>0</v>
      </c>
      <c r="E9">
        <v>0</v>
      </c>
    </row>
    <row r="10" spans="1:5" x14ac:dyDescent="0.25">
      <c r="A10" t="s">
        <v>26</v>
      </c>
      <c r="B10" t="s">
        <v>24</v>
      </c>
      <c r="C10">
        <v>0</v>
      </c>
      <c r="D10">
        <v>0</v>
      </c>
      <c r="E10">
        <v>0</v>
      </c>
    </row>
    <row r="11" spans="1:5" x14ac:dyDescent="0.25">
      <c r="A11" t="s">
        <v>28</v>
      </c>
      <c r="B11" t="s">
        <v>24</v>
      </c>
      <c r="C11" s="36" t="s">
        <v>142</v>
      </c>
      <c r="D11" s="36">
        <v>0</v>
      </c>
      <c r="E11" s="36">
        <v>0</v>
      </c>
    </row>
    <row r="12" spans="1:5" x14ac:dyDescent="0.25">
      <c r="A12" t="s">
        <v>30</v>
      </c>
      <c r="B12" t="s">
        <v>31</v>
      </c>
      <c r="C12" s="36" t="s">
        <v>142</v>
      </c>
      <c r="D12" s="36">
        <v>0</v>
      </c>
      <c r="E12" s="36">
        <v>0</v>
      </c>
    </row>
    <row r="13" spans="1:5" x14ac:dyDescent="0.25">
      <c r="A13" t="s">
        <v>33</v>
      </c>
      <c r="B13" t="s">
        <v>31</v>
      </c>
      <c r="C13" s="36" t="s">
        <v>142</v>
      </c>
      <c r="D13" s="36">
        <v>0</v>
      </c>
      <c r="E13" s="36">
        <v>0</v>
      </c>
    </row>
    <row r="14" spans="1:5" x14ac:dyDescent="0.25">
      <c r="A14" t="s">
        <v>9</v>
      </c>
      <c r="B14" t="s">
        <v>12</v>
      </c>
      <c r="C14" t="s">
        <v>35</v>
      </c>
      <c r="D14">
        <v>0</v>
      </c>
      <c r="E14">
        <v>0</v>
      </c>
    </row>
    <row r="15" spans="1:5" x14ac:dyDescent="0.25">
      <c r="A15" t="s">
        <v>12</v>
      </c>
      <c r="B15" t="s">
        <v>12</v>
      </c>
      <c r="C15" t="s">
        <v>35</v>
      </c>
      <c r="D15">
        <v>0</v>
      </c>
      <c r="E15">
        <v>0</v>
      </c>
    </row>
    <row r="16" spans="1:5" x14ac:dyDescent="0.25">
      <c r="A16" t="s">
        <v>38</v>
      </c>
      <c r="B16" t="s">
        <v>38</v>
      </c>
      <c r="C16">
        <v>0</v>
      </c>
      <c r="D16">
        <v>0</v>
      </c>
      <c r="E16">
        <v>0</v>
      </c>
    </row>
    <row r="17" spans="1:5" x14ac:dyDescent="0.25">
      <c r="A17" t="s">
        <v>40</v>
      </c>
      <c r="B17" t="s">
        <v>40</v>
      </c>
      <c r="C17">
        <v>0</v>
      </c>
      <c r="D17">
        <v>0</v>
      </c>
      <c r="E17">
        <v>0</v>
      </c>
    </row>
    <row r="18" spans="1:5" x14ac:dyDescent="0.25">
      <c r="A18" t="s">
        <v>16</v>
      </c>
      <c r="B18" t="s">
        <v>16</v>
      </c>
      <c r="C18" t="s">
        <v>42</v>
      </c>
      <c r="D18">
        <v>0</v>
      </c>
      <c r="E18">
        <v>0</v>
      </c>
    </row>
    <row r="19" spans="1:5" x14ac:dyDescent="0.25">
      <c r="A19" t="s">
        <v>44</v>
      </c>
      <c r="B19" t="s">
        <v>40</v>
      </c>
      <c r="C19">
        <v>0</v>
      </c>
      <c r="D19">
        <v>0</v>
      </c>
      <c r="E19">
        <v>0</v>
      </c>
    </row>
    <row r="20" spans="1:5" x14ac:dyDescent="0.25">
      <c r="A20" t="s">
        <v>46</v>
      </c>
      <c r="B20" t="s">
        <v>40</v>
      </c>
      <c r="C20">
        <v>0</v>
      </c>
      <c r="D20">
        <v>0</v>
      </c>
      <c r="E20">
        <v>0</v>
      </c>
    </row>
    <row r="21" spans="1:5" x14ac:dyDescent="0.25">
      <c r="A21" t="s">
        <v>48</v>
      </c>
      <c r="B21" t="s">
        <v>40</v>
      </c>
      <c r="C21">
        <v>0</v>
      </c>
      <c r="D21">
        <v>0</v>
      </c>
      <c r="E21">
        <v>0</v>
      </c>
    </row>
    <row r="22" spans="1:5" x14ac:dyDescent="0.25">
      <c r="A22" t="s">
        <v>49</v>
      </c>
      <c r="B22" t="s">
        <v>50</v>
      </c>
      <c r="C22" s="36" t="s">
        <v>143</v>
      </c>
      <c r="D22" s="36">
        <v>0</v>
      </c>
      <c r="E22" s="36">
        <v>0</v>
      </c>
    </row>
    <row r="23" spans="1:5" x14ac:dyDescent="0.25">
      <c r="A23" t="s">
        <v>51</v>
      </c>
      <c r="B23" t="s">
        <v>52</v>
      </c>
      <c r="C23">
        <v>0</v>
      </c>
      <c r="D23">
        <v>0</v>
      </c>
      <c r="E23">
        <v>0</v>
      </c>
    </row>
    <row r="24" spans="1:5" x14ac:dyDescent="0.25">
      <c r="A24" t="s">
        <v>53</v>
      </c>
      <c r="B24" t="s">
        <v>54</v>
      </c>
      <c r="C24">
        <v>0</v>
      </c>
      <c r="D24">
        <v>0</v>
      </c>
      <c r="E24">
        <v>0</v>
      </c>
    </row>
    <row r="25" spans="1:5" x14ac:dyDescent="0.25">
      <c r="A25" t="s">
        <v>55</v>
      </c>
      <c r="B25" t="s">
        <v>56</v>
      </c>
      <c r="C25">
        <v>0</v>
      </c>
      <c r="D25">
        <v>0</v>
      </c>
      <c r="E25">
        <v>0</v>
      </c>
    </row>
    <row r="26" spans="1:5" x14ac:dyDescent="0.25">
      <c r="A26" t="s">
        <v>57</v>
      </c>
      <c r="B26" t="s">
        <v>58</v>
      </c>
      <c r="C26" t="s">
        <v>59</v>
      </c>
      <c r="D26">
        <v>0</v>
      </c>
      <c r="E26">
        <v>0</v>
      </c>
    </row>
    <row r="27" spans="1:5" x14ac:dyDescent="0.25">
      <c r="A27" t="s">
        <v>60</v>
      </c>
      <c r="B27" t="s">
        <v>58</v>
      </c>
      <c r="C27" t="s">
        <v>59</v>
      </c>
      <c r="D27">
        <v>0</v>
      </c>
      <c r="E27">
        <v>0</v>
      </c>
    </row>
    <row r="28" spans="1:5" x14ac:dyDescent="0.25">
      <c r="A28" t="s">
        <v>61</v>
      </c>
      <c r="B28" t="s">
        <v>58</v>
      </c>
      <c r="C28" t="s">
        <v>59</v>
      </c>
      <c r="D28">
        <v>0</v>
      </c>
      <c r="E28">
        <v>0</v>
      </c>
    </row>
    <row r="29" spans="1:5" x14ac:dyDescent="0.25">
      <c r="A29" t="s">
        <v>62</v>
      </c>
      <c r="B29" t="s">
        <v>62</v>
      </c>
      <c r="C29">
        <v>0</v>
      </c>
      <c r="D29">
        <v>0</v>
      </c>
      <c r="E29">
        <v>0</v>
      </c>
    </row>
    <row r="30" spans="1:5" x14ac:dyDescent="0.25">
      <c r="A30" t="s">
        <v>63</v>
      </c>
      <c r="B30" t="s">
        <v>63</v>
      </c>
      <c r="C30">
        <v>0</v>
      </c>
      <c r="D30">
        <v>0</v>
      </c>
      <c r="E30">
        <v>0</v>
      </c>
    </row>
    <row r="31" spans="1:5" x14ac:dyDescent="0.25">
      <c r="A31" t="s">
        <v>18</v>
      </c>
      <c r="B31" t="s">
        <v>18</v>
      </c>
      <c r="C31" t="s">
        <v>64</v>
      </c>
      <c r="D31">
        <v>0</v>
      </c>
      <c r="E31">
        <v>0</v>
      </c>
    </row>
    <row r="32" spans="1:5" x14ac:dyDescent="0.25">
      <c r="A32" t="s">
        <v>20</v>
      </c>
      <c r="B32" t="s">
        <v>18</v>
      </c>
      <c r="C32" t="s">
        <v>64</v>
      </c>
      <c r="D32">
        <v>0</v>
      </c>
      <c r="E32">
        <v>0</v>
      </c>
    </row>
    <row r="33" spans="1:5" x14ac:dyDescent="0.25">
      <c r="A33" t="s">
        <v>22</v>
      </c>
      <c r="B33" t="s">
        <v>22</v>
      </c>
      <c r="C33" t="s">
        <v>65</v>
      </c>
      <c r="D33">
        <v>0</v>
      </c>
      <c r="E33">
        <v>0</v>
      </c>
    </row>
    <row r="34" spans="1:5" x14ac:dyDescent="0.25">
      <c r="A34" t="s">
        <v>25</v>
      </c>
      <c r="B34" t="s">
        <v>22</v>
      </c>
      <c r="C34" t="s">
        <v>65</v>
      </c>
      <c r="D34">
        <v>0</v>
      </c>
      <c r="E34">
        <v>0</v>
      </c>
    </row>
    <row r="35" spans="1:5" x14ac:dyDescent="0.25">
      <c r="A35" t="s">
        <v>27</v>
      </c>
      <c r="B35" t="s">
        <v>27</v>
      </c>
      <c r="C35" t="s">
        <v>66</v>
      </c>
      <c r="D35">
        <v>0</v>
      </c>
      <c r="E35">
        <v>0</v>
      </c>
    </row>
    <row r="36" spans="1:5" x14ac:dyDescent="0.25">
      <c r="A36" t="s">
        <v>29</v>
      </c>
      <c r="B36" t="s">
        <v>29</v>
      </c>
      <c r="C36" t="s">
        <v>67</v>
      </c>
      <c r="D36">
        <v>0</v>
      </c>
      <c r="E36">
        <v>0</v>
      </c>
    </row>
    <row r="37" spans="1:5" x14ac:dyDescent="0.25">
      <c r="A37" t="s">
        <v>68</v>
      </c>
      <c r="B37" t="s">
        <v>69</v>
      </c>
      <c r="C37">
        <v>0</v>
      </c>
      <c r="D37">
        <v>0</v>
      </c>
      <c r="E37">
        <v>0</v>
      </c>
    </row>
    <row r="38" spans="1:5" x14ac:dyDescent="0.25">
      <c r="A38" t="s">
        <v>70</v>
      </c>
      <c r="B38" t="s">
        <v>70</v>
      </c>
      <c r="C38">
        <v>0</v>
      </c>
      <c r="D38">
        <v>0</v>
      </c>
      <c r="E38">
        <v>0</v>
      </c>
    </row>
    <row r="39" spans="1:5" x14ac:dyDescent="0.25">
      <c r="A39" t="s">
        <v>71</v>
      </c>
      <c r="B39" t="s">
        <v>71</v>
      </c>
      <c r="C39">
        <v>0</v>
      </c>
      <c r="D39">
        <v>0</v>
      </c>
      <c r="E39">
        <v>0</v>
      </c>
    </row>
    <row r="40" spans="1:5" x14ac:dyDescent="0.25">
      <c r="A40" t="s">
        <v>69</v>
      </c>
      <c r="B40" t="s">
        <v>69</v>
      </c>
      <c r="C40" t="s">
        <v>72</v>
      </c>
      <c r="D40" t="s">
        <v>73</v>
      </c>
      <c r="E40" t="s">
        <v>74</v>
      </c>
    </row>
    <row r="41" spans="1:5" x14ac:dyDescent="0.25">
      <c r="A41" t="s">
        <v>56</v>
      </c>
      <c r="B41" t="s">
        <v>56</v>
      </c>
      <c r="C41">
        <v>0</v>
      </c>
      <c r="D41">
        <v>0</v>
      </c>
      <c r="E41">
        <v>0</v>
      </c>
    </row>
    <row r="42" spans="1:5" x14ac:dyDescent="0.25">
      <c r="A42" t="s">
        <v>32</v>
      </c>
      <c r="B42" t="s">
        <v>32</v>
      </c>
      <c r="C42" t="s">
        <v>75</v>
      </c>
      <c r="D42">
        <v>0</v>
      </c>
      <c r="E42">
        <v>0</v>
      </c>
    </row>
    <row r="43" spans="1:5" x14ac:dyDescent="0.25">
      <c r="A43" t="s">
        <v>34</v>
      </c>
      <c r="B43" t="s">
        <v>34</v>
      </c>
      <c r="C43" t="s">
        <v>76</v>
      </c>
      <c r="D43">
        <v>0</v>
      </c>
      <c r="E43">
        <v>0</v>
      </c>
    </row>
    <row r="44" spans="1:5" x14ac:dyDescent="0.25">
      <c r="A44" t="s">
        <v>36</v>
      </c>
      <c r="B44" t="s">
        <v>36</v>
      </c>
      <c r="C44" t="s">
        <v>77</v>
      </c>
      <c r="D44">
        <v>0</v>
      </c>
      <c r="E44">
        <v>0</v>
      </c>
    </row>
    <row r="45" spans="1:5" x14ac:dyDescent="0.25">
      <c r="A45" t="s">
        <v>37</v>
      </c>
      <c r="B45" t="s">
        <v>37</v>
      </c>
      <c r="C45">
        <v>0</v>
      </c>
      <c r="D45">
        <v>0</v>
      </c>
      <c r="E45">
        <v>0</v>
      </c>
    </row>
    <row r="46" spans="1:5" x14ac:dyDescent="0.25">
      <c r="A46" t="s">
        <v>78</v>
      </c>
      <c r="B46" t="s">
        <v>78</v>
      </c>
      <c r="C46">
        <v>0</v>
      </c>
      <c r="D46">
        <v>0</v>
      </c>
      <c r="E46">
        <v>0</v>
      </c>
    </row>
    <row r="47" spans="1:5" x14ac:dyDescent="0.25">
      <c r="A47" t="s">
        <v>79</v>
      </c>
      <c r="B47" t="s">
        <v>79</v>
      </c>
      <c r="C47">
        <v>0</v>
      </c>
      <c r="D47">
        <v>0</v>
      </c>
      <c r="E47">
        <v>0</v>
      </c>
    </row>
    <row r="48" spans="1:5" x14ac:dyDescent="0.25">
      <c r="A48" t="s">
        <v>80</v>
      </c>
      <c r="B48" t="s">
        <v>80</v>
      </c>
      <c r="C48">
        <v>0</v>
      </c>
      <c r="D48">
        <v>0</v>
      </c>
      <c r="E48">
        <v>0</v>
      </c>
    </row>
    <row r="49" spans="1:5" x14ac:dyDescent="0.25">
      <c r="A49" t="s">
        <v>81</v>
      </c>
      <c r="B49" t="s">
        <v>54</v>
      </c>
      <c r="C49">
        <v>0</v>
      </c>
      <c r="D49">
        <v>0</v>
      </c>
      <c r="E49">
        <v>0</v>
      </c>
    </row>
    <row r="50" spans="1:5" x14ac:dyDescent="0.25">
      <c r="A50" t="s">
        <v>54</v>
      </c>
      <c r="B50" t="s">
        <v>54</v>
      </c>
      <c r="C50">
        <v>0</v>
      </c>
      <c r="D50">
        <v>0</v>
      </c>
      <c r="E50">
        <v>0</v>
      </c>
    </row>
    <row r="51" spans="1:5" x14ac:dyDescent="0.25">
      <c r="A51" t="s">
        <v>82</v>
      </c>
      <c r="B51" t="s">
        <v>82</v>
      </c>
      <c r="C51">
        <v>0</v>
      </c>
      <c r="D51">
        <v>0</v>
      </c>
      <c r="E51">
        <v>0</v>
      </c>
    </row>
    <row r="52" spans="1:5" x14ac:dyDescent="0.25">
      <c r="A52" t="s">
        <v>83</v>
      </c>
      <c r="B52" t="s">
        <v>84</v>
      </c>
      <c r="C52">
        <v>0</v>
      </c>
      <c r="D52">
        <v>0</v>
      </c>
      <c r="E52">
        <v>0</v>
      </c>
    </row>
    <row r="53" spans="1:5" x14ac:dyDescent="0.25">
      <c r="A53" t="s">
        <v>84</v>
      </c>
      <c r="B53" t="s">
        <v>84</v>
      </c>
      <c r="C53">
        <v>0</v>
      </c>
      <c r="D53">
        <v>0</v>
      </c>
      <c r="E53">
        <v>0</v>
      </c>
    </row>
    <row r="54" spans="1:5" x14ac:dyDescent="0.25">
      <c r="A54" t="s">
        <v>85</v>
      </c>
      <c r="B54" t="s">
        <v>58</v>
      </c>
      <c r="C54" t="s">
        <v>59</v>
      </c>
      <c r="D54">
        <v>0</v>
      </c>
      <c r="E54">
        <v>0</v>
      </c>
    </row>
    <row r="55" spans="1:5" x14ac:dyDescent="0.25">
      <c r="A55" t="s">
        <v>86</v>
      </c>
      <c r="B55" t="s">
        <v>58</v>
      </c>
      <c r="C55" t="s">
        <v>59</v>
      </c>
      <c r="D55">
        <v>0</v>
      </c>
      <c r="E55">
        <v>0</v>
      </c>
    </row>
    <row r="56" spans="1:5" x14ac:dyDescent="0.25">
      <c r="A56" t="s">
        <v>87</v>
      </c>
      <c r="B56" t="s">
        <v>58</v>
      </c>
      <c r="C56" t="s">
        <v>59</v>
      </c>
      <c r="D56">
        <v>0</v>
      </c>
      <c r="E56">
        <v>0</v>
      </c>
    </row>
    <row r="57" spans="1:5" x14ac:dyDescent="0.25">
      <c r="A57" t="s">
        <v>88</v>
      </c>
      <c r="B57" t="s">
        <v>88</v>
      </c>
      <c r="C57">
        <v>0</v>
      </c>
      <c r="D57">
        <v>0</v>
      </c>
      <c r="E57">
        <v>0</v>
      </c>
    </row>
    <row r="58" spans="1:5" x14ac:dyDescent="0.25">
      <c r="A58" t="s">
        <v>89</v>
      </c>
      <c r="B58" t="s">
        <v>89</v>
      </c>
      <c r="C58">
        <v>0</v>
      </c>
      <c r="D58">
        <v>0</v>
      </c>
      <c r="E58">
        <v>0</v>
      </c>
    </row>
    <row r="59" spans="1:5" x14ac:dyDescent="0.25">
      <c r="A59" t="s">
        <v>90</v>
      </c>
      <c r="B59" t="s">
        <v>90</v>
      </c>
      <c r="C59">
        <v>0</v>
      </c>
      <c r="D59">
        <v>0</v>
      </c>
      <c r="E59">
        <v>0</v>
      </c>
    </row>
    <row r="60" spans="1:5" x14ac:dyDescent="0.25">
      <c r="A60" t="s">
        <v>91</v>
      </c>
      <c r="B60" t="s">
        <v>91</v>
      </c>
      <c r="C60">
        <v>0</v>
      </c>
      <c r="D60">
        <v>0</v>
      </c>
      <c r="E60">
        <v>0</v>
      </c>
    </row>
    <row r="61" spans="1:5" x14ac:dyDescent="0.25">
      <c r="A61" t="s">
        <v>92</v>
      </c>
      <c r="B61" t="s">
        <v>92</v>
      </c>
      <c r="C61">
        <v>0</v>
      </c>
      <c r="D61">
        <v>0</v>
      </c>
      <c r="E61">
        <v>0</v>
      </c>
    </row>
    <row r="62" spans="1:5" x14ac:dyDescent="0.25">
      <c r="A62" t="s">
        <v>93</v>
      </c>
      <c r="B62" t="s">
        <v>93</v>
      </c>
      <c r="C62">
        <v>0</v>
      </c>
      <c r="D62">
        <v>0</v>
      </c>
      <c r="E62">
        <v>0</v>
      </c>
    </row>
    <row r="63" spans="1:5" x14ac:dyDescent="0.25">
      <c r="A63" t="s">
        <v>47</v>
      </c>
      <c r="B63" t="s">
        <v>47</v>
      </c>
      <c r="C63" t="s">
        <v>94</v>
      </c>
      <c r="D63">
        <v>0</v>
      </c>
      <c r="E63">
        <v>0</v>
      </c>
    </row>
    <row r="64" spans="1:5" x14ac:dyDescent="0.25">
      <c r="A64" t="s">
        <v>95</v>
      </c>
      <c r="B64" t="s">
        <v>96</v>
      </c>
      <c r="C64">
        <v>0</v>
      </c>
      <c r="D64">
        <v>0</v>
      </c>
      <c r="E64">
        <v>0</v>
      </c>
    </row>
    <row r="65" spans="1:5" x14ac:dyDescent="0.25">
      <c r="A65" t="s">
        <v>97</v>
      </c>
      <c r="B65" t="s">
        <v>96</v>
      </c>
      <c r="C65">
        <v>0</v>
      </c>
      <c r="D65">
        <v>0</v>
      </c>
      <c r="E65">
        <v>0</v>
      </c>
    </row>
    <row r="66" spans="1:5" x14ac:dyDescent="0.25">
      <c r="A66" t="s">
        <v>98</v>
      </c>
      <c r="B66" t="s">
        <v>98</v>
      </c>
      <c r="C66">
        <v>0</v>
      </c>
      <c r="D66">
        <v>0</v>
      </c>
      <c r="E66">
        <v>0</v>
      </c>
    </row>
    <row r="67" spans="1:5" x14ac:dyDescent="0.25">
      <c r="A67" t="s">
        <v>99</v>
      </c>
      <c r="B67" t="s">
        <v>96</v>
      </c>
      <c r="C67">
        <v>0</v>
      </c>
      <c r="D67">
        <v>0</v>
      </c>
      <c r="E67">
        <v>0</v>
      </c>
    </row>
    <row r="68" spans="1:5" x14ac:dyDescent="0.25">
      <c r="A68" t="s">
        <v>100</v>
      </c>
      <c r="B68" t="s">
        <v>100</v>
      </c>
      <c r="C68">
        <v>0</v>
      </c>
      <c r="D68">
        <v>0</v>
      </c>
      <c r="E68">
        <v>0</v>
      </c>
    </row>
    <row r="69" spans="1:5" x14ac:dyDescent="0.25">
      <c r="A69" t="s">
        <v>101</v>
      </c>
      <c r="B69" t="s">
        <v>101</v>
      </c>
      <c r="C69">
        <v>0</v>
      </c>
      <c r="D69">
        <v>0</v>
      </c>
      <c r="E69">
        <v>0</v>
      </c>
    </row>
    <row r="70" spans="1:5" x14ac:dyDescent="0.25">
      <c r="A70" t="s">
        <v>102</v>
      </c>
      <c r="B70" t="s">
        <v>103</v>
      </c>
      <c r="C70" t="s">
        <v>104</v>
      </c>
      <c r="D70">
        <v>0</v>
      </c>
      <c r="E70">
        <v>0</v>
      </c>
    </row>
    <row r="71" spans="1:5" x14ac:dyDescent="0.25">
      <c r="A71" t="s">
        <v>105</v>
      </c>
      <c r="B71" t="s">
        <v>103</v>
      </c>
      <c r="C71" t="s">
        <v>104</v>
      </c>
      <c r="D71">
        <v>0</v>
      </c>
      <c r="E71">
        <v>0</v>
      </c>
    </row>
    <row r="72" spans="1:5" x14ac:dyDescent="0.25">
      <c r="A72" t="s">
        <v>106</v>
      </c>
      <c r="B72" t="s">
        <v>103</v>
      </c>
      <c r="C72" t="s">
        <v>104</v>
      </c>
      <c r="D72">
        <v>0</v>
      </c>
      <c r="E72">
        <v>0</v>
      </c>
    </row>
    <row r="73" spans="1:5" x14ac:dyDescent="0.25">
      <c r="A73" t="s">
        <v>107</v>
      </c>
      <c r="B73" t="s">
        <v>107</v>
      </c>
      <c r="C73" t="s">
        <v>108</v>
      </c>
      <c r="D73">
        <v>0</v>
      </c>
      <c r="E73">
        <v>0</v>
      </c>
    </row>
    <row r="74" spans="1:5" x14ac:dyDescent="0.25">
      <c r="A74" t="s">
        <v>109</v>
      </c>
      <c r="B74" t="s">
        <v>107</v>
      </c>
      <c r="C74" t="s">
        <v>108</v>
      </c>
      <c r="D74">
        <v>0</v>
      </c>
      <c r="E74">
        <v>0</v>
      </c>
    </row>
    <row r="75" spans="1:5" x14ac:dyDescent="0.25">
      <c r="A75" t="s">
        <v>110</v>
      </c>
      <c r="B75" t="s">
        <v>110</v>
      </c>
      <c r="C75">
        <v>0</v>
      </c>
      <c r="D75">
        <v>0</v>
      </c>
      <c r="E75">
        <v>0</v>
      </c>
    </row>
    <row r="76" spans="1:5" x14ac:dyDescent="0.25">
      <c r="A76" t="s">
        <v>111</v>
      </c>
      <c r="B76" t="s">
        <v>111</v>
      </c>
      <c r="C76">
        <v>0</v>
      </c>
      <c r="D76">
        <v>0</v>
      </c>
      <c r="E76">
        <v>0</v>
      </c>
    </row>
    <row r="77" spans="1:5" x14ac:dyDescent="0.25">
      <c r="A77" t="s">
        <v>112</v>
      </c>
      <c r="B77" t="s">
        <v>112</v>
      </c>
      <c r="C77">
        <v>0</v>
      </c>
      <c r="D77">
        <v>0</v>
      </c>
      <c r="E77">
        <v>0</v>
      </c>
    </row>
    <row r="78" spans="1:5" x14ac:dyDescent="0.25">
      <c r="A78" t="s">
        <v>113</v>
      </c>
      <c r="B78" t="s">
        <v>112</v>
      </c>
      <c r="C78">
        <v>0</v>
      </c>
      <c r="D78">
        <v>0</v>
      </c>
      <c r="E78">
        <v>0</v>
      </c>
    </row>
    <row r="79" spans="1:5" x14ac:dyDescent="0.25">
      <c r="A79" t="s">
        <v>39</v>
      </c>
      <c r="B79" t="s">
        <v>39</v>
      </c>
      <c r="C79" t="s">
        <v>114</v>
      </c>
      <c r="D79">
        <v>0</v>
      </c>
      <c r="E79">
        <v>0</v>
      </c>
    </row>
    <row r="80" spans="1:5" x14ac:dyDescent="0.25">
      <c r="A80" t="s">
        <v>115</v>
      </c>
      <c r="B80" t="s">
        <v>115</v>
      </c>
      <c r="C80">
        <v>0</v>
      </c>
      <c r="D80">
        <v>0</v>
      </c>
      <c r="E80">
        <v>0</v>
      </c>
    </row>
    <row r="81" spans="1:5" x14ac:dyDescent="0.25">
      <c r="A81" t="s">
        <v>116</v>
      </c>
      <c r="B81" t="s">
        <v>116</v>
      </c>
      <c r="C81">
        <v>0</v>
      </c>
      <c r="D81">
        <v>0</v>
      </c>
      <c r="E81">
        <v>0</v>
      </c>
    </row>
    <row r="82" spans="1:5" x14ac:dyDescent="0.25">
      <c r="A82" t="s">
        <v>117</v>
      </c>
      <c r="B82" t="s">
        <v>118</v>
      </c>
      <c r="C82" t="s">
        <v>119</v>
      </c>
      <c r="D82">
        <v>0</v>
      </c>
      <c r="E82">
        <v>0</v>
      </c>
    </row>
    <row r="83" spans="1:5" x14ac:dyDescent="0.25">
      <c r="A83" t="s">
        <v>120</v>
      </c>
      <c r="B83" t="s">
        <v>120</v>
      </c>
      <c r="C83">
        <v>0</v>
      </c>
      <c r="D83">
        <v>0</v>
      </c>
      <c r="E83">
        <v>0</v>
      </c>
    </row>
    <row r="84" spans="1:5" x14ac:dyDescent="0.25">
      <c r="A84" t="s">
        <v>121</v>
      </c>
      <c r="B84" t="s">
        <v>121</v>
      </c>
      <c r="C84">
        <v>0</v>
      </c>
      <c r="D84">
        <v>0</v>
      </c>
      <c r="E84">
        <v>0</v>
      </c>
    </row>
    <row r="85" spans="1:5" x14ac:dyDescent="0.25">
      <c r="A85" t="s">
        <v>122</v>
      </c>
      <c r="B85" t="s">
        <v>118</v>
      </c>
      <c r="C85" t="s">
        <v>72</v>
      </c>
      <c r="D85" t="s">
        <v>123</v>
      </c>
      <c r="E85" t="s">
        <v>124</v>
      </c>
    </row>
    <row r="86" spans="1:5" x14ac:dyDescent="0.25">
      <c r="A86" t="s">
        <v>125</v>
      </c>
      <c r="B86" t="s">
        <v>118</v>
      </c>
      <c r="C86" t="s">
        <v>72</v>
      </c>
      <c r="D86" t="s">
        <v>123</v>
      </c>
      <c r="E86" t="s">
        <v>124</v>
      </c>
    </row>
    <row r="87" spans="1:5" x14ac:dyDescent="0.25">
      <c r="A87" t="s">
        <v>126</v>
      </c>
      <c r="B87" t="s">
        <v>126</v>
      </c>
      <c r="C87">
        <v>0</v>
      </c>
      <c r="D87">
        <v>0</v>
      </c>
      <c r="E87">
        <v>0</v>
      </c>
    </row>
    <row r="88" spans="1:5" x14ac:dyDescent="0.25">
      <c r="A88" t="s">
        <v>127</v>
      </c>
      <c r="B88" t="s">
        <v>128</v>
      </c>
      <c r="C88" s="36" t="s">
        <v>144</v>
      </c>
      <c r="D88" s="36">
        <v>0</v>
      </c>
      <c r="E88" s="36">
        <v>0</v>
      </c>
    </row>
    <row r="89" spans="1:5" x14ac:dyDescent="0.25">
      <c r="A89" t="s">
        <v>129</v>
      </c>
      <c r="B89" t="s">
        <v>128</v>
      </c>
      <c r="C89" s="36" t="s">
        <v>144</v>
      </c>
      <c r="D89" s="36">
        <v>0</v>
      </c>
      <c r="E89" s="36">
        <v>0</v>
      </c>
    </row>
    <row r="90" spans="1:5" x14ac:dyDescent="0.25">
      <c r="A90" t="s">
        <v>41</v>
      </c>
      <c r="B90" t="s">
        <v>41</v>
      </c>
      <c r="C90" t="s">
        <v>130</v>
      </c>
      <c r="D90">
        <v>0</v>
      </c>
      <c r="E90">
        <v>0</v>
      </c>
    </row>
    <row r="91" spans="1:5" x14ac:dyDescent="0.25">
      <c r="A91" t="s">
        <v>43</v>
      </c>
      <c r="B91" t="s">
        <v>131</v>
      </c>
      <c r="C91" t="s">
        <v>132</v>
      </c>
      <c r="D91" t="s">
        <v>133</v>
      </c>
      <c r="E91" t="s">
        <v>134</v>
      </c>
    </row>
    <row r="92" spans="1:5" x14ac:dyDescent="0.25">
      <c r="A92" t="s">
        <v>135</v>
      </c>
      <c r="B92" t="s">
        <v>135</v>
      </c>
      <c r="C92" t="s">
        <v>136</v>
      </c>
      <c r="D92" t="s">
        <v>137</v>
      </c>
      <c r="E92">
        <v>0</v>
      </c>
    </row>
    <row r="93" spans="1:5" x14ac:dyDescent="0.25">
      <c r="A93" t="s">
        <v>138</v>
      </c>
      <c r="B93" t="s">
        <v>135</v>
      </c>
      <c r="C93" t="s">
        <v>136</v>
      </c>
      <c r="D93" t="s">
        <v>137</v>
      </c>
      <c r="E93">
        <v>0</v>
      </c>
    </row>
    <row r="94" spans="1:5" x14ac:dyDescent="0.25">
      <c r="A94" t="s">
        <v>45</v>
      </c>
      <c r="B94" t="s">
        <v>45</v>
      </c>
      <c r="C94" t="s">
        <v>139</v>
      </c>
      <c r="D94">
        <v>0</v>
      </c>
      <c r="E94">
        <v>0</v>
      </c>
    </row>
    <row r="95" spans="1:5" x14ac:dyDescent="0.25">
      <c r="A95" t="s">
        <v>140</v>
      </c>
      <c r="B95" t="s">
        <v>140</v>
      </c>
      <c r="C95">
        <v>0</v>
      </c>
      <c r="D95">
        <v>0</v>
      </c>
      <c r="E95">
        <v>0</v>
      </c>
    </row>
    <row r="96" spans="1:5" x14ac:dyDescent="0.25">
      <c r="A96" t="s">
        <v>141</v>
      </c>
      <c r="B96" t="s">
        <v>56</v>
      </c>
      <c r="C96">
        <v>0</v>
      </c>
      <c r="D96">
        <v>0</v>
      </c>
      <c r="E96">
        <v>0</v>
      </c>
    </row>
    <row r="97" spans="1:5" x14ac:dyDescent="0.25">
      <c r="A97">
        <v>0</v>
      </c>
      <c r="B97">
        <v>0</v>
      </c>
      <c r="C97">
        <v>0</v>
      </c>
      <c r="D97">
        <v>0</v>
      </c>
      <c r="E97">
        <v>0</v>
      </c>
    </row>
    <row r="98" spans="1:5" x14ac:dyDescent="0.25">
      <c r="A98">
        <v>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>
        <v>0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>
        <v>0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>
        <v>0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>
        <v>0</v>
      </c>
      <c r="B102">
        <v>0</v>
      </c>
      <c r="C102">
        <v>0</v>
      </c>
      <c r="D102">
        <v>0</v>
      </c>
      <c r="E102">
        <v>0</v>
      </c>
    </row>
    <row r="103" spans="1:5" x14ac:dyDescent="0.25">
      <c r="A103">
        <v>0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>
        <v>0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>
        <v>0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>
        <v>0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>
        <v>0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>
        <v>0</v>
      </c>
      <c r="B108">
        <v>0</v>
      </c>
      <c r="C108">
        <v>0</v>
      </c>
      <c r="D108">
        <v>0</v>
      </c>
      <c r="E108">
        <v>0</v>
      </c>
    </row>
    <row r="109" spans="1:5" x14ac:dyDescent="0.25">
      <c r="A109">
        <v>0</v>
      </c>
      <c r="B109">
        <v>0</v>
      </c>
      <c r="C109">
        <v>0</v>
      </c>
      <c r="D109">
        <v>0</v>
      </c>
      <c r="E109">
        <v>0</v>
      </c>
    </row>
    <row r="110" spans="1:5" x14ac:dyDescent="0.25">
      <c r="A110">
        <v>0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>
        <v>0</v>
      </c>
      <c r="B111">
        <v>0</v>
      </c>
      <c r="C111">
        <v>0</v>
      </c>
      <c r="D111">
        <v>0</v>
      </c>
      <c r="E111">
        <v>0</v>
      </c>
    </row>
    <row r="112" spans="1:5" x14ac:dyDescent="0.25">
      <c r="A112">
        <v>0</v>
      </c>
      <c r="B112">
        <v>0</v>
      </c>
      <c r="C112">
        <v>0</v>
      </c>
      <c r="D112">
        <v>0</v>
      </c>
      <c r="E112">
        <v>0</v>
      </c>
    </row>
    <row r="113" spans="1:5" x14ac:dyDescent="0.25">
      <c r="A113">
        <v>0</v>
      </c>
      <c r="B113">
        <v>0</v>
      </c>
      <c r="C113">
        <v>0</v>
      </c>
      <c r="D113">
        <v>0</v>
      </c>
      <c r="E113">
        <v>0</v>
      </c>
    </row>
    <row r="114" spans="1:5" x14ac:dyDescent="0.25">
      <c r="A114">
        <v>0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>
        <v>0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>
        <v>0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>
        <v>0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>
        <v>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>
        <v>0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>
        <v>0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>
        <v>0</v>
      </c>
      <c r="B121">
        <v>0</v>
      </c>
      <c r="C121">
        <v>0</v>
      </c>
      <c r="D121">
        <v>0</v>
      </c>
      <c r="E121">
        <v>0</v>
      </c>
    </row>
    <row r="122" spans="1:5" x14ac:dyDescent="0.25">
      <c r="A122">
        <v>0</v>
      </c>
      <c r="B122">
        <v>0</v>
      </c>
      <c r="C122">
        <v>0</v>
      </c>
      <c r="D122">
        <v>0</v>
      </c>
      <c r="E122">
        <v>0</v>
      </c>
    </row>
    <row r="123" spans="1:5" x14ac:dyDescent="0.25">
      <c r="A123">
        <v>0</v>
      </c>
      <c r="B123">
        <v>0</v>
      </c>
      <c r="C123">
        <v>0</v>
      </c>
      <c r="D123">
        <v>0</v>
      </c>
      <c r="E123">
        <v>0</v>
      </c>
    </row>
    <row r="124" spans="1:5" x14ac:dyDescent="0.25">
      <c r="A124">
        <v>0</v>
      </c>
      <c r="B124">
        <v>0</v>
      </c>
      <c r="C124">
        <v>0</v>
      </c>
      <c r="D124">
        <v>0</v>
      </c>
      <c r="E124">
        <v>0</v>
      </c>
    </row>
    <row r="125" spans="1:5" x14ac:dyDescent="0.25">
      <c r="A125">
        <v>0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>
        <v>0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>
        <v>0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>
        <v>0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>
        <v>0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>
        <v>0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>
        <v>0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>
        <v>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>
        <v>0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>
        <v>0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>
        <v>0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>
        <v>0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>
        <v>0</v>
      </c>
      <c r="B137">
        <v>0</v>
      </c>
      <c r="C137">
        <v>0</v>
      </c>
      <c r="D137">
        <v>0</v>
      </c>
      <c r="E137">
        <v>0</v>
      </c>
    </row>
    <row r="138" spans="1:5" x14ac:dyDescent="0.25">
      <c r="A138">
        <v>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>
        <v>0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>
        <v>0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>
        <v>0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>
        <v>0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>
        <v>0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>
        <v>0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>
        <v>0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>
        <v>0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>
        <v>0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>
        <v>0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>
        <v>0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>
        <v>0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>
        <v>0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>
        <v>0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>
        <v>0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>
        <v>0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>
        <v>0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>
        <v>0</v>
      </c>
      <c r="B156">
        <v>0</v>
      </c>
      <c r="C156">
        <v>0</v>
      </c>
      <c r="D156">
        <v>0</v>
      </c>
      <c r="E156">
        <v>0</v>
      </c>
    </row>
    <row r="157" spans="1:5" x14ac:dyDescent="0.25">
      <c r="A157">
        <v>0</v>
      </c>
      <c r="B157">
        <v>0</v>
      </c>
      <c r="C157">
        <v>0</v>
      </c>
      <c r="D157">
        <v>0</v>
      </c>
      <c r="E157">
        <v>0</v>
      </c>
    </row>
    <row r="158" spans="1:5" x14ac:dyDescent="0.25">
      <c r="A158">
        <v>0</v>
      </c>
      <c r="B158">
        <v>0</v>
      </c>
      <c r="C158">
        <v>0</v>
      </c>
      <c r="D158">
        <v>0</v>
      </c>
      <c r="E158">
        <v>0</v>
      </c>
    </row>
    <row r="159" spans="1:5" x14ac:dyDescent="0.25">
      <c r="A159">
        <v>0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>
        <v>0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>
        <v>0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>
        <v>0</v>
      </c>
      <c r="B162">
        <v>0</v>
      </c>
      <c r="C162">
        <v>0</v>
      </c>
      <c r="D162">
        <v>0</v>
      </c>
      <c r="E162">
        <v>0</v>
      </c>
    </row>
    <row r="163" spans="1:5" x14ac:dyDescent="0.25">
      <c r="A163">
        <v>0</v>
      </c>
      <c r="B163">
        <v>0</v>
      </c>
      <c r="C163">
        <v>0</v>
      </c>
      <c r="D163">
        <v>0</v>
      </c>
      <c r="E163">
        <v>0</v>
      </c>
    </row>
    <row r="164" spans="1:5" x14ac:dyDescent="0.25">
      <c r="A164">
        <v>0</v>
      </c>
      <c r="B164">
        <v>0</v>
      </c>
      <c r="C164">
        <v>0</v>
      </c>
      <c r="D164">
        <v>0</v>
      </c>
      <c r="E164">
        <v>0</v>
      </c>
    </row>
    <row r="165" spans="1:5" x14ac:dyDescent="0.25">
      <c r="A165">
        <v>0</v>
      </c>
      <c r="B165">
        <v>0</v>
      </c>
      <c r="C165">
        <v>0</v>
      </c>
      <c r="D165">
        <v>0</v>
      </c>
      <c r="E165">
        <v>0</v>
      </c>
    </row>
    <row r="166" spans="1:5" x14ac:dyDescent="0.25">
      <c r="A166">
        <v>0</v>
      </c>
      <c r="B166">
        <v>0</v>
      </c>
      <c r="C166">
        <v>0</v>
      </c>
      <c r="D166">
        <v>0</v>
      </c>
      <c r="E166">
        <v>0</v>
      </c>
    </row>
    <row r="167" spans="1:5" x14ac:dyDescent="0.25">
      <c r="A167">
        <v>0</v>
      </c>
      <c r="B167">
        <v>0</v>
      </c>
      <c r="C167">
        <v>0</v>
      </c>
      <c r="D167">
        <v>0</v>
      </c>
      <c r="E167">
        <v>0</v>
      </c>
    </row>
    <row r="168" spans="1:5" x14ac:dyDescent="0.25">
      <c r="A168">
        <v>0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>
        <v>0</v>
      </c>
      <c r="B169">
        <v>0</v>
      </c>
      <c r="C169">
        <v>0</v>
      </c>
      <c r="D169">
        <v>0</v>
      </c>
      <c r="E169">
        <v>0</v>
      </c>
    </row>
    <row r="170" spans="1:5" x14ac:dyDescent="0.25">
      <c r="A170">
        <v>0</v>
      </c>
      <c r="B170">
        <v>0</v>
      </c>
      <c r="C170">
        <v>0</v>
      </c>
      <c r="D170">
        <v>0</v>
      </c>
      <c r="E170">
        <v>0</v>
      </c>
    </row>
    <row r="171" spans="1:5" x14ac:dyDescent="0.25">
      <c r="A171">
        <v>0</v>
      </c>
      <c r="B171">
        <v>0</v>
      </c>
      <c r="C171">
        <v>0</v>
      </c>
      <c r="D171">
        <v>0</v>
      </c>
      <c r="E171">
        <v>0</v>
      </c>
    </row>
    <row r="172" spans="1:5" x14ac:dyDescent="0.25">
      <c r="A172">
        <v>0</v>
      </c>
      <c r="B172">
        <v>0</v>
      </c>
      <c r="C172">
        <v>0</v>
      </c>
      <c r="D172">
        <v>0</v>
      </c>
      <c r="E172">
        <v>0</v>
      </c>
    </row>
    <row r="173" spans="1:5" x14ac:dyDescent="0.25">
      <c r="A173">
        <v>0</v>
      </c>
      <c r="B173">
        <v>0</v>
      </c>
      <c r="C173">
        <v>0</v>
      </c>
      <c r="D173">
        <v>0</v>
      </c>
      <c r="E173">
        <v>0</v>
      </c>
    </row>
    <row r="174" spans="1:5" x14ac:dyDescent="0.25">
      <c r="A174">
        <v>0</v>
      </c>
      <c r="B174">
        <v>0</v>
      </c>
      <c r="C174">
        <v>0</v>
      </c>
      <c r="D174">
        <v>0</v>
      </c>
      <c r="E174">
        <v>0</v>
      </c>
    </row>
    <row r="175" spans="1:5" x14ac:dyDescent="0.25">
      <c r="A175">
        <v>0</v>
      </c>
      <c r="B175">
        <v>0</v>
      </c>
      <c r="C175">
        <v>0</v>
      </c>
      <c r="D175">
        <v>0</v>
      </c>
      <c r="E175">
        <v>0</v>
      </c>
    </row>
    <row r="176" spans="1:5" x14ac:dyDescent="0.25">
      <c r="A176">
        <v>0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>
        <v>0</v>
      </c>
      <c r="B177">
        <v>0</v>
      </c>
      <c r="C177">
        <v>0</v>
      </c>
      <c r="D177">
        <v>0</v>
      </c>
      <c r="E177">
        <v>0</v>
      </c>
    </row>
    <row r="178" spans="1:5" x14ac:dyDescent="0.25">
      <c r="A178">
        <v>0</v>
      </c>
      <c r="B178">
        <v>0</v>
      </c>
      <c r="C178">
        <v>0</v>
      </c>
      <c r="D178">
        <v>0</v>
      </c>
      <c r="E178">
        <v>0</v>
      </c>
    </row>
    <row r="179" spans="1:5" x14ac:dyDescent="0.25">
      <c r="A179">
        <v>0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>
        <v>0</v>
      </c>
      <c r="B180">
        <v>0</v>
      </c>
      <c r="C180">
        <v>0</v>
      </c>
      <c r="D180">
        <v>0</v>
      </c>
      <c r="E180">
        <v>0</v>
      </c>
    </row>
    <row r="181" spans="1:5" x14ac:dyDescent="0.25">
      <c r="A181">
        <v>0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>
        <v>0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>
        <v>0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>
        <v>0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>
        <v>0</v>
      </c>
      <c r="B185">
        <v>0</v>
      </c>
      <c r="C185">
        <v>0</v>
      </c>
      <c r="D185">
        <v>0</v>
      </c>
      <c r="E185">
        <v>0</v>
      </c>
    </row>
    <row r="186" spans="1:5" x14ac:dyDescent="0.25">
      <c r="A186">
        <v>0</v>
      </c>
      <c r="B186">
        <v>0</v>
      </c>
      <c r="C186">
        <v>0</v>
      </c>
      <c r="D186">
        <v>0</v>
      </c>
      <c r="E186">
        <v>0</v>
      </c>
    </row>
    <row r="187" spans="1:5" x14ac:dyDescent="0.25">
      <c r="A187">
        <v>0</v>
      </c>
      <c r="B187">
        <v>0</v>
      </c>
      <c r="C187">
        <v>0</v>
      </c>
      <c r="D187">
        <v>0</v>
      </c>
      <c r="E187">
        <v>0</v>
      </c>
    </row>
    <row r="188" spans="1:5" x14ac:dyDescent="0.25">
      <c r="A188">
        <v>0</v>
      </c>
      <c r="B188">
        <v>0</v>
      </c>
      <c r="C188">
        <v>0</v>
      </c>
      <c r="D188">
        <v>0</v>
      </c>
      <c r="E188">
        <v>0</v>
      </c>
    </row>
    <row r="189" spans="1:5" x14ac:dyDescent="0.25">
      <c r="A189">
        <v>0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>
        <v>0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>
        <v>0</v>
      </c>
      <c r="B191">
        <v>0</v>
      </c>
      <c r="C191">
        <v>0</v>
      </c>
      <c r="D191">
        <v>0</v>
      </c>
      <c r="E191">
        <v>0</v>
      </c>
    </row>
    <row r="192" spans="1:5" x14ac:dyDescent="0.25">
      <c r="A192">
        <v>0</v>
      </c>
      <c r="B192">
        <v>0</v>
      </c>
      <c r="C192">
        <v>0</v>
      </c>
      <c r="D192">
        <v>0</v>
      </c>
      <c r="E192">
        <v>0</v>
      </c>
    </row>
    <row r="193" spans="1:5" x14ac:dyDescent="0.25">
      <c r="A193">
        <v>0</v>
      </c>
      <c r="B193">
        <v>0</v>
      </c>
      <c r="C193">
        <v>0</v>
      </c>
      <c r="D193">
        <v>0</v>
      </c>
      <c r="E193">
        <v>0</v>
      </c>
    </row>
    <row r="194" spans="1:5" x14ac:dyDescent="0.25">
      <c r="A194">
        <v>0</v>
      </c>
      <c r="B194">
        <v>0</v>
      </c>
      <c r="C194">
        <v>0</v>
      </c>
      <c r="D194">
        <v>0</v>
      </c>
      <c r="E194">
        <v>0</v>
      </c>
    </row>
    <row r="195" spans="1:5" x14ac:dyDescent="0.25">
      <c r="A195">
        <v>0</v>
      </c>
      <c r="B195">
        <v>0</v>
      </c>
      <c r="C195">
        <v>0</v>
      </c>
      <c r="D195">
        <v>0</v>
      </c>
      <c r="E195">
        <v>0</v>
      </c>
    </row>
    <row r="196" spans="1:5" x14ac:dyDescent="0.25">
      <c r="A196">
        <v>0</v>
      </c>
      <c r="B196">
        <v>0</v>
      </c>
      <c r="C196">
        <v>0</v>
      </c>
      <c r="D196">
        <v>0</v>
      </c>
      <c r="E196">
        <v>0</v>
      </c>
    </row>
    <row r="197" spans="1:5" x14ac:dyDescent="0.25">
      <c r="A197">
        <v>0</v>
      </c>
      <c r="B197">
        <v>0</v>
      </c>
      <c r="C197">
        <v>0</v>
      </c>
      <c r="D197">
        <v>0</v>
      </c>
      <c r="E197">
        <v>0</v>
      </c>
    </row>
    <row r="198" spans="1:5" x14ac:dyDescent="0.25">
      <c r="A198">
        <v>0</v>
      </c>
      <c r="B198">
        <v>0</v>
      </c>
      <c r="C198">
        <v>0</v>
      </c>
      <c r="D198">
        <v>0</v>
      </c>
      <c r="E198">
        <v>0</v>
      </c>
    </row>
    <row r="199" spans="1:5" x14ac:dyDescent="0.25">
      <c r="A199">
        <v>0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>
        <v>0</v>
      </c>
      <c r="B200">
        <v>0</v>
      </c>
      <c r="C200">
        <v>0</v>
      </c>
      <c r="D200">
        <v>0</v>
      </c>
      <c r="E200">
        <v>0</v>
      </c>
    </row>
    <row r="201" spans="1:5" x14ac:dyDescent="0.25">
      <c r="A201">
        <v>0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>
        <v>0</v>
      </c>
      <c r="B202">
        <v>0</v>
      </c>
      <c r="C202">
        <v>0</v>
      </c>
      <c r="D202">
        <v>0</v>
      </c>
      <c r="E202">
        <v>0</v>
      </c>
    </row>
    <row r="203" spans="1:5" x14ac:dyDescent="0.25">
      <c r="A203">
        <v>0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>
        <v>0</v>
      </c>
      <c r="B204">
        <v>0</v>
      </c>
      <c r="C204">
        <v>0</v>
      </c>
      <c r="D204">
        <v>0</v>
      </c>
      <c r="E204">
        <v>0</v>
      </c>
    </row>
    <row r="205" spans="1:5" x14ac:dyDescent="0.25">
      <c r="A205">
        <v>0</v>
      </c>
      <c r="B205">
        <v>0</v>
      </c>
      <c r="C205">
        <v>0</v>
      </c>
      <c r="D205">
        <v>0</v>
      </c>
      <c r="E205">
        <v>0</v>
      </c>
    </row>
    <row r="206" spans="1:5" x14ac:dyDescent="0.25">
      <c r="A206">
        <v>0</v>
      </c>
      <c r="B206">
        <v>0</v>
      </c>
      <c r="C206">
        <v>0</v>
      </c>
      <c r="D206">
        <v>0</v>
      </c>
      <c r="E206">
        <v>0</v>
      </c>
    </row>
    <row r="207" spans="1:5" x14ac:dyDescent="0.25">
      <c r="A207">
        <v>0</v>
      </c>
      <c r="B207">
        <v>0</v>
      </c>
      <c r="C207">
        <v>0</v>
      </c>
      <c r="D207">
        <v>0</v>
      </c>
      <c r="E207">
        <v>0</v>
      </c>
    </row>
    <row r="208" spans="1:5" x14ac:dyDescent="0.25">
      <c r="A208">
        <v>0</v>
      </c>
      <c r="B208">
        <v>0</v>
      </c>
      <c r="C208">
        <v>0</v>
      </c>
      <c r="D208">
        <v>0</v>
      </c>
      <c r="E208">
        <v>0</v>
      </c>
    </row>
    <row r="209" spans="1:5" x14ac:dyDescent="0.25">
      <c r="A209">
        <v>0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>
        <v>0</v>
      </c>
      <c r="B210">
        <v>0</v>
      </c>
      <c r="C210">
        <v>0</v>
      </c>
      <c r="D210">
        <v>0</v>
      </c>
      <c r="E210">
        <v>0</v>
      </c>
    </row>
    <row r="211" spans="1:5" x14ac:dyDescent="0.25">
      <c r="A211">
        <v>0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>
        <v>0</v>
      </c>
      <c r="B212">
        <v>0</v>
      </c>
      <c r="C212">
        <v>0</v>
      </c>
      <c r="D212">
        <v>0</v>
      </c>
      <c r="E212">
        <v>0</v>
      </c>
    </row>
    <row r="213" spans="1:5" x14ac:dyDescent="0.25">
      <c r="A213">
        <v>0</v>
      </c>
      <c r="B213">
        <v>0</v>
      </c>
      <c r="C213">
        <v>0</v>
      </c>
      <c r="D213">
        <v>0</v>
      </c>
      <c r="E213">
        <v>0</v>
      </c>
    </row>
    <row r="214" spans="1:5" x14ac:dyDescent="0.25">
      <c r="A214">
        <v>0</v>
      </c>
      <c r="B214">
        <v>0</v>
      </c>
      <c r="C214">
        <v>0</v>
      </c>
      <c r="D214">
        <v>0</v>
      </c>
      <c r="E214">
        <v>0</v>
      </c>
    </row>
    <row r="215" spans="1:5" x14ac:dyDescent="0.25">
      <c r="A215">
        <v>0</v>
      </c>
      <c r="B215">
        <v>0</v>
      </c>
      <c r="C215">
        <v>0</v>
      </c>
      <c r="D215">
        <v>0</v>
      </c>
      <c r="E215">
        <v>0</v>
      </c>
    </row>
    <row r="216" spans="1:5" x14ac:dyDescent="0.25">
      <c r="A216">
        <v>0</v>
      </c>
      <c r="B216">
        <v>0</v>
      </c>
      <c r="C216">
        <v>0</v>
      </c>
      <c r="D216">
        <v>0</v>
      </c>
      <c r="E216">
        <v>0</v>
      </c>
    </row>
    <row r="217" spans="1:5" x14ac:dyDescent="0.25">
      <c r="A217">
        <v>0</v>
      </c>
      <c r="B217">
        <v>0</v>
      </c>
      <c r="C217">
        <v>0</v>
      </c>
      <c r="D217">
        <v>0</v>
      </c>
      <c r="E217">
        <v>0</v>
      </c>
    </row>
    <row r="218" spans="1:5" x14ac:dyDescent="0.25">
      <c r="A218">
        <v>0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>
        <v>0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>
        <v>0</v>
      </c>
      <c r="B220">
        <v>0</v>
      </c>
      <c r="C220">
        <v>0</v>
      </c>
      <c r="D220">
        <v>0</v>
      </c>
      <c r="E220">
        <v>0</v>
      </c>
    </row>
    <row r="221" spans="1:5" x14ac:dyDescent="0.25">
      <c r="A221">
        <v>0</v>
      </c>
      <c r="B221">
        <v>0</v>
      </c>
      <c r="C221">
        <v>0</v>
      </c>
      <c r="D221">
        <v>0</v>
      </c>
      <c r="E221">
        <v>0</v>
      </c>
    </row>
    <row r="222" spans="1:5" x14ac:dyDescent="0.25">
      <c r="A222">
        <v>0</v>
      </c>
      <c r="B222">
        <v>0</v>
      </c>
      <c r="C222">
        <v>0</v>
      </c>
      <c r="D222">
        <v>0</v>
      </c>
      <c r="E222">
        <v>0</v>
      </c>
    </row>
    <row r="223" spans="1:5" x14ac:dyDescent="0.25">
      <c r="A223">
        <v>0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>
        <v>0</v>
      </c>
      <c r="B224">
        <v>0</v>
      </c>
      <c r="C224">
        <v>0</v>
      </c>
      <c r="D224">
        <v>0</v>
      </c>
      <c r="E224">
        <v>0</v>
      </c>
    </row>
    <row r="225" spans="1:5" x14ac:dyDescent="0.25">
      <c r="A225">
        <v>0</v>
      </c>
      <c r="B225">
        <v>0</v>
      </c>
      <c r="C225">
        <v>0</v>
      </c>
      <c r="D225">
        <v>0</v>
      </c>
      <c r="E225">
        <v>0</v>
      </c>
    </row>
    <row r="226" spans="1:5" x14ac:dyDescent="0.25">
      <c r="A226">
        <v>0</v>
      </c>
      <c r="B226">
        <v>0</v>
      </c>
      <c r="C226">
        <v>0</v>
      </c>
      <c r="D226">
        <v>0</v>
      </c>
      <c r="E226">
        <v>0</v>
      </c>
    </row>
    <row r="227" spans="1:5" x14ac:dyDescent="0.25">
      <c r="A227">
        <v>0</v>
      </c>
      <c r="B227">
        <v>0</v>
      </c>
      <c r="C227">
        <v>0</v>
      </c>
      <c r="D227">
        <v>0</v>
      </c>
      <c r="E227">
        <v>0</v>
      </c>
    </row>
    <row r="228" spans="1:5" x14ac:dyDescent="0.25">
      <c r="A228">
        <v>0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>
        <v>0</v>
      </c>
      <c r="B229">
        <v>0</v>
      </c>
      <c r="C229">
        <v>0</v>
      </c>
      <c r="D229">
        <v>0</v>
      </c>
      <c r="E229">
        <v>0</v>
      </c>
    </row>
    <row r="230" spans="1:5" x14ac:dyDescent="0.25">
      <c r="A230">
        <v>0</v>
      </c>
      <c r="B230">
        <v>0</v>
      </c>
      <c r="C230">
        <v>0</v>
      </c>
      <c r="D230">
        <v>0</v>
      </c>
      <c r="E230">
        <v>0</v>
      </c>
    </row>
    <row r="231" spans="1:5" x14ac:dyDescent="0.25">
      <c r="A231">
        <v>0</v>
      </c>
      <c r="B231">
        <v>0</v>
      </c>
      <c r="C231">
        <v>0</v>
      </c>
      <c r="D231">
        <v>0</v>
      </c>
      <c r="E231">
        <v>0</v>
      </c>
    </row>
    <row r="232" spans="1:5" x14ac:dyDescent="0.25">
      <c r="A232">
        <v>0</v>
      </c>
      <c r="B232">
        <v>0</v>
      </c>
      <c r="C232">
        <v>0</v>
      </c>
      <c r="D232">
        <v>0</v>
      </c>
      <c r="E232">
        <v>0</v>
      </c>
    </row>
    <row r="233" spans="1:5" x14ac:dyDescent="0.25">
      <c r="A233">
        <v>0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>
        <v>0</v>
      </c>
      <c r="B234">
        <v>0</v>
      </c>
      <c r="C234">
        <v>0</v>
      </c>
      <c r="D234">
        <v>0</v>
      </c>
      <c r="E234">
        <v>0</v>
      </c>
    </row>
    <row r="235" spans="1:5" x14ac:dyDescent="0.25">
      <c r="A235">
        <v>0</v>
      </c>
      <c r="B235">
        <v>0</v>
      </c>
      <c r="C235">
        <v>0</v>
      </c>
      <c r="D235">
        <v>0</v>
      </c>
      <c r="E235">
        <v>0</v>
      </c>
    </row>
    <row r="236" spans="1:5" x14ac:dyDescent="0.25">
      <c r="A236">
        <v>0</v>
      </c>
      <c r="B236">
        <v>0</v>
      </c>
      <c r="C236">
        <v>0</v>
      </c>
      <c r="D236">
        <v>0</v>
      </c>
      <c r="E236">
        <v>0</v>
      </c>
    </row>
    <row r="237" spans="1:5" x14ac:dyDescent="0.25">
      <c r="A237">
        <v>0</v>
      </c>
      <c r="B237">
        <v>0</v>
      </c>
      <c r="C237">
        <v>0</v>
      </c>
      <c r="D237">
        <v>0</v>
      </c>
      <c r="E237">
        <v>0</v>
      </c>
    </row>
    <row r="238" spans="1:5" x14ac:dyDescent="0.25">
      <c r="A238">
        <v>0</v>
      </c>
      <c r="B238">
        <v>0</v>
      </c>
      <c r="C238">
        <v>0</v>
      </c>
      <c r="D238">
        <v>0</v>
      </c>
      <c r="E238">
        <v>0</v>
      </c>
    </row>
    <row r="239" spans="1:5" x14ac:dyDescent="0.25">
      <c r="A239">
        <v>0</v>
      </c>
      <c r="B239">
        <v>0</v>
      </c>
      <c r="C239">
        <v>0</v>
      </c>
      <c r="D239">
        <v>0</v>
      </c>
      <c r="E239">
        <v>0</v>
      </c>
    </row>
    <row r="240" spans="1:5" x14ac:dyDescent="0.25">
      <c r="A240">
        <v>0</v>
      </c>
      <c r="B240">
        <v>0</v>
      </c>
      <c r="C240">
        <v>0</v>
      </c>
      <c r="D240">
        <v>0</v>
      </c>
      <c r="E240">
        <v>0</v>
      </c>
    </row>
    <row r="241" spans="1:5" x14ac:dyDescent="0.25">
      <c r="A241">
        <v>0</v>
      </c>
      <c r="B241">
        <v>0</v>
      </c>
      <c r="C241">
        <v>0</v>
      </c>
      <c r="D241">
        <v>0</v>
      </c>
      <c r="E241">
        <v>0</v>
      </c>
    </row>
    <row r="242" spans="1:5" x14ac:dyDescent="0.25">
      <c r="A242">
        <v>0</v>
      </c>
      <c r="B242">
        <v>0</v>
      </c>
      <c r="C242">
        <v>0</v>
      </c>
      <c r="D242">
        <v>0</v>
      </c>
      <c r="E242">
        <v>0</v>
      </c>
    </row>
    <row r="243" spans="1:5" x14ac:dyDescent="0.25">
      <c r="A243">
        <v>0</v>
      </c>
      <c r="B243">
        <v>0</v>
      </c>
      <c r="C243">
        <v>0</v>
      </c>
      <c r="D243">
        <v>0</v>
      </c>
      <c r="E243">
        <v>0</v>
      </c>
    </row>
    <row r="244" spans="1:5" x14ac:dyDescent="0.25">
      <c r="A244">
        <v>0</v>
      </c>
      <c r="B244">
        <v>0</v>
      </c>
      <c r="C244">
        <v>0</v>
      </c>
      <c r="D244">
        <v>0</v>
      </c>
      <c r="E244">
        <v>0</v>
      </c>
    </row>
    <row r="245" spans="1:5" x14ac:dyDescent="0.25">
      <c r="A245">
        <v>0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>
        <v>0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>
        <v>0</v>
      </c>
      <c r="B247">
        <v>0</v>
      </c>
      <c r="C247">
        <v>0</v>
      </c>
      <c r="D247">
        <v>0</v>
      </c>
      <c r="E247">
        <v>0</v>
      </c>
    </row>
    <row r="248" spans="1:5" x14ac:dyDescent="0.25">
      <c r="A248">
        <v>0</v>
      </c>
      <c r="B248">
        <v>0</v>
      </c>
      <c r="C248">
        <v>0</v>
      </c>
      <c r="D248">
        <v>0</v>
      </c>
      <c r="E248">
        <v>0</v>
      </c>
    </row>
    <row r="249" spans="1:5" x14ac:dyDescent="0.25">
      <c r="A249">
        <v>0</v>
      </c>
      <c r="B249">
        <v>0</v>
      </c>
      <c r="C249">
        <v>0</v>
      </c>
      <c r="D249">
        <v>0</v>
      </c>
      <c r="E249">
        <v>0</v>
      </c>
    </row>
    <row r="250" spans="1:5" x14ac:dyDescent="0.25">
      <c r="A250">
        <v>0</v>
      </c>
      <c r="B250">
        <v>0</v>
      </c>
      <c r="C250">
        <v>0</v>
      </c>
      <c r="D250">
        <v>0</v>
      </c>
      <c r="E250">
        <v>0</v>
      </c>
    </row>
    <row r="251" spans="1:5" x14ac:dyDescent="0.25">
      <c r="A251">
        <v>0</v>
      </c>
      <c r="B251">
        <v>0</v>
      </c>
      <c r="C251">
        <v>0</v>
      </c>
      <c r="D251">
        <v>0</v>
      </c>
      <c r="E251">
        <v>0</v>
      </c>
    </row>
    <row r="252" spans="1:5" x14ac:dyDescent="0.25">
      <c r="A252">
        <v>0</v>
      </c>
      <c r="B252">
        <v>0</v>
      </c>
      <c r="C252">
        <v>0</v>
      </c>
      <c r="D252">
        <v>0</v>
      </c>
      <c r="E252">
        <v>0</v>
      </c>
    </row>
    <row r="253" spans="1:5" x14ac:dyDescent="0.25">
      <c r="A253">
        <v>0</v>
      </c>
      <c r="B253">
        <v>0</v>
      </c>
      <c r="C253">
        <v>0</v>
      </c>
      <c r="D253">
        <v>0</v>
      </c>
      <c r="E253">
        <v>0</v>
      </c>
    </row>
    <row r="254" spans="1:5" x14ac:dyDescent="0.25">
      <c r="A254">
        <v>0</v>
      </c>
      <c r="B254">
        <v>0</v>
      </c>
      <c r="C254">
        <v>0</v>
      </c>
      <c r="D254">
        <v>0</v>
      </c>
      <c r="E254">
        <v>0</v>
      </c>
    </row>
    <row r="255" spans="1:5" x14ac:dyDescent="0.25">
      <c r="A255">
        <v>0</v>
      </c>
      <c r="B255">
        <v>0</v>
      </c>
      <c r="C255">
        <v>0</v>
      </c>
      <c r="D255">
        <v>0</v>
      </c>
      <c r="E255">
        <v>0</v>
      </c>
    </row>
    <row r="256" spans="1:5" x14ac:dyDescent="0.25">
      <c r="A256">
        <v>0</v>
      </c>
      <c r="B256">
        <v>0</v>
      </c>
      <c r="C256">
        <v>0</v>
      </c>
      <c r="D256">
        <v>0</v>
      </c>
      <c r="E256">
        <v>0</v>
      </c>
    </row>
    <row r="257" spans="1:5" x14ac:dyDescent="0.25">
      <c r="A257">
        <v>0</v>
      </c>
      <c r="B257">
        <v>0</v>
      </c>
      <c r="C257">
        <v>0</v>
      </c>
      <c r="D257">
        <v>0</v>
      </c>
      <c r="E257">
        <v>0</v>
      </c>
    </row>
    <row r="258" spans="1:5" x14ac:dyDescent="0.25">
      <c r="A258">
        <v>0</v>
      </c>
      <c r="B258">
        <v>0</v>
      </c>
      <c r="C258">
        <v>0</v>
      </c>
      <c r="D258">
        <v>0</v>
      </c>
      <c r="E258">
        <v>0</v>
      </c>
    </row>
    <row r="259" spans="1:5" x14ac:dyDescent="0.25">
      <c r="A259">
        <v>0</v>
      </c>
      <c r="B259">
        <v>0</v>
      </c>
      <c r="C259">
        <v>0</v>
      </c>
      <c r="D259">
        <v>0</v>
      </c>
      <c r="E259">
        <v>0</v>
      </c>
    </row>
    <row r="260" spans="1:5" x14ac:dyDescent="0.25">
      <c r="A260">
        <v>0</v>
      </c>
      <c r="B260">
        <v>0</v>
      </c>
      <c r="C260">
        <v>0</v>
      </c>
      <c r="D260">
        <v>0</v>
      </c>
      <c r="E260">
        <v>0</v>
      </c>
    </row>
    <row r="261" spans="1:5" x14ac:dyDescent="0.25">
      <c r="A261">
        <v>0</v>
      </c>
      <c r="B261">
        <v>0</v>
      </c>
      <c r="C261">
        <v>0</v>
      </c>
      <c r="D261">
        <v>0</v>
      </c>
      <c r="E261">
        <v>0</v>
      </c>
    </row>
    <row r="262" spans="1:5" x14ac:dyDescent="0.25">
      <c r="A262">
        <v>0</v>
      </c>
      <c r="B262">
        <v>0</v>
      </c>
      <c r="C262">
        <v>0</v>
      </c>
      <c r="D262">
        <v>0</v>
      </c>
      <c r="E262">
        <v>0</v>
      </c>
    </row>
    <row r="263" spans="1:5" x14ac:dyDescent="0.25">
      <c r="A263">
        <v>0</v>
      </c>
      <c r="B263">
        <v>0</v>
      </c>
      <c r="C263">
        <v>0</v>
      </c>
      <c r="D263">
        <v>0</v>
      </c>
      <c r="E263">
        <v>0</v>
      </c>
    </row>
    <row r="264" spans="1:5" x14ac:dyDescent="0.25">
      <c r="A264">
        <v>0</v>
      </c>
      <c r="B264">
        <v>0</v>
      </c>
      <c r="C264">
        <v>0</v>
      </c>
      <c r="D264">
        <v>0</v>
      </c>
      <c r="E264">
        <v>0</v>
      </c>
    </row>
    <row r="265" spans="1:5" x14ac:dyDescent="0.25">
      <c r="A265">
        <v>0</v>
      </c>
      <c r="B265">
        <v>0</v>
      </c>
      <c r="C265">
        <v>0</v>
      </c>
      <c r="D265">
        <v>0</v>
      </c>
      <c r="E265">
        <v>0</v>
      </c>
    </row>
    <row r="266" spans="1:5" x14ac:dyDescent="0.25">
      <c r="A266">
        <v>0</v>
      </c>
      <c r="B266">
        <v>0</v>
      </c>
      <c r="C266">
        <v>0</v>
      </c>
      <c r="D266">
        <v>0</v>
      </c>
      <c r="E266">
        <v>0</v>
      </c>
    </row>
    <row r="267" spans="1:5" x14ac:dyDescent="0.25">
      <c r="A267">
        <v>0</v>
      </c>
      <c r="B267">
        <v>0</v>
      </c>
      <c r="C267">
        <v>0</v>
      </c>
      <c r="D267">
        <v>0</v>
      </c>
      <c r="E267">
        <v>0</v>
      </c>
    </row>
    <row r="268" spans="1:5" x14ac:dyDescent="0.25">
      <c r="A268">
        <v>0</v>
      </c>
      <c r="B268">
        <v>0</v>
      </c>
      <c r="C268">
        <v>0</v>
      </c>
      <c r="D268">
        <v>0</v>
      </c>
      <c r="E268">
        <v>0</v>
      </c>
    </row>
    <row r="269" spans="1:5" x14ac:dyDescent="0.25">
      <c r="A269">
        <v>0</v>
      </c>
      <c r="B269">
        <v>0</v>
      </c>
      <c r="C269">
        <v>0</v>
      </c>
      <c r="D269">
        <v>0</v>
      </c>
      <c r="E269">
        <v>0</v>
      </c>
    </row>
    <row r="270" spans="1:5" x14ac:dyDescent="0.25">
      <c r="A270">
        <v>0</v>
      </c>
      <c r="B270">
        <v>0</v>
      </c>
      <c r="C270">
        <v>0</v>
      </c>
      <c r="D270">
        <v>0</v>
      </c>
      <c r="E270">
        <v>0</v>
      </c>
    </row>
    <row r="271" spans="1:5" x14ac:dyDescent="0.25">
      <c r="A271">
        <v>0</v>
      </c>
      <c r="B271">
        <v>0</v>
      </c>
      <c r="C271">
        <v>0</v>
      </c>
      <c r="D271">
        <v>0</v>
      </c>
      <c r="E271">
        <v>0</v>
      </c>
    </row>
    <row r="272" spans="1:5" x14ac:dyDescent="0.25">
      <c r="A272">
        <v>0</v>
      </c>
      <c r="B272">
        <v>0</v>
      </c>
      <c r="C272">
        <v>0</v>
      </c>
      <c r="D272">
        <v>0</v>
      </c>
      <c r="E272">
        <v>0</v>
      </c>
    </row>
    <row r="273" spans="1:5" x14ac:dyDescent="0.25">
      <c r="A273">
        <v>0</v>
      </c>
      <c r="B273">
        <v>0</v>
      </c>
      <c r="C273">
        <v>0</v>
      </c>
      <c r="D273">
        <v>0</v>
      </c>
      <c r="E273">
        <v>0</v>
      </c>
    </row>
    <row r="274" spans="1:5" x14ac:dyDescent="0.25">
      <c r="A274">
        <v>0</v>
      </c>
      <c r="B274">
        <v>0</v>
      </c>
      <c r="C274">
        <v>0</v>
      </c>
      <c r="D274">
        <v>0</v>
      </c>
      <c r="E274">
        <v>0</v>
      </c>
    </row>
    <row r="275" spans="1:5" x14ac:dyDescent="0.25">
      <c r="A275">
        <v>0</v>
      </c>
      <c r="B275">
        <v>0</v>
      </c>
      <c r="C275">
        <v>0</v>
      </c>
      <c r="D275">
        <v>0</v>
      </c>
      <c r="E275">
        <v>0</v>
      </c>
    </row>
    <row r="276" spans="1:5" x14ac:dyDescent="0.25">
      <c r="A276">
        <v>0</v>
      </c>
      <c r="B276">
        <v>0</v>
      </c>
      <c r="C276">
        <v>0</v>
      </c>
      <c r="D276">
        <v>0</v>
      </c>
      <c r="E276">
        <v>0</v>
      </c>
    </row>
    <row r="277" spans="1:5" x14ac:dyDescent="0.25">
      <c r="A277">
        <v>0</v>
      </c>
      <c r="B277">
        <v>0</v>
      </c>
      <c r="C277">
        <v>0</v>
      </c>
      <c r="D277">
        <v>0</v>
      </c>
      <c r="E277">
        <v>0</v>
      </c>
    </row>
    <row r="278" spans="1:5" x14ac:dyDescent="0.25">
      <c r="A278">
        <v>0</v>
      </c>
      <c r="B278">
        <v>0</v>
      </c>
      <c r="C278">
        <v>0</v>
      </c>
      <c r="D278">
        <v>0</v>
      </c>
      <c r="E278">
        <v>0</v>
      </c>
    </row>
    <row r="279" spans="1:5" x14ac:dyDescent="0.25">
      <c r="A279">
        <v>0</v>
      </c>
      <c r="B279">
        <v>0</v>
      </c>
      <c r="C279">
        <v>0</v>
      </c>
      <c r="D279">
        <v>0</v>
      </c>
      <c r="E279">
        <v>0</v>
      </c>
    </row>
    <row r="280" spans="1:5" x14ac:dyDescent="0.25">
      <c r="A280">
        <v>0</v>
      </c>
      <c r="B280">
        <v>0</v>
      </c>
      <c r="C280">
        <v>0</v>
      </c>
      <c r="D280">
        <v>0</v>
      </c>
      <c r="E280">
        <v>0</v>
      </c>
    </row>
    <row r="281" spans="1:5" x14ac:dyDescent="0.25">
      <c r="A281">
        <v>0</v>
      </c>
      <c r="B281">
        <v>0</v>
      </c>
      <c r="C281">
        <v>0</v>
      </c>
      <c r="D281">
        <v>0</v>
      </c>
      <c r="E281">
        <v>0</v>
      </c>
    </row>
    <row r="282" spans="1:5" x14ac:dyDescent="0.25">
      <c r="A282">
        <v>0</v>
      </c>
      <c r="B282">
        <v>0</v>
      </c>
      <c r="C282">
        <v>0</v>
      </c>
      <c r="D282">
        <v>0</v>
      </c>
      <c r="E282">
        <v>0</v>
      </c>
    </row>
    <row r="283" spans="1:5" x14ac:dyDescent="0.25">
      <c r="A283">
        <v>0</v>
      </c>
      <c r="B283">
        <v>0</v>
      </c>
      <c r="C283">
        <v>0</v>
      </c>
      <c r="D283">
        <v>0</v>
      </c>
      <c r="E283">
        <v>0</v>
      </c>
    </row>
    <row r="284" spans="1:5" x14ac:dyDescent="0.25">
      <c r="A284">
        <v>0</v>
      </c>
      <c r="B284">
        <v>0</v>
      </c>
      <c r="C284">
        <v>0</v>
      </c>
      <c r="D284">
        <v>0</v>
      </c>
      <c r="E284">
        <v>0</v>
      </c>
    </row>
    <row r="285" spans="1:5" x14ac:dyDescent="0.25">
      <c r="A285">
        <v>0</v>
      </c>
      <c r="B285">
        <v>0</v>
      </c>
      <c r="C285">
        <v>0</v>
      </c>
      <c r="D285">
        <v>0</v>
      </c>
      <c r="E285">
        <v>0</v>
      </c>
    </row>
    <row r="286" spans="1:5" x14ac:dyDescent="0.25">
      <c r="A286">
        <v>0</v>
      </c>
      <c r="B286">
        <v>0</v>
      </c>
      <c r="C286">
        <v>0</v>
      </c>
      <c r="D286">
        <v>0</v>
      </c>
      <c r="E286">
        <v>0</v>
      </c>
    </row>
    <row r="287" spans="1:5" x14ac:dyDescent="0.25">
      <c r="A287">
        <v>0</v>
      </c>
      <c r="B287">
        <v>0</v>
      </c>
      <c r="C287">
        <v>0</v>
      </c>
      <c r="D287">
        <v>0</v>
      </c>
      <c r="E287">
        <v>0</v>
      </c>
    </row>
    <row r="288" spans="1:5" x14ac:dyDescent="0.25">
      <c r="A288">
        <v>0</v>
      </c>
      <c r="B288">
        <v>0</v>
      </c>
      <c r="C288">
        <v>0</v>
      </c>
      <c r="D288">
        <v>0</v>
      </c>
      <c r="E288">
        <v>0</v>
      </c>
    </row>
    <row r="289" spans="1:5" x14ac:dyDescent="0.25">
      <c r="A289">
        <v>0</v>
      </c>
      <c r="B289">
        <v>0</v>
      </c>
      <c r="C289">
        <v>0</v>
      </c>
      <c r="D289">
        <v>0</v>
      </c>
      <c r="E289">
        <v>0</v>
      </c>
    </row>
    <row r="290" spans="1:5" x14ac:dyDescent="0.25">
      <c r="A290">
        <v>0</v>
      </c>
      <c r="B290">
        <v>0</v>
      </c>
      <c r="C290">
        <v>0</v>
      </c>
      <c r="D290">
        <v>0</v>
      </c>
      <c r="E290">
        <v>0</v>
      </c>
    </row>
    <row r="291" spans="1:5" x14ac:dyDescent="0.25">
      <c r="A291">
        <v>0</v>
      </c>
      <c r="B291">
        <v>0</v>
      </c>
      <c r="C291">
        <v>0</v>
      </c>
      <c r="D291">
        <v>0</v>
      </c>
      <c r="E291">
        <v>0</v>
      </c>
    </row>
    <row r="292" spans="1:5" x14ac:dyDescent="0.25">
      <c r="A292">
        <v>0</v>
      </c>
      <c r="B292">
        <v>0</v>
      </c>
      <c r="C292">
        <v>0</v>
      </c>
      <c r="D292">
        <v>0</v>
      </c>
      <c r="E292">
        <v>0</v>
      </c>
    </row>
    <row r="293" spans="1:5" x14ac:dyDescent="0.25">
      <c r="A293">
        <v>0</v>
      </c>
      <c r="B293">
        <v>0</v>
      </c>
      <c r="C293">
        <v>0</v>
      </c>
      <c r="D293">
        <v>0</v>
      </c>
      <c r="E293">
        <v>0</v>
      </c>
    </row>
    <row r="294" spans="1:5" x14ac:dyDescent="0.25">
      <c r="A294">
        <v>0</v>
      </c>
      <c r="B294">
        <v>0</v>
      </c>
      <c r="C294">
        <v>0</v>
      </c>
      <c r="D294">
        <v>0</v>
      </c>
      <c r="E294">
        <v>0</v>
      </c>
    </row>
    <row r="295" spans="1:5" x14ac:dyDescent="0.25">
      <c r="A295">
        <v>0</v>
      </c>
      <c r="B295">
        <v>0</v>
      </c>
      <c r="C295">
        <v>0</v>
      </c>
      <c r="D295">
        <v>0</v>
      </c>
      <c r="E295">
        <v>0</v>
      </c>
    </row>
    <row r="296" spans="1:5" x14ac:dyDescent="0.25">
      <c r="A296">
        <v>0</v>
      </c>
      <c r="B296">
        <v>0</v>
      </c>
      <c r="C296">
        <v>0</v>
      </c>
      <c r="D296">
        <v>0</v>
      </c>
      <c r="E296">
        <v>0</v>
      </c>
    </row>
    <row r="297" spans="1:5" x14ac:dyDescent="0.25">
      <c r="A297">
        <v>0</v>
      </c>
      <c r="B297">
        <v>0</v>
      </c>
      <c r="C297">
        <v>0</v>
      </c>
      <c r="D297">
        <v>0</v>
      </c>
      <c r="E297">
        <v>0</v>
      </c>
    </row>
    <row r="298" spans="1:5" x14ac:dyDescent="0.25">
      <c r="A298">
        <v>0</v>
      </c>
      <c r="B298">
        <v>0</v>
      </c>
      <c r="C298">
        <v>0</v>
      </c>
      <c r="D298">
        <v>0</v>
      </c>
      <c r="E298">
        <v>0</v>
      </c>
    </row>
    <row r="299" spans="1:5" x14ac:dyDescent="0.25">
      <c r="A299">
        <v>0</v>
      </c>
      <c r="B299">
        <v>0</v>
      </c>
      <c r="C299">
        <v>0</v>
      </c>
      <c r="D299">
        <v>0</v>
      </c>
      <c r="E299">
        <v>0</v>
      </c>
    </row>
    <row r="300" spans="1:5" x14ac:dyDescent="0.25">
      <c r="A300">
        <v>0</v>
      </c>
      <c r="B300">
        <v>0</v>
      </c>
      <c r="C300">
        <v>0</v>
      </c>
      <c r="D300">
        <v>0</v>
      </c>
      <c r="E300">
        <v>0</v>
      </c>
    </row>
    <row r="301" spans="1:5" x14ac:dyDescent="0.25">
      <c r="A301">
        <v>0</v>
      </c>
      <c r="B301">
        <v>0</v>
      </c>
      <c r="C301">
        <v>0</v>
      </c>
      <c r="D301">
        <v>0</v>
      </c>
      <c r="E301">
        <v>0</v>
      </c>
    </row>
    <row r="302" spans="1:5" x14ac:dyDescent="0.25">
      <c r="A302">
        <v>0</v>
      </c>
      <c r="B302">
        <v>0</v>
      </c>
      <c r="C302">
        <v>0</v>
      </c>
      <c r="D302">
        <v>0</v>
      </c>
      <c r="E302">
        <v>0</v>
      </c>
    </row>
    <row r="303" spans="1:5" x14ac:dyDescent="0.25">
      <c r="A303">
        <v>0</v>
      </c>
      <c r="B303">
        <v>0</v>
      </c>
      <c r="C303">
        <v>0</v>
      </c>
      <c r="D303">
        <v>0</v>
      </c>
      <c r="E303">
        <v>0</v>
      </c>
    </row>
    <row r="304" spans="1:5" x14ac:dyDescent="0.25">
      <c r="A304">
        <v>0</v>
      </c>
      <c r="B304">
        <v>0</v>
      </c>
      <c r="C304">
        <v>0</v>
      </c>
      <c r="D304">
        <v>0</v>
      </c>
      <c r="E304">
        <v>0</v>
      </c>
    </row>
    <row r="305" spans="1:5" x14ac:dyDescent="0.25">
      <c r="A305">
        <v>0</v>
      </c>
      <c r="B305">
        <v>0</v>
      </c>
      <c r="C305">
        <v>0</v>
      </c>
      <c r="D305">
        <v>0</v>
      </c>
      <c r="E305">
        <v>0</v>
      </c>
    </row>
    <row r="306" spans="1:5" x14ac:dyDescent="0.25">
      <c r="A306">
        <v>0</v>
      </c>
      <c r="B306">
        <v>0</v>
      </c>
      <c r="C306">
        <v>0</v>
      </c>
      <c r="D306">
        <v>0</v>
      </c>
      <c r="E306">
        <v>0</v>
      </c>
    </row>
    <row r="307" spans="1:5" x14ac:dyDescent="0.25">
      <c r="A307">
        <v>0</v>
      </c>
      <c r="B307">
        <v>0</v>
      </c>
      <c r="C307">
        <v>0</v>
      </c>
      <c r="D307">
        <v>0</v>
      </c>
      <c r="E307">
        <v>0</v>
      </c>
    </row>
    <row r="308" spans="1:5" x14ac:dyDescent="0.25">
      <c r="A308">
        <v>0</v>
      </c>
      <c r="B308">
        <v>0</v>
      </c>
      <c r="C308">
        <v>0</v>
      </c>
      <c r="D308">
        <v>0</v>
      </c>
      <c r="E308">
        <v>0</v>
      </c>
    </row>
    <row r="309" spans="1:5" x14ac:dyDescent="0.25">
      <c r="A309">
        <v>0</v>
      </c>
      <c r="B309">
        <v>0</v>
      </c>
      <c r="C309">
        <v>0</v>
      </c>
      <c r="D309">
        <v>0</v>
      </c>
      <c r="E309">
        <v>0</v>
      </c>
    </row>
    <row r="310" spans="1:5" x14ac:dyDescent="0.25">
      <c r="A310">
        <v>0</v>
      </c>
      <c r="B310">
        <v>0</v>
      </c>
      <c r="C310">
        <v>0</v>
      </c>
      <c r="D310">
        <v>0</v>
      </c>
      <c r="E310">
        <v>0</v>
      </c>
    </row>
    <row r="311" spans="1:5" x14ac:dyDescent="0.25">
      <c r="A311">
        <v>0</v>
      </c>
      <c r="B311">
        <v>0</v>
      </c>
      <c r="C311">
        <v>0</v>
      </c>
      <c r="D311">
        <v>0</v>
      </c>
      <c r="E311">
        <v>0</v>
      </c>
    </row>
    <row r="312" spans="1:5" x14ac:dyDescent="0.25">
      <c r="A312">
        <v>0</v>
      </c>
      <c r="B312">
        <v>0</v>
      </c>
      <c r="C312">
        <v>0</v>
      </c>
      <c r="D312">
        <v>0</v>
      </c>
      <c r="E312">
        <v>0</v>
      </c>
    </row>
    <row r="313" spans="1:5" x14ac:dyDescent="0.25">
      <c r="A313">
        <v>0</v>
      </c>
      <c r="B313">
        <v>0</v>
      </c>
      <c r="C313">
        <v>0</v>
      </c>
      <c r="D313">
        <v>0</v>
      </c>
      <c r="E313">
        <v>0</v>
      </c>
    </row>
    <row r="314" spans="1:5" x14ac:dyDescent="0.25">
      <c r="A314">
        <v>0</v>
      </c>
      <c r="B314">
        <v>0</v>
      </c>
      <c r="C314">
        <v>0</v>
      </c>
      <c r="D314">
        <v>0</v>
      </c>
      <c r="E314">
        <v>0</v>
      </c>
    </row>
    <row r="315" spans="1:5" x14ac:dyDescent="0.25">
      <c r="A315">
        <v>0</v>
      </c>
      <c r="B315">
        <v>0</v>
      </c>
      <c r="C315">
        <v>0</v>
      </c>
      <c r="D315">
        <v>0</v>
      </c>
      <c r="E315">
        <v>0</v>
      </c>
    </row>
    <row r="316" spans="1:5" x14ac:dyDescent="0.25">
      <c r="A316">
        <v>0</v>
      </c>
      <c r="B316">
        <v>0</v>
      </c>
      <c r="C316">
        <v>0</v>
      </c>
      <c r="D316">
        <v>0</v>
      </c>
      <c r="E316">
        <v>0</v>
      </c>
    </row>
    <row r="317" spans="1:5" x14ac:dyDescent="0.25">
      <c r="A317">
        <v>0</v>
      </c>
      <c r="B317">
        <v>0</v>
      </c>
      <c r="C317">
        <v>0</v>
      </c>
      <c r="D317">
        <v>0</v>
      </c>
      <c r="E317">
        <v>0</v>
      </c>
    </row>
    <row r="318" spans="1:5" x14ac:dyDescent="0.25">
      <c r="A318">
        <v>0</v>
      </c>
      <c r="B318">
        <v>0</v>
      </c>
      <c r="C318">
        <v>0</v>
      </c>
      <c r="D318">
        <v>0</v>
      </c>
      <c r="E318">
        <v>0</v>
      </c>
    </row>
    <row r="319" spans="1:5" x14ac:dyDescent="0.25">
      <c r="A319">
        <v>0</v>
      </c>
      <c r="B319">
        <v>0</v>
      </c>
      <c r="C319">
        <v>0</v>
      </c>
      <c r="D319">
        <v>0</v>
      </c>
      <c r="E319">
        <v>0</v>
      </c>
    </row>
    <row r="320" spans="1:5" x14ac:dyDescent="0.25">
      <c r="A320">
        <v>0</v>
      </c>
      <c r="B320">
        <v>0</v>
      </c>
      <c r="C320">
        <v>0</v>
      </c>
      <c r="D320">
        <v>0</v>
      </c>
      <c r="E320">
        <v>0</v>
      </c>
    </row>
    <row r="321" spans="1:5" x14ac:dyDescent="0.25">
      <c r="A321">
        <v>0</v>
      </c>
      <c r="B321">
        <v>0</v>
      </c>
      <c r="C321">
        <v>0</v>
      </c>
      <c r="D321">
        <v>0</v>
      </c>
      <c r="E321">
        <v>0</v>
      </c>
    </row>
    <row r="322" spans="1:5" x14ac:dyDescent="0.25">
      <c r="A322">
        <v>0</v>
      </c>
      <c r="B322">
        <v>0</v>
      </c>
      <c r="C322">
        <v>0</v>
      </c>
      <c r="D322">
        <v>0</v>
      </c>
      <c r="E322">
        <v>0</v>
      </c>
    </row>
    <row r="323" spans="1:5" x14ac:dyDescent="0.25">
      <c r="A323">
        <v>0</v>
      </c>
      <c r="B323">
        <v>0</v>
      </c>
      <c r="C323">
        <v>0</v>
      </c>
      <c r="D323">
        <v>0</v>
      </c>
      <c r="E323">
        <v>0</v>
      </c>
    </row>
    <row r="324" spans="1:5" x14ac:dyDescent="0.25">
      <c r="A324">
        <v>0</v>
      </c>
      <c r="B324">
        <v>0</v>
      </c>
      <c r="C324">
        <v>0</v>
      </c>
      <c r="D324">
        <v>0</v>
      </c>
      <c r="E324">
        <v>0</v>
      </c>
    </row>
    <row r="325" spans="1:5" x14ac:dyDescent="0.25">
      <c r="A325">
        <v>0</v>
      </c>
      <c r="B325">
        <v>0</v>
      </c>
      <c r="C325">
        <v>0</v>
      </c>
      <c r="D325">
        <v>0</v>
      </c>
      <c r="E325">
        <v>0</v>
      </c>
    </row>
    <row r="326" spans="1:5" x14ac:dyDescent="0.25">
      <c r="A326">
        <v>0</v>
      </c>
      <c r="B326">
        <v>0</v>
      </c>
      <c r="C326">
        <v>0</v>
      </c>
      <c r="D326">
        <v>0</v>
      </c>
      <c r="E326">
        <v>0</v>
      </c>
    </row>
    <row r="327" spans="1:5" x14ac:dyDescent="0.25">
      <c r="A327">
        <v>0</v>
      </c>
      <c r="B327">
        <v>0</v>
      </c>
      <c r="C327">
        <v>0</v>
      </c>
      <c r="D327">
        <v>0</v>
      </c>
      <c r="E327">
        <v>0</v>
      </c>
    </row>
    <row r="328" spans="1:5" x14ac:dyDescent="0.25">
      <c r="A328">
        <v>0</v>
      </c>
      <c r="B328">
        <v>0</v>
      </c>
      <c r="C328">
        <v>0</v>
      </c>
      <c r="D328">
        <v>0</v>
      </c>
      <c r="E328">
        <v>0</v>
      </c>
    </row>
    <row r="329" spans="1:5" x14ac:dyDescent="0.25">
      <c r="A329">
        <v>0</v>
      </c>
      <c r="B329">
        <v>0</v>
      </c>
      <c r="C329">
        <v>0</v>
      </c>
      <c r="D329">
        <v>0</v>
      </c>
      <c r="E329">
        <v>0</v>
      </c>
    </row>
    <row r="330" spans="1:5" x14ac:dyDescent="0.25">
      <c r="A330">
        <v>0</v>
      </c>
      <c r="B330">
        <v>0</v>
      </c>
      <c r="C330">
        <v>0</v>
      </c>
      <c r="D330">
        <v>0</v>
      </c>
      <c r="E330">
        <v>0</v>
      </c>
    </row>
    <row r="331" spans="1:5" x14ac:dyDescent="0.25">
      <c r="A331">
        <v>0</v>
      </c>
      <c r="B331">
        <v>0</v>
      </c>
      <c r="C331">
        <v>0</v>
      </c>
      <c r="D331">
        <v>0</v>
      </c>
      <c r="E331">
        <v>0</v>
      </c>
    </row>
    <row r="332" spans="1:5" x14ac:dyDescent="0.25">
      <c r="A332">
        <v>0</v>
      </c>
      <c r="B332">
        <v>0</v>
      </c>
      <c r="C332">
        <v>0</v>
      </c>
      <c r="D332">
        <v>0</v>
      </c>
      <c r="E332">
        <v>0</v>
      </c>
    </row>
    <row r="333" spans="1:5" x14ac:dyDescent="0.25">
      <c r="A333">
        <v>0</v>
      </c>
      <c r="B333">
        <v>0</v>
      </c>
      <c r="C333">
        <v>0</v>
      </c>
      <c r="D333">
        <v>0</v>
      </c>
      <c r="E333">
        <v>0</v>
      </c>
    </row>
    <row r="334" spans="1:5" x14ac:dyDescent="0.25">
      <c r="A334">
        <v>0</v>
      </c>
      <c r="B334">
        <v>0</v>
      </c>
      <c r="C334">
        <v>0</v>
      </c>
      <c r="D334">
        <v>0</v>
      </c>
      <c r="E334">
        <v>0</v>
      </c>
    </row>
    <row r="335" spans="1:5" x14ac:dyDescent="0.25">
      <c r="A335">
        <v>0</v>
      </c>
      <c r="B335">
        <v>0</v>
      </c>
      <c r="C335">
        <v>0</v>
      </c>
      <c r="D335">
        <v>0</v>
      </c>
      <c r="E335">
        <v>0</v>
      </c>
    </row>
    <row r="336" spans="1:5" x14ac:dyDescent="0.25">
      <c r="A336">
        <v>0</v>
      </c>
      <c r="B336">
        <v>0</v>
      </c>
      <c r="C336">
        <v>0</v>
      </c>
      <c r="D336">
        <v>0</v>
      </c>
      <c r="E336">
        <v>0</v>
      </c>
    </row>
    <row r="337" spans="1:5" x14ac:dyDescent="0.25">
      <c r="A337">
        <v>0</v>
      </c>
      <c r="B337">
        <v>0</v>
      </c>
      <c r="C337">
        <v>0</v>
      </c>
      <c r="D337">
        <v>0</v>
      </c>
      <c r="E337">
        <v>0</v>
      </c>
    </row>
    <row r="338" spans="1:5" x14ac:dyDescent="0.25">
      <c r="A338">
        <v>0</v>
      </c>
      <c r="B338">
        <v>0</v>
      </c>
      <c r="C338">
        <v>0</v>
      </c>
      <c r="D338">
        <v>0</v>
      </c>
      <c r="E338">
        <v>0</v>
      </c>
    </row>
    <row r="339" spans="1:5" x14ac:dyDescent="0.25">
      <c r="A339">
        <v>0</v>
      </c>
      <c r="B339">
        <v>0</v>
      </c>
      <c r="C339">
        <v>0</v>
      </c>
      <c r="D339">
        <v>0</v>
      </c>
      <c r="E339">
        <v>0</v>
      </c>
    </row>
    <row r="340" spans="1:5" x14ac:dyDescent="0.25">
      <c r="A340">
        <v>0</v>
      </c>
      <c r="B340">
        <v>0</v>
      </c>
      <c r="C340">
        <v>0</v>
      </c>
      <c r="D340">
        <v>0</v>
      </c>
      <c r="E340">
        <v>0</v>
      </c>
    </row>
    <row r="341" spans="1:5" x14ac:dyDescent="0.25">
      <c r="A341">
        <v>0</v>
      </c>
      <c r="B341">
        <v>0</v>
      </c>
      <c r="C341">
        <v>0</v>
      </c>
      <c r="D341">
        <v>0</v>
      </c>
      <c r="E341">
        <v>0</v>
      </c>
    </row>
    <row r="342" spans="1:5" x14ac:dyDescent="0.25">
      <c r="A342">
        <v>0</v>
      </c>
      <c r="B342">
        <v>0</v>
      </c>
      <c r="C342">
        <v>0</v>
      </c>
      <c r="D342">
        <v>0</v>
      </c>
      <c r="E342">
        <v>0</v>
      </c>
    </row>
    <row r="343" spans="1:5" x14ac:dyDescent="0.25">
      <c r="A343">
        <v>0</v>
      </c>
      <c r="B343">
        <v>0</v>
      </c>
      <c r="C343">
        <v>0</v>
      </c>
      <c r="D343">
        <v>0</v>
      </c>
      <c r="E343">
        <v>0</v>
      </c>
    </row>
    <row r="344" spans="1:5" x14ac:dyDescent="0.25">
      <c r="A344">
        <v>0</v>
      </c>
      <c r="B344">
        <v>0</v>
      </c>
      <c r="C344">
        <v>0</v>
      </c>
      <c r="D344">
        <v>0</v>
      </c>
      <c r="E344">
        <v>0</v>
      </c>
    </row>
    <row r="345" spans="1:5" x14ac:dyDescent="0.25">
      <c r="A345">
        <v>0</v>
      </c>
      <c r="B345">
        <v>0</v>
      </c>
      <c r="C345">
        <v>0</v>
      </c>
      <c r="D345">
        <v>0</v>
      </c>
      <c r="E345">
        <v>0</v>
      </c>
    </row>
    <row r="346" spans="1:5" x14ac:dyDescent="0.25">
      <c r="A346">
        <v>0</v>
      </c>
      <c r="B346">
        <v>0</v>
      </c>
      <c r="C346">
        <v>0</v>
      </c>
      <c r="D346">
        <v>0</v>
      </c>
      <c r="E346">
        <v>0</v>
      </c>
    </row>
    <row r="347" spans="1:5" x14ac:dyDescent="0.25">
      <c r="A347">
        <v>0</v>
      </c>
      <c r="B347">
        <v>0</v>
      </c>
      <c r="C347">
        <v>0</v>
      </c>
      <c r="D347">
        <v>0</v>
      </c>
      <c r="E347">
        <v>0</v>
      </c>
    </row>
    <row r="348" spans="1:5" x14ac:dyDescent="0.25">
      <c r="A348">
        <v>0</v>
      </c>
      <c r="B348">
        <v>0</v>
      </c>
      <c r="C348">
        <v>0</v>
      </c>
      <c r="D348">
        <v>0</v>
      </c>
      <c r="E348">
        <v>0</v>
      </c>
    </row>
    <row r="349" spans="1:5" x14ac:dyDescent="0.25">
      <c r="A349">
        <v>0</v>
      </c>
      <c r="B349">
        <v>0</v>
      </c>
      <c r="C349">
        <v>0</v>
      </c>
      <c r="D349">
        <v>0</v>
      </c>
      <c r="E349">
        <v>0</v>
      </c>
    </row>
    <row r="350" spans="1:5" x14ac:dyDescent="0.25">
      <c r="A350">
        <v>0</v>
      </c>
      <c r="B350">
        <v>0</v>
      </c>
      <c r="C350">
        <v>0</v>
      </c>
      <c r="D350">
        <v>0</v>
      </c>
      <c r="E350">
        <v>0</v>
      </c>
    </row>
    <row r="351" spans="1:5" x14ac:dyDescent="0.25">
      <c r="A351">
        <v>0</v>
      </c>
      <c r="B351">
        <v>0</v>
      </c>
      <c r="C351">
        <v>0</v>
      </c>
      <c r="D351">
        <v>0</v>
      </c>
      <c r="E351">
        <v>0</v>
      </c>
    </row>
    <row r="352" spans="1:5" x14ac:dyDescent="0.25">
      <c r="A352">
        <v>0</v>
      </c>
      <c r="B352">
        <v>0</v>
      </c>
      <c r="C352">
        <v>0</v>
      </c>
      <c r="D352">
        <v>0</v>
      </c>
      <c r="E352">
        <v>0</v>
      </c>
    </row>
    <row r="353" spans="1:5" x14ac:dyDescent="0.25">
      <c r="A353">
        <v>0</v>
      </c>
      <c r="B353">
        <v>0</v>
      </c>
      <c r="C353">
        <v>0</v>
      </c>
      <c r="D353">
        <v>0</v>
      </c>
      <c r="E353">
        <v>0</v>
      </c>
    </row>
    <row r="354" spans="1:5" x14ac:dyDescent="0.25">
      <c r="A354">
        <v>0</v>
      </c>
      <c r="B354">
        <v>0</v>
      </c>
      <c r="C354">
        <v>0</v>
      </c>
      <c r="D354">
        <v>0</v>
      </c>
      <c r="E354">
        <v>0</v>
      </c>
    </row>
    <row r="355" spans="1:5" x14ac:dyDescent="0.25">
      <c r="A355">
        <v>0</v>
      </c>
      <c r="B355">
        <v>0</v>
      </c>
      <c r="C355">
        <v>0</v>
      </c>
      <c r="D355">
        <v>0</v>
      </c>
      <c r="E355">
        <v>0</v>
      </c>
    </row>
    <row r="356" spans="1:5" x14ac:dyDescent="0.25">
      <c r="A356">
        <v>0</v>
      </c>
      <c r="B356">
        <v>0</v>
      </c>
      <c r="C356">
        <v>0</v>
      </c>
      <c r="D356">
        <v>0</v>
      </c>
      <c r="E356">
        <v>0</v>
      </c>
    </row>
    <row r="357" spans="1:5" x14ac:dyDescent="0.25">
      <c r="A357">
        <v>0</v>
      </c>
      <c r="B357">
        <v>0</v>
      </c>
      <c r="C357">
        <v>0</v>
      </c>
      <c r="D357">
        <v>0</v>
      </c>
      <c r="E357">
        <v>0</v>
      </c>
    </row>
    <row r="358" spans="1:5" x14ac:dyDescent="0.25">
      <c r="A358">
        <v>0</v>
      </c>
      <c r="B358">
        <v>0</v>
      </c>
      <c r="C358">
        <v>0</v>
      </c>
      <c r="D358">
        <v>0</v>
      </c>
      <c r="E358">
        <v>0</v>
      </c>
    </row>
    <row r="359" spans="1:5" x14ac:dyDescent="0.25">
      <c r="A359">
        <v>0</v>
      </c>
      <c r="B359">
        <v>0</v>
      </c>
      <c r="C359">
        <v>0</v>
      </c>
      <c r="D359">
        <v>0</v>
      </c>
      <c r="E359">
        <v>0</v>
      </c>
    </row>
    <row r="360" spans="1:5" x14ac:dyDescent="0.25">
      <c r="A360">
        <v>0</v>
      </c>
      <c r="B360">
        <v>0</v>
      </c>
      <c r="C360">
        <v>0</v>
      </c>
      <c r="D360">
        <v>0</v>
      </c>
      <c r="E360">
        <v>0</v>
      </c>
    </row>
    <row r="361" spans="1:5" x14ac:dyDescent="0.25">
      <c r="A361">
        <v>0</v>
      </c>
      <c r="B361">
        <v>0</v>
      </c>
      <c r="C361">
        <v>0</v>
      </c>
      <c r="D361">
        <v>0</v>
      </c>
      <c r="E361">
        <v>0</v>
      </c>
    </row>
    <row r="362" spans="1:5" x14ac:dyDescent="0.25">
      <c r="A362">
        <v>0</v>
      </c>
      <c r="B362">
        <v>0</v>
      </c>
      <c r="C362">
        <v>0</v>
      </c>
      <c r="D362">
        <v>0</v>
      </c>
      <c r="E362">
        <v>0</v>
      </c>
    </row>
    <row r="363" spans="1:5" x14ac:dyDescent="0.25">
      <c r="A363">
        <v>0</v>
      </c>
      <c r="B363">
        <v>0</v>
      </c>
      <c r="C363">
        <v>0</v>
      </c>
      <c r="D363">
        <v>0</v>
      </c>
      <c r="E363">
        <v>0</v>
      </c>
    </row>
    <row r="364" spans="1:5" x14ac:dyDescent="0.25">
      <c r="A364">
        <v>0</v>
      </c>
      <c r="B364">
        <v>0</v>
      </c>
      <c r="C364">
        <v>0</v>
      </c>
      <c r="D364">
        <v>0</v>
      </c>
      <c r="E364">
        <v>0</v>
      </c>
    </row>
    <row r="365" spans="1:5" x14ac:dyDescent="0.25">
      <c r="A365">
        <v>0</v>
      </c>
      <c r="B365">
        <v>0</v>
      </c>
      <c r="C365">
        <v>0</v>
      </c>
      <c r="D365">
        <v>0</v>
      </c>
      <c r="E365">
        <v>0</v>
      </c>
    </row>
    <row r="366" spans="1:5" x14ac:dyDescent="0.25">
      <c r="A366">
        <v>0</v>
      </c>
      <c r="B366">
        <v>0</v>
      </c>
      <c r="C366">
        <v>0</v>
      </c>
      <c r="D366">
        <v>0</v>
      </c>
      <c r="E366">
        <v>0</v>
      </c>
    </row>
    <row r="367" spans="1:5" x14ac:dyDescent="0.25">
      <c r="A367">
        <v>0</v>
      </c>
      <c r="B367">
        <v>0</v>
      </c>
      <c r="C367">
        <v>0</v>
      </c>
      <c r="D367">
        <v>0</v>
      </c>
      <c r="E367">
        <v>0</v>
      </c>
    </row>
    <row r="368" spans="1:5" x14ac:dyDescent="0.25">
      <c r="A368">
        <v>0</v>
      </c>
      <c r="B368">
        <v>0</v>
      </c>
      <c r="C368">
        <v>0</v>
      </c>
      <c r="D368">
        <v>0</v>
      </c>
      <c r="E368">
        <v>0</v>
      </c>
    </row>
    <row r="369" spans="1:5" x14ac:dyDescent="0.25">
      <c r="A369">
        <v>0</v>
      </c>
      <c r="B369">
        <v>0</v>
      </c>
      <c r="C369">
        <v>0</v>
      </c>
      <c r="D369">
        <v>0</v>
      </c>
      <c r="E369">
        <v>0</v>
      </c>
    </row>
    <row r="370" spans="1:5" x14ac:dyDescent="0.25">
      <c r="A370">
        <v>0</v>
      </c>
      <c r="B370">
        <v>0</v>
      </c>
      <c r="C370">
        <v>0</v>
      </c>
      <c r="D370">
        <v>0</v>
      </c>
      <c r="E370">
        <v>0</v>
      </c>
    </row>
    <row r="371" spans="1:5" x14ac:dyDescent="0.25">
      <c r="A371">
        <v>0</v>
      </c>
      <c r="B371">
        <v>0</v>
      </c>
      <c r="C371">
        <v>0</v>
      </c>
      <c r="D371">
        <v>0</v>
      </c>
      <c r="E371">
        <v>0</v>
      </c>
    </row>
    <row r="372" spans="1:5" x14ac:dyDescent="0.25">
      <c r="A372">
        <v>0</v>
      </c>
      <c r="B372">
        <v>0</v>
      </c>
      <c r="C372">
        <v>0</v>
      </c>
      <c r="D372">
        <v>0</v>
      </c>
      <c r="E372">
        <v>0</v>
      </c>
    </row>
    <row r="373" spans="1:5" x14ac:dyDescent="0.25">
      <c r="A373">
        <v>0</v>
      </c>
      <c r="B373">
        <v>0</v>
      </c>
      <c r="C373">
        <v>0</v>
      </c>
      <c r="D373">
        <v>0</v>
      </c>
      <c r="E373">
        <v>0</v>
      </c>
    </row>
    <row r="374" spans="1:5" x14ac:dyDescent="0.25">
      <c r="A374">
        <v>0</v>
      </c>
      <c r="B374">
        <v>0</v>
      </c>
      <c r="C374">
        <v>0</v>
      </c>
      <c r="D374">
        <v>0</v>
      </c>
      <c r="E374">
        <v>0</v>
      </c>
    </row>
    <row r="375" spans="1:5" x14ac:dyDescent="0.25">
      <c r="A375">
        <v>0</v>
      </c>
      <c r="B375">
        <v>0</v>
      </c>
      <c r="C375">
        <v>0</v>
      </c>
      <c r="D375">
        <v>0</v>
      </c>
      <c r="E375">
        <v>0</v>
      </c>
    </row>
    <row r="376" spans="1:5" x14ac:dyDescent="0.25">
      <c r="A376">
        <v>0</v>
      </c>
      <c r="B376">
        <v>0</v>
      </c>
      <c r="C376">
        <v>0</v>
      </c>
      <c r="D376">
        <v>0</v>
      </c>
      <c r="E376">
        <v>0</v>
      </c>
    </row>
    <row r="377" spans="1:5" x14ac:dyDescent="0.25">
      <c r="A377">
        <v>0</v>
      </c>
      <c r="B377">
        <v>0</v>
      </c>
      <c r="C377">
        <v>0</v>
      </c>
      <c r="D377">
        <v>0</v>
      </c>
      <c r="E377">
        <v>0</v>
      </c>
    </row>
    <row r="378" spans="1:5" x14ac:dyDescent="0.25">
      <c r="A378">
        <v>0</v>
      </c>
      <c r="B378">
        <v>0</v>
      </c>
      <c r="C378">
        <v>0</v>
      </c>
      <c r="D378">
        <v>0</v>
      </c>
      <c r="E378">
        <v>0</v>
      </c>
    </row>
    <row r="379" spans="1:5" x14ac:dyDescent="0.25">
      <c r="A379">
        <v>0</v>
      </c>
      <c r="B379">
        <v>0</v>
      </c>
      <c r="C379">
        <v>0</v>
      </c>
      <c r="D379">
        <v>0</v>
      </c>
      <c r="E379">
        <v>0</v>
      </c>
    </row>
    <row r="380" spans="1:5" x14ac:dyDescent="0.25">
      <c r="A380">
        <v>0</v>
      </c>
      <c r="B380">
        <v>0</v>
      </c>
      <c r="C380">
        <v>0</v>
      </c>
      <c r="D380">
        <v>0</v>
      </c>
      <c r="E380">
        <v>0</v>
      </c>
    </row>
    <row r="381" spans="1:5" x14ac:dyDescent="0.25">
      <c r="A381">
        <v>0</v>
      </c>
      <c r="B381">
        <v>0</v>
      </c>
      <c r="C381">
        <v>0</v>
      </c>
      <c r="D381">
        <v>0</v>
      </c>
      <c r="E381">
        <v>0</v>
      </c>
    </row>
    <row r="382" spans="1:5" x14ac:dyDescent="0.25">
      <c r="A382">
        <v>0</v>
      </c>
      <c r="B382">
        <v>0</v>
      </c>
      <c r="C382">
        <v>0</v>
      </c>
      <c r="D382">
        <v>0</v>
      </c>
      <c r="E382">
        <v>0</v>
      </c>
    </row>
    <row r="383" spans="1:5" x14ac:dyDescent="0.25">
      <c r="A383">
        <v>0</v>
      </c>
      <c r="B383">
        <v>0</v>
      </c>
      <c r="C383">
        <v>0</v>
      </c>
      <c r="D383">
        <v>0</v>
      </c>
      <c r="E383">
        <v>0</v>
      </c>
    </row>
    <row r="384" spans="1:5" x14ac:dyDescent="0.25">
      <c r="A384">
        <v>0</v>
      </c>
      <c r="B384">
        <v>0</v>
      </c>
      <c r="C384">
        <v>0</v>
      </c>
      <c r="D384">
        <v>0</v>
      </c>
      <c r="E384">
        <v>0</v>
      </c>
    </row>
    <row r="385" spans="1:5" x14ac:dyDescent="0.25">
      <c r="A385">
        <v>0</v>
      </c>
      <c r="B385">
        <v>0</v>
      </c>
      <c r="C385">
        <v>0</v>
      </c>
      <c r="D385">
        <v>0</v>
      </c>
      <c r="E385">
        <v>0</v>
      </c>
    </row>
    <row r="386" spans="1:5" x14ac:dyDescent="0.25">
      <c r="A386">
        <v>0</v>
      </c>
      <c r="B386">
        <v>0</v>
      </c>
      <c r="C386">
        <v>0</v>
      </c>
      <c r="D386">
        <v>0</v>
      </c>
      <c r="E386">
        <v>0</v>
      </c>
    </row>
    <row r="387" spans="1:5" x14ac:dyDescent="0.25">
      <c r="A387">
        <v>0</v>
      </c>
      <c r="B387">
        <v>0</v>
      </c>
      <c r="C387">
        <v>0</v>
      </c>
      <c r="D387">
        <v>0</v>
      </c>
      <c r="E387">
        <v>0</v>
      </c>
    </row>
    <row r="388" spans="1:5" x14ac:dyDescent="0.25">
      <c r="A388">
        <v>0</v>
      </c>
      <c r="B388">
        <v>0</v>
      </c>
      <c r="C388">
        <v>0</v>
      </c>
      <c r="D388">
        <v>0</v>
      </c>
      <c r="E388">
        <v>0</v>
      </c>
    </row>
    <row r="389" spans="1:5" x14ac:dyDescent="0.25">
      <c r="A389">
        <v>0</v>
      </c>
      <c r="B389">
        <v>0</v>
      </c>
      <c r="C389">
        <v>0</v>
      </c>
      <c r="D389">
        <v>0</v>
      </c>
      <c r="E389">
        <v>0</v>
      </c>
    </row>
    <row r="390" spans="1:5" x14ac:dyDescent="0.25">
      <c r="A390">
        <v>0</v>
      </c>
      <c r="B390">
        <v>0</v>
      </c>
      <c r="C390">
        <v>0</v>
      </c>
      <c r="D390">
        <v>0</v>
      </c>
      <c r="E390">
        <v>0</v>
      </c>
    </row>
    <row r="391" spans="1:5" x14ac:dyDescent="0.25">
      <c r="A391">
        <v>0</v>
      </c>
      <c r="B391">
        <v>0</v>
      </c>
      <c r="C391">
        <v>0</v>
      </c>
      <c r="D391">
        <v>0</v>
      </c>
      <c r="E391">
        <v>0</v>
      </c>
    </row>
    <row r="392" spans="1:5" x14ac:dyDescent="0.25">
      <c r="A392">
        <v>0</v>
      </c>
      <c r="B392">
        <v>0</v>
      </c>
      <c r="C392">
        <v>0</v>
      </c>
      <c r="D392">
        <v>0</v>
      </c>
      <c r="E392">
        <v>0</v>
      </c>
    </row>
    <row r="393" spans="1:5" x14ac:dyDescent="0.25">
      <c r="A393">
        <v>0</v>
      </c>
      <c r="B393">
        <v>0</v>
      </c>
      <c r="C393">
        <v>0</v>
      </c>
      <c r="D393">
        <v>0</v>
      </c>
      <c r="E393">
        <v>0</v>
      </c>
    </row>
    <row r="394" spans="1:5" x14ac:dyDescent="0.25">
      <c r="A394">
        <v>0</v>
      </c>
      <c r="B394">
        <v>0</v>
      </c>
      <c r="C394">
        <v>0</v>
      </c>
      <c r="D394">
        <v>0</v>
      </c>
      <c r="E394">
        <v>0</v>
      </c>
    </row>
    <row r="395" spans="1:5" x14ac:dyDescent="0.25">
      <c r="A395">
        <v>0</v>
      </c>
      <c r="B395">
        <v>0</v>
      </c>
      <c r="C395">
        <v>0</v>
      </c>
      <c r="D395">
        <v>0</v>
      </c>
      <c r="E395">
        <v>0</v>
      </c>
    </row>
    <row r="396" spans="1:5" x14ac:dyDescent="0.25">
      <c r="A396">
        <v>0</v>
      </c>
      <c r="B396">
        <v>0</v>
      </c>
      <c r="C396">
        <v>0</v>
      </c>
      <c r="D396">
        <v>0</v>
      </c>
      <c r="E396">
        <v>0</v>
      </c>
    </row>
    <row r="397" spans="1:5" x14ac:dyDescent="0.25">
      <c r="A397">
        <v>0</v>
      </c>
      <c r="B397">
        <v>0</v>
      </c>
      <c r="C397">
        <v>0</v>
      </c>
      <c r="D397">
        <v>0</v>
      </c>
      <c r="E397">
        <v>0</v>
      </c>
    </row>
    <row r="398" spans="1:5" x14ac:dyDescent="0.25">
      <c r="A398">
        <v>0</v>
      </c>
      <c r="B398">
        <v>0</v>
      </c>
      <c r="C398">
        <v>0</v>
      </c>
      <c r="D398">
        <v>0</v>
      </c>
      <c r="E398">
        <v>0</v>
      </c>
    </row>
    <row r="399" spans="1:5" x14ac:dyDescent="0.25">
      <c r="A399">
        <v>0</v>
      </c>
      <c r="B399">
        <v>0</v>
      </c>
      <c r="C399">
        <v>0</v>
      </c>
      <c r="D399">
        <v>0</v>
      </c>
      <c r="E399">
        <v>0</v>
      </c>
    </row>
    <row r="400" spans="1:5" x14ac:dyDescent="0.25">
      <c r="A400">
        <v>0</v>
      </c>
      <c r="B400">
        <v>0</v>
      </c>
      <c r="C400">
        <v>0</v>
      </c>
      <c r="D400">
        <v>0</v>
      </c>
      <c r="E400">
        <v>0</v>
      </c>
    </row>
    <row r="401" spans="1:5" x14ac:dyDescent="0.25">
      <c r="A401">
        <v>0</v>
      </c>
      <c r="B401">
        <v>0</v>
      </c>
      <c r="C401">
        <v>0</v>
      </c>
      <c r="D401">
        <v>0</v>
      </c>
      <c r="E401">
        <v>0</v>
      </c>
    </row>
    <row r="402" spans="1:5" x14ac:dyDescent="0.25">
      <c r="A402">
        <v>0</v>
      </c>
      <c r="B402">
        <v>0</v>
      </c>
      <c r="C402">
        <v>0</v>
      </c>
      <c r="D402">
        <v>0</v>
      </c>
      <c r="E402">
        <v>0</v>
      </c>
    </row>
    <row r="403" spans="1:5" x14ac:dyDescent="0.25">
      <c r="A403">
        <v>0</v>
      </c>
      <c r="B403">
        <v>0</v>
      </c>
      <c r="C403">
        <v>0</v>
      </c>
      <c r="D403">
        <v>0</v>
      </c>
      <c r="E403">
        <v>0</v>
      </c>
    </row>
    <row r="404" spans="1:5" x14ac:dyDescent="0.25">
      <c r="A404">
        <v>0</v>
      </c>
      <c r="B404">
        <v>0</v>
      </c>
      <c r="C404">
        <v>0</v>
      </c>
      <c r="D404">
        <v>0</v>
      </c>
      <c r="E404">
        <v>0</v>
      </c>
    </row>
    <row r="405" spans="1:5" x14ac:dyDescent="0.25">
      <c r="A405">
        <v>0</v>
      </c>
      <c r="B405">
        <v>0</v>
      </c>
      <c r="C405">
        <v>0</v>
      </c>
      <c r="D405">
        <v>0</v>
      </c>
      <c r="E405">
        <v>0</v>
      </c>
    </row>
    <row r="406" spans="1:5" x14ac:dyDescent="0.25">
      <c r="A406">
        <v>0</v>
      </c>
      <c r="B406">
        <v>0</v>
      </c>
      <c r="C406">
        <v>0</v>
      </c>
      <c r="D406">
        <v>0</v>
      </c>
      <c r="E406">
        <v>0</v>
      </c>
    </row>
    <row r="407" spans="1:5" x14ac:dyDescent="0.25">
      <c r="A407">
        <v>0</v>
      </c>
      <c r="B407">
        <v>0</v>
      </c>
      <c r="C407">
        <v>0</v>
      </c>
      <c r="D407">
        <v>0</v>
      </c>
      <c r="E407">
        <v>0</v>
      </c>
    </row>
    <row r="408" spans="1:5" x14ac:dyDescent="0.25">
      <c r="A408">
        <v>0</v>
      </c>
      <c r="B408">
        <v>0</v>
      </c>
      <c r="C408">
        <v>0</v>
      </c>
      <c r="D408">
        <v>0</v>
      </c>
      <c r="E408">
        <v>0</v>
      </c>
    </row>
    <row r="409" spans="1:5" x14ac:dyDescent="0.25">
      <c r="A409">
        <v>0</v>
      </c>
      <c r="B409">
        <v>0</v>
      </c>
      <c r="C409">
        <v>0</v>
      </c>
      <c r="D409">
        <v>0</v>
      </c>
      <c r="E409">
        <v>0</v>
      </c>
    </row>
    <row r="410" spans="1:5" x14ac:dyDescent="0.25">
      <c r="A410">
        <v>0</v>
      </c>
      <c r="B410">
        <v>0</v>
      </c>
      <c r="C410">
        <v>0</v>
      </c>
      <c r="D410">
        <v>0</v>
      </c>
      <c r="E410">
        <v>0</v>
      </c>
    </row>
    <row r="411" spans="1:5" x14ac:dyDescent="0.25">
      <c r="A411">
        <v>0</v>
      </c>
      <c r="B411">
        <v>0</v>
      </c>
      <c r="C411">
        <v>0</v>
      </c>
      <c r="D411">
        <v>0</v>
      </c>
      <c r="E411">
        <v>0</v>
      </c>
    </row>
    <row r="412" spans="1:5" x14ac:dyDescent="0.25">
      <c r="A412">
        <v>0</v>
      </c>
      <c r="B412">
        <v>0</v>
      </c>
      <c r="C412">
        <v>0</v>
      </c>
      <c r="D412">
        <v>0</v>
      </c>
      <c r="E412">
        <v>0</v>
      </c>
    </row>
    <row r="413" spans="1:5" x14ac:dyDescent="0.25">
      <c r="A413">
        <v>0</v>
      </c>
      <c r="B413">
        <v>0</v>
      </c>
      <c r="C413">
        <v>0</v>
      </c>
      <c r="D413">
        <v>0</v>
      </c>
      <c r="E413">
        <v>0</v>
      </c>
    </row>
    <row r="414" spans="1:5" x14ac:dyDescent="0.25">
      <c r="A414">
        <v>0</v>
      </c>
      <c r="B414">
        <v>0</v>
      </c>
      <c r="C414">
        <v>0</v>
      </c>
      <c r="D414">
        <v>0</v>
      </c>
      <c r="E414">
        <v>0</v>
      </c>
    </row>
    <row r="415" spans="1:5" x14ac:dyDescent="0.25">
      <c r="A415">
        <v>0</v>
      </c>
      <c r="B415">
        <v>0</v>
      </c>
      <c r="C415">
        <v>0</v>
      </c>
      <c r="D415">
        <v>0</v>
      </c>
      <c r="E415">
        <v>0</v>
      </c>
    </row>
    <row r="416" spans="1:5" x14ac:dyDescent="0.25">
      <c r="A416">
        <v>0</v>
      </c>
      <c r="B416">
        <v>0</v>
      </c>
      <c r="C416">
        <v>0</v>
      </c>
      <c r="D416">
        <v>0</v>
      </c>
      <c r="E416">
        <v>0</v>
      </c>
    </row>
    <row r="417" spans="1:5" x14ac:dyDescent="0.25">
      <c r="A417">
        <v>0</v>
      </c>
      <c r="B417">
        <v>0</v>
      </c>
      <c r="C417">
        <v>0</v>
      </c>
      <c r="D417">
        <v>0</v>
      </c>
      <c r="E417">
        <v>0</v>
      </c>
    </row>
    <row r="418" spans="1:5" x14ac:dyDescent="0.25">
      <c r="A418">
        <v>0</v>
      </c>
      <c r="B418">
        <v>0</v>
      </c>
      <c r="C418">
        <v>0</v>
      </c>
      <c r="D418">
        <v>0</v>
      </c>
      <c r="E418">
        <v>0</v>
      </c>
    </row>
    <row r="419" spans="1:5" x14ac:dyDescent="0.25">
      <c r="A419">
        <v>0</v>
      </c>
      <c r="B419">
        <v>0</v>
      </c>
      <c r="C419">
        <v>0</v>
      </c>
      <c r="D419">
        <v>0</v>
      </c>
      <c r="E419">
        <v>0</v>
      </c>
    </row>
    <row r="420" spans="1:5" x14ac:dyDescent="0.25">
      <c r="A420">
        <v>0</v>
      </c>
      <c r="B420">
        <v>0</v>
      </c>
      <c r="C420">
        <v>0</v>
      </c>
      <c r="D420">
        <v>0</v>
      </c>
      <c r="E420">
        <v>0</v>
      </c>
    </row>
    <row r="421" spans="1:5" x14ac:dyDescent="0.25">
      <c r="A421">
        <v>0</v>
      </c>
      <c r="B421">
        <v>0</v>
      </c>
      <c r="C421">
        <v>0</v>
      </c>
      <c r="D421">
        <v>0</v>
      </c>
      <c r="E421">
        <v>0</v>
      </c>
    </row>
    <row r="422" spans="1:5" x14ac:dyDescent="0.25">
      <c r="A422">
        <v>0</v>
      </c>
      <c r="B422">
        <v>0</v>
      </c>
      <c r="C422">
        <v>0</v>
      </c>
      <c r="D422">
        <v>0</v>
      </c>
      <c r="E422">
        <v>0</v>
      </c>
    </row>
    <row r="423" spans="1:5" x14ac:dyDescent="0.25">
      <c r="A423">
        <v>0</v>
      </c>
      <c r="B423">
        <v>0</v>
      </c>
      <c r="C423">
        <v>0</v>
      </c>
      <c r="D423">
        <v>0</v>
      </c>
      <c r="E423">
        <v>0</v>
      </c>
    </row>
    <row r="424" spans="1:5" x14ac:dyDescent="0.25">
      <c r="A424">
        <v>0</v>
      </c>
      <c r="B424">
        <v>0</v>
      </c>
      <c r="C424">
        <v>0</v>
      </c>
      <c r="D424">
        <v>0</v>
      </c>
      <c r="E424">
        <v>0</v>
      </c>
    </row>
    <row r="425" spans="1:5" x14ac:dyDescent="0.25">
      <c r="A425">
        <v>0</v>
      </c>
      <c r="B425">
        <v>0</v>
      </c>
      <c r="C425">
        <v>0</v>
      </c>
      <c r="D425">
        <v>0</v>
      </c>
      <c r="E425">
        <v>0</v>
      </c>
    </row>
    <row r="426" spans="1:5" x14ac:dyDescent="0.25">
      <c r="A426">
        <v>0</v>
      </c>
      <c r="B426">
        <v>0</v>
      </c>
      <c r="C426">
        <v>0</v>
      </c>
      <c r="D426">
        <v>0</v>
      </c>
      <c r="E426">
        <v>0</v>
      </c>
    </row>
    <row r="427" spans="1:5" x14ac:dyDescent="0.25">
      <c r="A427">
        <v>0</v>
      </c>
      <c r="B427">
        <v>0</v>
      </c>
      <c r="C427">
        <v>0</v>
      </c>
      <c r="D427">
        <v>0</v>
      </c>
      <c r="E427">
        <v>0</v>
      </c>
    </row>
    <row r="428" spans="1:5" x14ac:dyDescent="0.25">
      <c r="A428">
        <v>0</v>
      </c>
      <c r="B428">
        <v>0</v>
      </c>
      <c r="C428">
        <v>0</v>
      </c>
      <c r="D428">
        <v>0</v>
      </c>
      <c r="E428">
        <v>0</v>
      </c>
    </row>
    <row r="429" spans="1:5" x14ac:dyDescent="0.25">
      <c r="A429">
        <v>0</v>
      </c>
      <c r="B429">
        <v>0</v>
      </c>
      <c r="C429">
        <v>0</v>
      </c>
      <c r="D429">
        <v>0</v>
      </c>
      <c r="E429">
        <v>0</v>
      </c>
    </row>
    <row r="430" spans="1:5" x14ac:dyDescent="0.25">
      <c r="A430">
        <v>0</v>
      </c>
      <c r="B430">
        <v>0</v>
      </c>
      <c r="C430">
        <v>0</v>
      </c>
      <c r="D430">
        <v>0</v>
      </c>
      <c r="E430">
        <v>0</v>
      </c>
    </row>
    <row r="431" spans="1:5" x14ac:dyDescent="0.25">
      <c r="A431">
        <v>0</v>
      </c>
      <c r="B431">
        <v>0</v>
      </c>
      <c r="C431">
        <v>0</v>
      </c>
      <c r="D431">
        <v>0</v>
      </c>
      <c r="E431">
        <v>0</v>
      </c>
    </row>
    <row r="432" spans="1:5" x14ac:dyDescent="0.25">
      <c r="A432">
        <v>0</v>
      </c>
      <c r="B432">
        <v>0</v>
      </c>
      <c r="C432">
        <v>0</v>
      </c>
      <c r="D432">
        <v>0</v>
      </c>
      <c r="E432">
        <v>0</v>
      </c>
    </row>
    <row r="433" spans="1:5" x14ac:dyDescent="0.25">
      <c r="A433">
        <v>0</v>
      </c>
      <c r="B433">
        <v>0</v>
      </c>
      <c r="C433">
        <v>0</v>
      </c>
      <c r="D433">
        <v>0</v>
      </c>
      <c r="E433">
        <v>0</v>
      </c>
    </row>
    <row r="434" spans="1:5" x14ac:dyDescent="0.25">
      <c r="A434">
        <v>0</v>
      </c>
      <c r="B434">
        <v>0</v>
      </c>
      <c r="C434">
        <v>0</v>
      </c>
      <c r="D434">
        <v>0</v>
      </c>
      <c r="E434">
        <v>0</v>
      </c>
    </row>
    <row r="435" spans="1:5" x14ac:dyDescent="0.25">
      <c r="A435">
        <v>0</v>
      </c>
      <c r="B435">
        <v>0</v>
      </c>
      <c r="C435">
        <v>0</v>
      </c>
      <c r="D435">
        <v>0</v>
      </c>
      <c r="E435">
        <v>0</v>
      </c>
    </row>
    <row r="436" spans="1:5" x14ac:dyDescent="0.25">
      <c r="A436">
        <v>0</v>
      </c>
      <c r="B436">
        <v>0</v>
      </c>
      <c r="C436">
        <v>0</v>
      </c>
      <c r="D436">
        <v>0</v>
      </c>
      <c r="E436">
        <v>0</v>
      </c>
    </row>
    <row r="437" spans="1:5" x14ac:dyDescent="0.25">
      <c r="A437">
        <v>0</v>
      </c>
      <c r="B437">
        <v>0</v>
      </c>
      <c r="C437">
        <v>0</v>
      </c>
      <c r="D437">
        <v>0</v>
      </c>
      <c r="E437">
        <v>0</v>
      </c>
    </row>
    <row r="438" spans="1:5" x14ac:dyDescent="0.25">
      <c r="A438">
        <v>0</v>
      </c>
      <c r="B438">
        <v>0</v>
      </c>
      <c r="C438">
        <v>0</v>
      </c>
      <c r="D438">
        <v>0</v>
      </c>
      <c r="E438">
        <v>0</v>
      </c>
    </row>
    <row r="439" spans="1:5" x14ac:dyDescent="0.25">
      <c r="A439">
        <v>0</v>
      </c>
      <c r="B439">
        <v>0</v>
      </c>
      <c r="C439">
        <v>0</v>
      </c>
      <c r="D439">
        <v>0</v>
      </c>
      <c r="E439">
        <v>0</v>
      </c>
    </row>
    <row r="440" spans="1:5" x14ac:dyDescent="0.25">
      <c r="A440">
        <v>0</v>
      </c>
      <c r="B440">
        <v>0</v>
      </c>
      <c r="C440">
        <v>0</v>
      </c>
      <c r="D440">
        <v>0</v>
      </c>
      <c r="E440">
        <v>0</v>
      </c>
    </row>
    <row r="441" spans="1:5" x14ac:dyDescent="0.25">
      <c r="A441">
        <v>0</v>
      </c>
      <c r="B441">
        <v>0</v>
      </c>
      <c r="C441">
        <v>0</v>
      </c>
      <c r="D441">
        <v>0</v>
      </c>
      <c r="E441">
        <v>0</v>
      </c>
    </row>
    <row r="442" spans="1:5" x14ac:dyDescent="0.25">
      <c r="A442">
        <v>0</v>
      </c>
      <c r="B442">
        <v>0</v>
      </c>
      <c r="C442">
        <v>0</v>
      </c>
      <c r="D442">
        <v>0</v>
      </c>
      <c r="E442">
        <v>0</v>
      </c>
    </row>
    <row r="443" spans="1:5" x14ac:dyDescent="0.25">
      <c r="A443">
        <v>0</v>
      </c>
      <c r="B443">
        <v>0</v>
      </c>
      <c r="C443">
        <v>0</v>
      </c>
      <c r="D443">
        <v>0</v>
      </c>
      <c r="E443">
        <v>0</v>
      </c>
    </row>
    <row r="444" spans="1:5" x14ac:dyDescent="0.25">
      <c r="A444">
        <v>0</v>
      </c>
      <c r="B444">
        <v>0</v>
      </c>
      <c r="C444">
        <v>0</v>
      </c>
      <c r="D444">
        <v>0</v>
      </c>
      <c r="E444">
        <v>0</v>
      </c>
    </row>
    <row r="445" spans="1:5" x14ac:dyDescent="0.25">
      <c r="A445">
        <v>0</v>
      </c>
      <c r="B445">
        <v>0</v>
      </c>
      <c r="C445">
        <v>0</v>
      </c>
      <c r="D445">
        <v>0</v>
      </c>
      <c r="E445">
        <v>0</v>
      </c>
    </row>
    <row r="446" spans="1:5" x14ac:dyDescent="0.25">
      <c r="A446">
        <v>0</v>
      </c>
      <c r="B446">
        <v>0</v>
      </c>
      <c r="C446">
        <v>0</v>
      </c>
      <c r="D446">
        <v>0</v>
      </c>
      <c r="E446">
        <v>0</v>
      </c>
    </row>
    <row r="447" spans="1:5" x14ac:dyDescent="0.25">
      <c r="A447">
        <v>0</v>
      </c>
      <c r="B447">
        <v>0</v>
      </c>
      <c r="C447">
        <v>0</v>
      </c>
      <c r="D447">
        <v>0</v>
      </c>
      <c r="E447">
        <v>0</v>
      </c>
    </row>
    <row r="448" spans="1:5" x14ac:dyDescent="0.25">
      <c r="A448">
        <v>0</v>
      </c>
      <c r="B448">
        <v>0</v>
      </c>
      <c r="C448">
        <v>0</v>
      </c>
      <c r="D448">
        <v>0</v>
      </c>
      <c r="E448">
        <v>0</v>
      </c>
    </row>
    <row r="449" spans="1:5" x14ac:dyDescent="0.25">
      <c r="A449">
        <v>0</v>
      </c>
      <c r="B449">
        <v>0</v>
      </c>
      <c r="C449">
        <v>0</v>
      </c>
      <c r="D449">
        <v>0</v>
      </c>
      <c r="E449">
        <v>0</v>
      </c>
    </row>
    <row r="450" spans="1:5" x14ac:dyDescent="0.25">
      <c r="A450">
        <v>0</v>
      </c>
      <c r="B450">
        <v>0</v>
      </c>
      <c r="C450">
        <v>0</v>
      </c>
      <c r="D450">
        <v>0</v>
      </c>
      <c r="E450">
        <v>0</v>
      </c>
    </row>
    <row r="451" spans="1:5" x14ac:dyDescent="0.25">
      <c r="A451">
        <v>0</v>
      </c>
      <c r="B451">
        <v>0</v>
      </c>
      <c r="C451">
        <v>0</v>
      </c>
      <c r="D451">
        <v>0</v>
      </c>
      <c r="E451">
        <v>0</v>
      </c>
    </row>
    <row r="452" spans="1:5" x14ac:dyDescent="0.25">
      <c r="A452">
        <v>0</v>
      </c>
      <c r="B452">
        <v>0</v>
      </c>
      <c r="C452">
        <v>0</v>
      </c>
      <c r="D452">
        <v>0</v>
      </c>
      <c r="E452">
        <v>0</v>
      </c>
    </row>
    <row r="453" spans="1:5" x14ac:dyDescent="0.25">
      <c r="A453">
        <v>0</v>
      </c>
      <c r="B453">
        <v>0</v>
      </c>
      <c r="C453">
        <v>0</v>
      </c>
      <c r="D453">
        <v>0</v>
      </c>
      <c r="E453">
        <v>0</v>
      </c>
    </row>
    <row r="454" spans="1:5" x14ac:dyDescent="0.25">
      <c r="A454">
        <v>0</v>
      </c>
      <c r="B454">
        <v>0</v>
      </c>
      <c r="C454">
        <v>0</v>
      </c>
      <c r="D454">
        <v>0</v>
      </c>
      <c r="E454">
        <v>0</v>
      </c>
    </row>
    <row r="455" spans="1:5" x14ac:dyDescent="0.25">
      <c r="A455">
        <v>0</v>
      </c>
      <c r="B455">
        <v>0</v>
      </c>
      <c r="C455">
        <v>0</v>
      </c>
      <c r="D455">
        <v>0</v>
      </c>
      <c r="E455">
        <v>0</v>
      </c>
    </row>
    <row r="456" spans="1:5" x14ac:dyDescent="0.25">
      <c r="A456">
        <v>0</v>
      </c>
      <c r="B456">
        <v>0</v>
      </c>
      <c r="C456">
        <v>0</v>
      </c>
      <c r="D456">
        <v>0</v>
      </c>
      <c r="E456">
        <v>0</v>
      </c>
    </row>
    <row r="457" spans="1:5" x14ac:dyDescent="0.25">
      <c r="A457">
        <v>0</v>
      </c>
      <c r="B457">
        <v>0</v>
      </c>
      <c r="C457">
        <v>0</v>
      </c>
      <c r="D457">
        <v>0</v>
      </c>
      <c r="E457">
        <v>0</v>
      </c>
    </row>
    <row r="458" spans="1:5" x14ac:dyDescent="0.25">
      <c r="A458">
        <v>0</v>
      </c>
      <c r="B458">
        <v>0</v>
      </c>
      <c r="C458">
        <v>0</v>
      </c>
      <c r="D458">
        <v>0</v>
      </c>
      <c r="E458">
        <v>0</v>
      </c>
    </row>
    <row r="459" spans="1:5" x14ac:dyDescent="0.25">
      <c r="A459">
        <v>0</v>
      </c>
      <c r="B459">
        <v>0</v>
      </c>
      <c r="C459">
        <v>0</v>
      </c>
      <c r="D459">
        <v>0</v>
      </c>
      <c r="E459">
        <v>0</v>
      </c>
    </row>
    <row r="460" spans="1:5" x14ac:dyDescent="0.25">
      <c r="A460">
        <v>0</v>
      </c>
      <c r="B460">
        <v>0</v>
      </c>
      <c r="C460">
        <v>0</v>
      </c>
      <c r="D460">
        <v>0</v>
      </c>
      <c r="E460">
        <v>0</v>
      </c>
    </row>
    <row r="461" spans="1:5" x14ac:dyDescent="0.25">
      <c r="A461">
        <v>0</v>
      </c>
      <c r="B461">
        <v>0</v>
      </c>
      <c r="C461">
        <v>0</v>
      </c>
      <c r="D461">
        <v>0</v>
      </c>
      <c r="E461">
        <v>0</v>
      </c>
    </row>
    <row r="462" spans="1:5" x14ac:dyDescent="0.25">
      <c r="A462">
        <v>0</v>
      </c>
      <c r="B462">
        <v>0</v>
      </c>
      <c r="C462">
        <v>0</v>
      </c>
      <c r="D462">
        <v>0</v>
      </c>
      <c r="E462">
        <v>0</v>
      </c>
    </row>
    <row r="463" spans="1:5" x14ac:dyDescent="0.25">
      <c r="A463">
        <v>0</v>
      </c>
      <c r="B463">
        <v>0</v>
      </c>
      <c r="C463">
        <v>0</v>
      </c>
      <c r="D463">
        <v>0</v>
      </c>
      <c r="E463">
        <v>0</v>
      </c>
    </row>
    <row r="464" spans="1:5" x14ac:dyDescent="0.25">
      <c r="A464">
        <v>0</v>
      </c>
      <c r="B464">
        <v>0</v>
      </c>
      <c r="C464">
        <v>0</v>
      </c>
      <c r="D464">
        <v>0</v>
      </c>
      <c r="E464">
        <v>0</v>
      </c>
    </row>
    <row r="465" spans="1:5" x14ac:dyDescent="0.25">
      <c r="A465">
        <v>0</v>
      </c>
      <c r="B465">
        <v>0</v>
      </c>
      <c r="C465">
        <v>0</v>
      </c>
      <c r="D465">
        <v>0</v>
      </c>
      <c r="E465">
        <v>0</v>
      </c>
    </row>
    <row r="466" spans="1:5" x14ac:dyDescent="0.25">
      <c r="A466">
        <v>0</v>
      </c>
      <c r="B466">
        <v>0</v>
      </c>
      <c r="C466">
        <v>0</v>
      </c>
      <c r="D466">
        <v>0</v>
      </c>
      <c r="E466">
        <v>0</v>
      </c>
    </row>
    <row r="467" spans="1:5" x14ac:dyDescent="0.25">
      <c r="A467">
        <v>0</v>
      </c>
      <c r="B467">
        <v>0</v>
      </c>
      <c r="C467">
        <v>0</v>
      </c>
      <c r="D467">
        <v>0</v>
      </c>
      <c r="E467">
        <v>0</v>
      </c>
    </row>
    <row r="468" spans="1:5" x14ac:dyDescent="0.25">
      <c r="A468">
        <v>0</v>
      </c>
      <c r="B468">
        <v>0</v>
      </c>
      <c r="C468">
        <v>0</v>
      </c>
      <c r="D468">
        <v>0</v>
      </c>
      <c r="E468">
        <v>0</v>
      </c>
    </row>
    <row r="469" spans="1:5" x14ac:dyDescent="0.25">
      <c r="A469">
        <v>0</v>
      </c>
      <c r="B469">
        <v>0</v>
      </c>
      <c r="C469">
        <v>0</v>
      </c>
      <c r="D469">
        <v>0</v>
      </c>
      <c r="E469">
        <v>0</v>
      </c>
    </row>
    <row r="470" spans="1:5" x14ac:dyDescent="0.25">
      <c r="A470">
        <v>0</v>
      </c>
      <c r="B470">
        <v>0</v>
      </c>
      <c r="C470">
        <v>0</v>
      </c>
      <c r="D470">
        <v>0</v>
      </c>
      <c r="E470">
        <v>0</v>
      </c>
    </row>
    <row r="471" spans="1:5" x14ac:dyDescent="0.25">
      <c r="A471">
        <v>0</v>
      </c>
      <c r="B471">
        <v>0</v>
      </c>
      <c r="C471">
        <v>0</v>
      </c>
      <c r="D471">
        <v>0</v>
      </c>
      <c r="E471">
        <v>0</v>
      </c>
    </row>
    <row r="472" spans="1:5" x14ac:dyDescent="0.25">
      <c r="A472">
        <v>0</v>
      </c>
      <c r="B472">
        <v>0</v>
      </c>
      <c r="C472">
        <v>0</v>
      </c>
      <c r="D472">
        <v>0</v>
      </c>
      <c r="E472">
        <v>0</v>
      </c>
    </row>
    <row r="473" spans="1:5" x14ac:dyDescent="0.25">
      <c r="A473">
        <v>0</v>
      </c>
      <c r="B473">
        <v>0</v>
      </c>
      <c r="C473">
        <v>0</v>
      </c>
      <c r="D473">
        <v>0</v>
      </c>
      <c r="E473">
        <v>0</v>
      </c>
    </row>
    <row r="474" spans="1:5" x14ac:dyDescent="0.25">
      <c r="A474">
        <v>0</v>
      </c>
      <c r="B474">
        <v>0</v>
      </c>
      <c r="C474">
        <v>0</v>
      </c>
      <c r="D474">
        <v>0</v>
      </c>
      <c r="E474">
        <v>0</v>
      </c>
    </row>
    <row r="475" spans="1:5" x14ac:dyDescent="0.25">
      <c r="A475">
        <v>0</v>
      </c>
      <c r="B475">
        <v>0</v>
      </c>
      <c r="C475">
        <v>0</v>
      </c>
      <c r="D475">
        <v>0</v>
      </c>
      <c r="E475">
        <v>0</v>
      </c>
    </row>
    <row r="476" spans="1:5" x14ac:dyDescent="0.25">
      <c r="A476">
        <v>0</v>
      </c>
      <c r="B476">
        <v>0</v>
      </c>
      <c r="C476">
        <v>0</v>
      </c>
      <c r="D476">
        <v>0</v>
      </c>
      <c r="E476">
        <v>0</v>
      </c>
    </row>
    <row r="477" spans="1:5" x14ac:dyDescent="0.25">
      <c r="A477">
        <v>0</v>
      </c>
      <c r="B477">
        <v>0</v>
      </c>
      <c r="C477">
        <v>0</v>
      </c>
      <c r="D477">
        <v>0</v>
      </c>
      <c r="E477">
        <v>0</v>
      </c>
    </row>
    <row r="478" spans="1:5" x14ac:dyDescent="0.25">
      <c r="A478">
        <v>0</v>
      </c>
      <c r="B478">
        <v>0</v>
      </c>
      <c r="C478">
        <v>0</v>
      </c>
      <c r="D478">
        <v>0</v>
      </c>
      <c r="E478">
        <v>0</v>
      </c>
    </row>
    <row r="479" spans="1:5" x14ac:dyDescent="0.25">
      <c r="A479">
        <v>0</v>
      </c>
      <c r="B479">
        <v>0</v>
      </c>
      <c r="C479">
        <v>0</v>
      </c>
      <c r="D479">
        <v>0</v>
      </c>
      <c r="E479">
        <v>0</v>
      </c>
    </row>
    <row r="480" spans="1:5" x14ac:dyDescent="0.25">
      <c r="A480">
        <v>0</v>
      </c>
      <c r="B480">
        <v>0</v>
      </c>
      <c r="C480">
        <v>0</v>
      </c>
      <c r="D480">
        <v>0</v>
      </c>
      <c r="E480">
        <v>0</v>
      </c>
    </row>
    <row r="481" spans="1:5" x14ac:dyDescent="0.25">
      <c r="A481">
        <v>0</v>
      </c>
      <c r="B481">
        <v>0</v>
      </c>
      <c r="C481">
        <v>0</v>
      </c>
      <c r="D481">
        <v>0</v>
      </c>
      <c r="E481">
        <v>0</v>
      </c>
    </row>
    <row r="482" spans="1:5" x14ac:dyDescent="0.25">
      <c r="A482">
        <v>0</v>
      </c>
      <c r="B482">
        <v>0</v>
      </c>
      <c r="C482">
        <v>0</v>
      </c>
      <c r="D482">
        <v>0</v>
      </c>
      <c r="E482">
        <v>0</v>
      </c>
    </row>
    <row r="483" spans="1:5" x14ac:dyDescent="0.25">
      <c r="A483">
        <v>0</v>
      </c>
      <c r="B483">
        <v>0</v>
      </c>
      <c r="C483">
        <v>0</v>
      </c>
      <c r="D483">
        <v>0</v>
      </c>
      <c r="E483">
        <v>0</v>
      </c>
    </row>
    <row r="484" spans="1:5" x14ac:dyDescent="0.25">
      <c r="A484">
        <v>0</v>
      </c>
      <c r="B484">
        <v>0</v>
      </c>
      <c r="C484">
        <v>0</v>
      </c>
      <c r="D484">
        <v>0</v>
      </c>
      <c r="E484">
        <v>0</v>
      </c>
    </row>
    <row r="485" spans="1:5" x14ac:dyDescent="0.25">
      <c r="A485">
        <v>0</v>
      </c>
      <c r="B485">
        <v>0</v>
      </c>
      <c r="C485">
        <v>0</v>
      </c>
      <c r="D485">
        <v>0</v>
      </c>
      <c r="E485">
        <v>0</v>
      </c>
    </row>
    <row r="486" spans="1:5" x14ac:dyDescent="0.25">
      <c r="A486">
        <v>0</v>
      </c>
      <c r="B486">
        <v>0</v>
      </c>
      <c r="C486">
        <v>0</v>
      </c>
      <c r="D486">
        <v>0</v>
      </c>
      <c r="E486">
        <v>0</v>
      </c>
    </row>
    <row r="487" spans="1:5" x14ac:dyDescent="0.25">
      <c r="A487">
        <v>0</v>
      </c>
      <c r="B487">
        <v>0</v>
      </c>
      <c r="C487">
        <v>0</v>
      </c>
      <c r="D487">
        <v>0</v>
      </c>
      <c r="E487">
        <v>0</v>
      </c>
    </row>
    <row r="488" spans="1:5" x14ac:dyDescent="0.25">
      <c r="A488">
        <v>0</v>
      </c>
      <c r="B488">
        <v>0</v>
      </c>
      <c r="C488">
        <v>0</v>
      </c>
      <c r="D488">
        <v>0</v>
      </c>
      <c r="E488">
        <v>0</v>
      </c>
    </row>
    <row r="489" spans="1:5" x14ac:dyDescent="0.25">
      <c r="A489">
        <v>0</v>
      </c>
      <c r="B489">
        <v>0</v>
      </c>
      <c r="C489">
        <v>0</v>
      </c>
      <c r="D489">
        <v>0</v>
      </c>
      <c r="E489">
        <v>0</v>
      </c>
    </row>
    <row r="490" spans="1:5" x14ac:dyDescent="0.25">
      <c r="A490">
        <v>0</v>
      </c>
      <c r="B490">
        <v>0</v>
      </c>
      <c r="C490">
        <v>0</v>
      </c>
      <c r="D490">
        <v>0</v>
      </c>
      <c r="E490">
        <v>0</v>
      </c>
    </row>
    <row r="491" spans="1:5" x14ac:dyDescent="0.25">
      <c r="A491">
        <v>0</v>
      </c>
      <c r="B491">
        <v>0</v>
      </c>
      <c r="C491">
        <v>0</v>
      </c>
      <c r="D491">
        <v>0</v>
      </c>
      <c r="E491">
        <v>0</v>
      </c>
    </row>
    <row r="492" spans="1:5" x14ac:dyDescent="0.25">
      <c r="A492">
        <v>0</v>
      </c>
      <c r="B492">
        <v>0</v>
      </c>
      <c r="C492">
        <v>0</v>
      </c>
      <c r="D492">
        <v>0</v>
      </c>
      <c r="E492">
        <v>0</v>
      </c>
    </row>
    <row r="493" spans="1:5" x14ac:dyDescent="0.25">
      <c r="A493">
        <v>0</v>
      </c>
      <c r="B493">
        <v>0</v>
      </c>
      <c r="C493">
        <v>0</v>
      </c>
      <c r="D493">
        <v>0</v>
      </c>
      <c r="E493">
        <v>0</v>
      </c>
    </row>
    <row r="494" spans="1:5" x14ac:dyDescent="0.25">
      <c r="A494">
        <v>0</v>
      </c>
      <c r="B494">
        <v>0</v>
      </c>
      <c r="C494">
        <v>0</v>
      </c>
      <c r="D494">
        <v>0</v>
      </c>
      <c r="E494">
        <v>0</v>
      </c>
    </row>
    <row r="495" spans="1:5" x14ac:dyDescent="0.25">
      <c r="A495">
        <v>0</v>
      </c>
      <c r="B495">
        <v>0</v>
      </c>
      <c r="C495">
        <v>0</v>
      </c>
      <c r="D495">
        <v>0</v>
      </c>
      <c r="E495">
        <v>0</v>
      </c>
    </row>
    <row r="496" spans="1:5" x14ac:dyDescent="0.25">
      <c r="A496">
        <v>0</v>
      </c>
      <c r="B496">
        <v>0</v>
      </c>
      <c r="C496">
        <v>0</v>
      </c>
      <c r="D496">
        <v>0</v>
      </c>
      <c r="E496">
        <v>0</v>
      </c>
    </row>
    <row r="497" spans="1:5" x14ac:dyDescent="0.25">
      <c r="A497">
        <v>0</v>
      </c>
      <c r="B497">
        <v>0</v>
      </c>
      <c r="C497">
        <v>0</v>
      </c>
      <c r="D497">
        <v>0</v>
      </c>
      <c r="E497">
        <v>0</v>
      </c>
    </row>
    <row r="498" spans="1:5" x14ac:dyDescent="0.25">
      <c r="A498">
        <v>0</v>
      </c>
      <c r="B498">
        <v>0</v>
      </c>
      <c r="C498">
        <v>0</v>
      </c>
      <c r="D498">
        <v>0</v>
      </c>
      <c r="E498">
        <v>0</v>
      </c>
    </row>
    <row r="499" spans="1:5" x14ac:dyDescent="0.25">
      <c r="A499">
        <v>0</v>
      </c>
      <c r="B499">
        <v>0</v>
      </c>
      <c r="C499">
        <v>0</v>
      </c>
      <c r="D499">
        <v>0</v>
      </c>
      <c r="E499">
        <v>0</v>
      </c>
    </row>
    <row r="500" spans="1:5" x14ac:dyDescent="0.25">
      <c r="A500">
        <v>0</v>
      </c>
      <c r="B500">
        <v>0</v>
      </c>
      <c r="C500">
        <v>0</v>
      </c>
      <c r="D500">
        <v>0</v>
      </c>
      <c r="E50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500"/>
  <sheetViews>
    <sheetView tabSelected="1" workbookViewId="0">
      <selection activeCell="B29" sqref="A1:E500"/>
    </sheetView>
  </sheetViews>
  <sheetFormatPr defaultColWidth="9.140625" defaultRowHeight="15" x14ac:dyDescent="0.25"/>
  <cols>
    <col min="1" max="2" width="46.7109375" style="37" bestFit="1" customWidth="1"/>
    <col min="3" max="3" width="7" style="37" bestFit="1" customWidth="1"/>
    <col min="4" max="4" width="12.42578125" style="37" bestFit="1" customWidth="1"/>
    <col min="5" max="5" width="7" style="37" bestFit="1" customWidth="1"/>
    <col min="6" max="11" width="9.140625" style="37" customWidth="1"/>
    <col min="12" max="16384" width="9.140625" style="37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6</v>
      </c>
      <c r="C2">
        <v>0</v>
      </c>
      <c r="D2">
        <v>0</v>
      </c>
      <c r="E2">
        <v>0</v>
      </c>
    </row>
    <row r="3" spans="1:5" x14ac:dyDescent="0.25">
      <c r="A3" t="s">
        <v>8</v>
      </c>
      <c r="B3" t="s">
        <v>8</v>
      </c>
      <c r="C3">
        <v>0</v>
      </c>
      <c r="D3">
        <v>0</v>
      </c>
      <c r="E3">
        <v>0</v>
      </c>
    </row>
    <row r="4" spans="1:5" x14ac:dyDescent="0.25">
      <c r="A4" t="s">
        <v>10</v>
      </c>
      <c r="B4" t="s">
        <v>10</v>
      </c>
      <c r="C4" t="s">
        <v>11</v>
      </c>
      <c r="D4">
        <v>0</v>
      </c>
      <c r="E4">
        <v>0</v>
      </c>
    </row>
    <row r="5" spans="1:5" x14ac:dyDescent="0.25">
      <c r="A5" t="s">
        <v>13</v>
      </c>
      <c r="B5" t="s">
        <v>14</v>
      </c>
      <c r="C5" t="s">
        <v>15</v>
      </c>
      <c r="D5">
        <v>0</v>
      </c>
      <c r="E5">
        <v>0</v>
      </c>
    </row>
    <row r="6" spans="1:5" x14ac:dyDescent="0.25">
      <c r="A6" t="s">
        <v>17</v>
      </c>
      <c r="B6" t="s">
        <v>14</v>
      </c>
      <c r="C6" t="s">
        <v>15</v>
      </c>
      <c r="D6">
        <v>0</v>
      </c>
      <c r="E6">
        <v>0</v>
      </c>
    </row>
    <row r="7" spans="1:5" x14ac:dyDescent="0.25">
      <c r="A7" t="s">
        <v>19</v>
      </c>
      <c r="B7" t="s">
        <v>14</v>
      </c>
      <c r="C7" t="s">
        <v>15</v>
      </c>
      <c r="D7">
        <v>0</v>
      </c>
      <c r="E7">
        <v>0</v>
      </c>
    </row>
    <row r="8" spans="1:5" x14ac:dyDescent="0.25">
      <c r="A8" t="s">
        <v>7</v>
      </c>
      <c r="B8" t="s">
        <v>7</v>
      </c>
      <c r="C8" t="s">
        <v>21</v>
      </c>
      <c r="D8">
        <v>0</v>
      </c>
      <c r="E8">
        <v>0</v>
      </c>
    </row>
    <row r="9" spans="1:5" x14ac:dyDescent="0.25">
      <c r="A9" t="s">
        <v>23</v>
      </c>
      <c r="B9" t="s">
        <v>24</v>
      </c>
      <c r="C9">
        <v>0</v>
      </c>
      <c r="D9">
        <v>0</v>
      </c>
      <c r="E9">
        <v>0</v>
      </c>
    </row>
    <row r="10" spans="1:5" x14ac:dyDescent="0.25">
      <c r="A10" t="s">
        <v>26</v>
      </c>
      <c r="B10" t="s">
        <v>24</v>
      </c>
      <c r="C10">
        <v>0</v>
      </c>
      <c r="D10">
        <v>0</v>
      </c>
      <c r="E10">
        <v>0</v>
      </c>
    </row>
    <row r="11" spans="1:5" x14ac:dyDescent="0.25">
      <c r="A11" t="s">
        <v>28</v>
      </c>
      <c r="B11" t="s">
        <v>24</v>
      </c>
      <c r="C11">
        <v>0</v>
      </c>
      <c r="D11">
        <v>0</v>
      </c>
      <c r="E11">
        <v>0</v>
      </c>
    </row>
    <row r="12" spans="1:5" x14ac:dyDescent="0.25">
      <c r="A12" t="s">
        <v>30</v>
      </c>
      <c r="B12" t="s">
        <v>31</v>
      </c>
      <c r="C12">
        <v>0</v>
      </c>
      <c r="D12">
        <v>0</v>
      </c>
      <c r="E12">
        <v>0</v>
      </c>
    </row>
    <row r="13" spans="1:5" x14ac:dyDescent="0.25">
      <c r="A13" t="s">
        <v>33</v>
      </c>
      <c r="B13" t="s">
        <v>31</v>
      </c>
      <c r="C13">
        <v>0</v>
      </c>
      <c r="D13">
        <v>0</v>
      </c>
      <c r="E13">
        <v>0</v>
      </c>
    </row>
    <row r="14" spans="1:5" x14ac:dyDescent="0.25">
      <c r="A14" t="s">
        <v>9</v>
      </c>
      <c r="B14" t="s">
        <v>12</v>
      </c>
      <c r="C14" t="s">
        <v>35</v>
      </c>
      <c r="D14">
        <v>0</v>
      </c>
      <c r="E14">
        <v>0</v>
      </c>
    </row>
    <row r="15" spans="1:5" x14ac:dyDescent="0.25">
      <c r="A15" t="s">
        <v>12</v>
      </c>
      <c r="B15" t="s">
        <v>12</v>
      </c>
      <c r="C15" t="s">
        <v>35</v>
      </c>
      <c r="D15">
        <v>0</v>
      </c>
      <c r="E15">
        <v>0</v>
      </c>
    </row>
    <row r="16" spans="1:5" x14ac:dyDescent="0.25">
      <c r="A16" t="s">
        <v>38</v>
      </c>
      <c r="B16" t="s">
        <v>38</v>
      </c>
      <c r="C16">
        <v>0</v>
      </c>
      <c r="D16">
        <v>0</v>
      </c>
      <c r="E16">
        <v>0</v>
      </c>
    </row>
    <row r="17" spans="1:5" x14ac:dyDescent="0.25">
      <c r="A17" t="s">
        <v>40</v>
      </c>
      <c r="B17" t="s">
        <v>40</v>
      </c>
      <c r="C17">
        <v>0</v>
      </c>
      <c r="D17">
        <v>0</v>
      </c>
      <c r="E17">
        <v>0</v>
      </c>
    </row>
    <row r="18" spans="1:5" x14ac:dyDescent="0.25">
      <c r="A18" t="s">
        <v>16</v>
      </c>
      <c r="B18" t="s">
        <v>16</v>
      </c>
      <c r="C18" t="s">
        <v>42</v>
      </c>
      <c r="D18">
        <v>0</v>
      </c>
      <c r="E18">
        <v>0</v>
      </c>
    </row>
    <row r="19" spans="1:5" x14ac:dyDescent="0.25">
      <c r="A19" t="s">
        <v>44</v>
      </c>
      <c r="B19" t="s">
        <v>40</v>
      </c>
      <c r="C19">
        <v>0</v>
      </c>
      <c r="D19">
        <v>0</v>
      </c>
      <c r="E19">
        <v>0</v>
      </c>
    </row>
    <row r="20" spans="1:5" x14ac:dyDescent="0.25">
      <c r="A20" t="s">
        <v>46</v>
      </c>
      <c r="B20" t="s">
        <v>40</v>
      </c>
      <c r="C20">
        <v>0</v>
      </c>
      <c r="D20">
        <v>0</v>
      </c>
      <c r="E20">
        <v>0</v>
      </c>
    </row>
    <row r="21" spans="1:5" x14ac:dyDescent="0.25">
      <c r="A21" t="s">
        <v>48</v>
      </c>
      <c r="B21" t="s">
        <v>40</v>
      </c>
      <c r="C21">
        <v>0</v>
      </c>
      <c r="D21">
        <v>0</v>
      </c>
      <c r="E21">
        <v>0</v>
      </c>
    </row>
    <row r="22" spans="1:5" x14ac:dyDescent="0.25">
      <c r="A22" t="s">
        <v>49</v>
      </c>
      <c r="B22" t="s">
        <v>50</v>
      </c>
      <c r="C22">
        <v>0</v>
      </c>
      <c r="D22">
        <v>0</v>
      </c>
      <c r="E22">
        <v>0</v>
      </c>
    </row>
    <row r="23" spans="1:5" x14ac:dyDescent="0.25">
      <c r="A23" t="s">
        <v>51</v>
      </c>
      <c r="B23" t="s">
        <v>52</v>
      </c>
      <c r="C23">
        <v>0</v>
      </c>
      <c r="D23">
        <v>0</v>
      </c>
      <c r="E23">
        <v>0</v>
      </c>
    </row>
    <row r="24" spans="1:5" x14ac:dyDescent="0.25">
      <c r="A24" t="s">
        <v>53</v>
      </c>
      <c r="B24" t="s">
        <v>54</v>
      </c>
      <c r="C24">
        <v>0</v>
      </c>
      <c r="D24">
        <v>0</v>
      </c>
      <c r="E24">
        <v>0</v>
      </c>
    </row>
    <row r="25" spans="1:5" x14ac:dyDescent="0.25">
      <c r="A25" t="s">
        <v>55</v>
      </c>
      <c r="B25" t="s">
        <v>56</v>
      </c>
      <c r="C25">
        <v>0</v>
      </c>
      <c r="D25">
        <v>0</v>
      </c>
      <c r="E25">
        <v>0</v>
      </c>
    </row>
    <row r="26" spans="1:5" x14ac:dyDescent="0.25">
      <c r="A26" t="s">
        <v>57</v>
      </c>
      <c r="B26" t="s">
        <v>58</v>
      </c>
      <c r="C26" t="s">
        <v>59</v>
      </c>
      <c r="D26">
        <v>0</v>
      </c>
      <c r="E26">
        <v>0</v>
      </c>
    </row>
    <row r="27" spans="1:5" x14ac:dyDescent="0.25">
      <c r="A27" t="s">
        <v>60</v>
      </c>
      <c r="B27" t="s">
        <v>58</v>
      </c>
      <c r="C27" t="s">
        <v>59</v>
      </c>
      <c r="D27">
        <v>0</v>
      </c>
      <c r="E27">
        <v>0</v>
      </c>
    </row>
    <row r="28" spans="1:5" x14ac:dyDescent="0.25">
      <c r="A28" t="s">
        <v>61</v>
      </c>
      <c r="B28" t="s">
        <v>58</v>
      </c>
      <c r="C28" t="s">
        <v>59</v>
      </c>
      <c r="D28">
        <v>0</v>
      </c>
      <c r="E28">
        <v>0</v>
      </c>
    </row>
    <row r="29" spans="1:5" x14ac:dyDescent="0.25">
      <c r="A29" t="s">
        <v>62</v>
      </c>
      <c r="B29" t="s">
        <v>62</v>
      </c>
      <c r="C29">
        <v>0</v>
      </c>
      <c r="D29">
        <v>0</v>
      </c>
      <c r="E29">
        <v>0</v>
      </c>
    </row>
    <row r="30" spans="1:5" x14ac:dyDescent="0.25">
      <c r="A30" t="s">
        <v>63</v>
      </c>
      <c r="B30" t="s">
        <v>63</v>
      </c>
      <c r="C30">
        <v>0</v>
      </c>
      <c r="D30">
        <v>0</v>
      </c>
      <c r="E30">
        <v>0</v>
      </c>
    </row>
    <row r="31" spans="1:5" x14ac:dyDescent="0.25">
      <c r="A31" t="s">
        <v>18</v>
      </c>
      <c r="B31" t="s">
        <v>18</v>
      </c>
      <c r="C31" t="s">
        <v>64</v>
      </c>
      <c r="D31">
        <v>0</v>
      </c>
      <c r="E31">
        <v>0</v>
      </c>
    </row>
    <row r="32" spans="1:5" x14ac:dyDescent="0.25">
      <c r="A32" t="s">
        <v>20</v>
      </c>
      <c r="B32" t="s">
        <v>18</v>
      </c>
      <c r="C32" t="s">
        <v>64</v>
      </c>
      <c r="D32">
        <v>0</v>
      </c>
      <c r="E32">
        <v>0</v>
      </c>
    </row>
    <row r="33" spans="1:5" x14ac:dyDescent="0.25">
      <c r="A33" t="s">
        <v>22</v>
      </c>
      <c r="B33" t="s">
        <v>22</v>
      </c>
      <c r="C33" t="s">
        <v>65</v>
      </c>
      <c r="D33">
        <v>0</v>
      </c>
      <c r="E33">
        <v>0</v>
      </c>
    </row>
    <row r="34" spans="1:5" x14ac:dyDescent="0.25">
      <c r="A34" t="s">
        <v>25</v>
      </c>
      <c r="B34" t="s">
        <v>22</v>
      </c>
      <c r="C34" t="s">
        <v>65</v>
      </c>
      <c r="D34">
        <v>0</v>
      </c>
      <c r="E34">
        <v>0</v>
      </c>
    </row>
    <row r="35" spans="1:5" x14ac:dyDescent="0.25">
      <c r="A35" t="s">
        <v>27</v>
      </c>
      <c r="B35" t="s">
        <v>27</v>
      </c>
      <c r="C35" t="s">
        <v>66</v>
      </c>
      <c r="D35">
        <v>0</v>
      </c>
      <c r="E35">
        <v>0</v>
      </c>
    </row>
    <row r="36" spans="1:5" x14ac:dyDescent="0.25">
      <c r="A36" t="s">
        <v>29</v>
      </c>
      <c r="B36" t="s">
        <v>29</v>
      </c>
      <c r="C36" t="s">
        <v>67</v>
      </c>
      <c r="D36">
        <v>0</v>
      </c>
      <c r="E36">
        <v>0</v>
      </c>
    </row>
    <row r="37" spans="1:5" x14ac:dyDescent="0.25">
      <c r="A37" t="s">
        <v>68</v>
      </c>
      <c r="B37" t="s">
        <v>69</v>
      </c>
      <c r="C37">
        <v>0</v>
      </c>
      <c r="D37">
        <v>0</v>
      </c>
      <c r="E37">
        <v>0</v>
      </c>
    </row>
    <row r="38" spans="1:5" x14ac:dyDescent="0.25">
      <c r="A38" t="s">
        <v>70</v>
      </c>
      <c r="B38" t="s">
        <v>70</v>
      </c>
      <c r="C38">
        <v>0</v>
      </c>
      <c r="D38">
        <v>0</v>
      </c>
      <c r="E38">
        <v>0</v>
      </c>
    </row>
    <row r="39" spans="1:5" x14ac:dyDescent="0.25">
      <c r="A39" t="s">
        <v>71</v>
      </c>
      <c r="B39" t="s">
        <v>71</v>
      </c>
      <c r="C39">
        <v>0</v>
      </c>
      <c r="D39">
        <v>0</v>
      </c>
      <c r="E39">
        <v>0</v>
      </c>
    </row>
    <row r="40" spans="1:5" x14ac:dyDescent="0.25">
      <c r="A40" t="s">
        <v>69</v>
      </c>
      <c r="B40" t="s">
        <v>69</v>
      </c>
      <c r="C40" t="s">
        <v>72</v>
      </c>
      <c r="D40" t="s">
        <v>73</v>
      </c>
      <c r="E40" t="s">
        <v>74</v>
      </c>
    </row>
    <row r="41" spans="1:5" x14ac:dyDescent="0.25">
      <c r="A41" t="s">
        <v>56</v>
      </c>
      <c r="B41" t="s">
        <v>56</v>
      </c>
      <c r="C41">
        <v>0</v>
      </c>
      <c r="D41">
        <v>0</v>
      </c>
      <c r="E41">
        <v>0</v>
      </c>
    </row>
    <row r="42" spans="1:5" x14ac:dyDescent="0.25">
      <c r="A42" t="s">
        <v>32</v>
      </c>
      <c r="B42" t="s">
        <v>32</v>
      </c>
      <c r="C42" t="s">
        <v>75</v>
      </c>
      <c r="D42">
        <v>0</v>
      </c>
      <c r="E42">
        <v>0</v>
      </c>
    </row>
    <row r="43" spans="1:5" x14ac:dyDescent="0.25">
      <c r="A43" t="s">
        <v>34</v>
      </c>
      <c r="B43" t="s">
        <v>34</v>
      </c>
      <c r="C43" t="s">
        <v>76</v>
      </c>
      <c r="D43">
        <v>0</v>
      </c>
      <c r="E43">
        <v>0</v>
      </c>
    </row>
    <row r="44" spans="1:5" x14ac:dyDescent="0.25">
      <c r="A44" t="s">
        <v>36</v>
      </c>
      <c r="B44" t="s">
        <v>36</v>
      </c>
      <c r="C44" t="s">
        <v>77</v>
      </c>
      <c r="D44">
        <v>0</v>
      </c>
      <c r="E44">
        <v>0</v>
      </c>
    </row>
    <row r="45" spans="1:5" x14ac:dyDescent="0.25">
      <c r="A45" t="s">
        <v>37</v>
      </c>
      <c r="B45" t="s">
        <v>37</v>
      </c>
      <c r="C45">
        <v>0</v>
      </c>
      <c r="D45">
        <v>0</v>
      </c>
      <c r="E45">
        <v>0</v>
      </c>
    </row>
    <row r="46" spans="1:5" x14ac:dyDescent="0.25">
      <c r="A46" t="s">
        <v>78</v>
      </c>
      <c r="B46" t="s">
        <v>78</v>
      </c>
      <c r="C46">
        <v>0</v>
      </c>
      <c r="D46">
        <v>0</v>
      </c>
      <c r="E46">
        <v>0</v>
      </c>
    </row>
    <row r="47" spans="1:5" x14ac:dyDescent="0.25">
      <c r="A47" t="s">
        <v>79</v>
      </c>
      <c r="B47" t="s">
        <v>79</v>
      </c>
      <c r="C47">
        <v>0</v>
      </c>
      <c r="D47">
        <v>0</v>
      </c>
      <c r="E47">
        <v>0</v>
      </c>
    </row>
    <row r="48" spans="1:5" x14ac:dyDescent="0.25">
      <c r="A48" t="s">
        <v>80</v>
      </c>
      <c r="B48" t="s">
        <v>80</v>
      </c>
      <c r="C48">
        <v>0</v>
      </c>
      <c r="D48">
        <v>0</v>
      </c>
      <c r="E48">
        <v>0</v>
      </c>
    </row>
    <row r="49" spans="1:5" x14ac:dyDescent="0.25">
      <c r="A49" t="s">
        <v>81</v>
      </c>
      <c r="B49" t="s">
        <v>54</v>
      </c>
      <c r="C49">
        <v>0</v>
      </c>
      <c r="D49">
        <v>0</v>
      </c>
      <c r="E49">
        <v>0</v>
      </c>
    </row>
    <row r="50" spans="1:5" x14ac:dyDescent="0.25">
      <c r="A50" t="s">
        <v>54</v>
      </c>
      <c r="B50" t="s">
        <v>54</v>
      </c>
      <c r="C50">
        <v>0</v>
      </c>
      <c r="D50">
        <v>0</v>
      </c>
      <c r="E50">
        <v>0</v>
      </c>
    </row>
    <row r="51" spans="1:5" x14ac:dyDescent="0.25">
      <c r="A51" t="s">
        <v>82</v>
      </c>
      <c r="B51" t="s">
        <v>82</v>
      </c>
      <c r="C51">
        <v>0</v>
      </c>
      <c r="D51">
        <v>0</v>
      </c>
      <c r="E51">
        <v>0</v>
      </c>
    </row>
    <row r="52" spans="1:5" x14ac:dyDescent="0.25">
      <c r="A52" t="s">
        <v>83</v>
      </c>
      <c r="B52" t="s">
        <v>84</v>
      </c>
      <c r="C52">
        <v>0</v>
      </c>
      <c r="D52">
        <v>0</v>
      </c>
      <c r="E52">
        <v>0</v>
      </c>
    </row>
    <row r="53" spans="1:5" x14ac:dyDescent="0.25">
      <c r="A53" t="s">
        <v>84</v>
      </c>
      <c r="B53" t="s">
        <v>84</v>
      </c>
      <c r="C53">
        <v>0</v>
      </c>
      <c r="D53">
        <v>0</v>
      </c>
      <c r="E53">
        <v>0</v>
      </c>
    </row>
    <row r="54" spans="1:5" x14ac:dyDescent="0.25">
      <c r="A54" t="s">
        <v>85</v>
      </c>
      <c r="B54" t="s">
        <v>58</v>
      </c>
      <c r="C54" t="s">
        <v>59</v>
      </c>
      <c r="D54">
        <v>0</v>
      </c>
      <c r="E54">
        <v>0</v>
      </c>
    </row>
    <row r="55" spans="1:5" x14ac:dyDescent="0.25">
      <c r="A55" t="s">
        <v>86</v>
      </c>
      <c r="B55" t="s">
        <v>58</v>
      </c>
      <c r="C55" t="s">
        <v>59</v>
      </c>
      <c r="D55">
        <v>0</v>
      </c>
      <c r="E55">
        <v>0</v>
      </c>
    </row>
    <row r="56" spans="1:5" x14ac:dyDescent="0.25">
      <c r="A56" t="s">
        <v>87</v>
      </c>
      <c r="B56" t="s">
        <v>58</v>
      </c>
      <c r="C56" t="s">
        <v>59</v>
      </c>
      <c r="D56">
        <v>0</v>
      </c>
      <c r="E56">
        <v>0</v>
      </c>
    </row>
    <row r="57" spans="1:5" x14ac:dyDescent="0.25">
      <c r="A57" t="s">
        <v>88</v>
      </c>
      <c r="B57" t="s">
        <v>88</v>
      </c>
      <c r="C57">
        <v>0</v>
      </c>
      <c r="D57">
        <v>0</v>
      </c>
      <c r="E57">
        <v>0</v>
      </c>
    </row>
    <row r="58" spans="1:5" x14ac:dyDescent="0.25">
      <c r="A58" t="s">
        <v>89</v>
      </c>
      <c r="B58" t="s">
        <v>89</v>
      </c>
      <c r="C58">
        <v>0</v>
      </c>
      <c r="D58">
        <v>0</v>
      </c>
      <c r="E58">
        <v>0</v>
      </c>
    </row>
    <row r="59" spans="1:5" x14ac:dyDescent="0.25">
      <c r="A59" t="s">
        <v>90</v>
      </c>
      <c r="B59" t="s">
        <v>90</v>
      </c>
      <c r="C59">
        <v>0</v>
      </c>
      <c r="D59">
        <v>0</v>
      </c>
      <c r="E59">
        <v>0</v>
      </c>
    </row>
    <row r="60" spans="1:5" x14ac:dyDescent="0.25">
      <c r="A60" t="s">
        <v>91</v>
      </c>
      <c r="B60" t="s">
        <v>91</v>
      </c>
      <c r="C60">
        <v>0</v>
      </c>
      <c r="D60">
        <v>0</v>
      </c>
      <c r="E60">
        <v>0</v>
      </c>
    </row>
    <row r="61" spans="1:5" x14ac:dyDescent="0.25">
      <c r="A61" t="s">
        <v>92</v>
      </c>
      <c r="B61" t="s">
        <v>92</v>
      </c>
      <c r="C61">
        <v>0</v>
      </c>
      <c r="D61">
        <v>0</v>
      </c>
      <c r="E61">
        <v>0</v>
      </c>
    </row>
    <row r="62" spans="1:5" x14ac:dyDescent="0.25">
      <c r="A62" t="s">
        <v>93</v>
      </c>
      <c r="B62" t="s">
        <v>93</v>
      </c>
      <c r="C62">
        <v>0</v>
      </c>
      <c r="D62">
        <v>0</v>
      </c>
      <c r="E62">
        <v>0</v>
      </c>
    </row>
    <row r="63" spans="1:5" x14ac:dyDescent="0.25">
      <c r="A63" t="s">
        <v>47</v>
      </c>
      <c r="B63" t="s">
        <v>47</v>
      </c>
      <c r="C63" t="s">
        <v>94</v>
      </c>
      <c r="D63">
        <v>0</v>
      </c>
      <c r="E63">
        <v>0</v>
      </c>
    </row>
    <row r="64" spans="1:5" x14ac:dyDescent="0.25">
      <c r="A64" t="s">
        <v>95</v>
      </c>
      <c r="B64" t="s">
        <v>96</v>
      </c>
      <c r="C64">
        <v>0</v>
      </c>
      <c r="D64">
        <v>0</v>
      </c>
      <c r="E64">
        <v>0</v>
      </c>
    </row>
    <row r="65" spans="1:5" x14ac:dyDescent="0.25">
      <c r="A65" t="s">
        <v>97</v>
      </c>
      <c r="B65" t="s">
        <v>96</v>
      </c>
      <c r="C65">
        <v>0</v>
      </c>
      <c r="D65">
        <v>0</v>
      </c>
      <c r="E65">
        <v>0</v>
      </c>
    </row>
    <row r="66" spans="1:5" x14ac:dyDescent="0.25">
      <c r="A66" t="s">
        <v>98</v>
      </c>
      <c r="B66" t="s">
        <v>98</v>
      </c>
      <c r="C66">
        <v>0</v>
      </c>
      <c r="D66">
        <v>0</v>
      </c>
      <c r="E66">
        <v>0</v>
      </c>
    </row>
    <row r="67" spans="1:5" x14ac:dyDescent="0.25">
      <c r="A67" t="s">
        <v>99</v>
      </c>
      <c r="B67" t="s">
        <v>96</v>
      </c>
      <c r="C67">
        <v>0</v>
      </c>
      <c r="D67">
        <v>0</v>
      </c>
      <c r="E67">
        <v>0</v>
      </c>
    </row>
    <row r="68" spans="1:5" x14ac:dyDescent="0.25">
      <c r="A68" t="s">
        <v>100</v>
      </c>
      <c r="B68" t="s">
        <v>100</v>
      </c>
      <c r="C68">
        <v>0</v>
      </c>
      <c r="D68">
        <v>0</v>
      </c>
      <c r="E68">
        <v>0</v>
      </c>
    </row>
    <row r="69" spans="1:5" x14ac:dyDescent="0.25">
      <c r="A69" t="s">
        <v>101</v>
      </c>
      <c r="B69" t="s">
        <v>101</v>
      </c>
      <c r="C69">
        <v>0</v>
      </c>
      <c r="D69">
        <v>0</v>
      </c>
      <c r="E69">
        <v>0</v>
      </c>
    </row>
    <row r="70" spans="1:5" x14ac:dyDescent="0.25">
      <c r="A70" t="s">
        <v>102</v>
      </c>
      <c r="B70" t="s">
        <v>103</v>
      </c>
      <c r="C70" t="s">
        <v>104</v>
      </c>
      <c r="D70">
        <v>0</v>
      </c>
      <c r="E70">
        <v>0</v>
      </c>
    </row>
    <row r="71" spans="1:5" x14ac:dyDescent="0.25">
      <c r="A71" t="s">
        <v>105</v>
      </c>
      <c r="B71" t="s">
        <v>103</v>
      </c>
      <c r="C71" t="s">
        <v>104</v>
      </c>
      <c r="D71">
        <v>0</v>
      </c>
      <c r="E71">
        <v>0</v>
      </c>
    </row>
    <row r="72" spans="1:5" x14ac:dyDescent="0.25">
      <c r="A72" t="s">
        <v>106</v>
      </c>
      <c r="B72" t="s">
        <v>103</v>
      </c>
      <c r="C72" t="s">
        <v>104</v>
      </c>
      <c r="D72">
        <v>0</v>
      </c>
      <c r="E72">
        <v>0</v>
      </c>
    </row>
    <row r="73" spans="1:5" x14ac:dyDescent="0.25">
      <c r="A73" t="s">
        <v>107</v>
      </c>
      <c r="B73" t="s">
        <v>107</v>
      </c>
      <c r="C73" t="s">
        <v>108</v>
      </c>
      <c r="D73">
        <v>0</v>
      </c>
      <c r="E73">
        <v>0</v>
      </c>
    </row>
    <row r="74" spans="1:5" x14ac:dyDescent="0.25">
      <c r="A74" t="s">
        <v>109</v>
      </c>
      <c r="B74" t="s">
        <v>107</v>
      </c>
      <c r="C74" t="s">
        <v>108</v>
      </c>
      <c r="D74">
        <v>0</v>
      </c>
      <c r="E74">
        <v>0</v>
      </c>
    </row>
    <row r="75" spans="1:5" x14ac:dyDescent="0.25">
      <c r="A75" t="s">
        <v>110</v>
      </c>
      <c r="B75" t="s">
        <v>110</v>
      </c>
      <c r="C75">
        <v>0</v>
      </c>
      <c r="D75">
        <v>0</v>
      </c>
      <c r="E75">
        <v>0</v>
      </c>
    </row>
    <row r="76" spans="1:5" x14ac:dyDescent="0.25">
      <c r="A76" t="s">
        <v>111</v>
      </c>
      <c r="B76" t="s">
        <v>111</v>
      </c>
      <c r="C76">
        <v>0</v>
      </c>
      <c r="D76">
        <v>0</v>
      </c>
      <c r="E76">
        <v>0</v>
      </c>
    </row>
    <row r="77" spans="1:5" x14ac:dyDescent="0.25">
      <c r="A77" t="s">
        <v>112</v>
      </c>
      <c r="B77" t="s">
        <v>112</v>
      </c>
      <c r="C77">
        <v>0</v>
      </c>
      <c r="D77">
        <v>0</v>
      </c>
      <c r="E77">
        <v>0</v>
      </c>
    </row>
    <row r="78" spans="1:5" x14ac:dyDescent="0.25">
      <c r="A78" t="s">
        <v>113</v>
      </c>
      <c r="B78" t="s">
        <v>112</v>
      </c>
      <c r="C78">
        <v>0</v>
      </c>
      <c r="D78">
        <v>0</v>
      </c>
      <c r="E78">
        <v>0</v>
      </c>
    </row>
    <row r="79" spans="1:5" x14ac:dyDescent="0.25">
      <c r="A79" t="s">
        <v>39</v>
      </c>
      <c r="B79" t="s">
        <v>39</v>
      </c>
      <c r="C79" t="s">
        <v>114</v>
      </c>
      <c r="D79">
        <v>0</v>
      </c>
      <c r="E79">
        <v>0</v>
      </c>
    </row>
    <row r="80" spans="1:5" x14ac:dyDescent="0.25">
      <c r="A80" t="s">
        <v>115</v>
      </c>
      <c r="B80" t="s">
        <v>115</v>
      </c>
      <c r="C80">
        <v>0</v>
      </c>
      <c r="D80">
        <v>0</v>
      </c>
      <c r="E80">
        <v>0</v>
      </c>
    </row>
    <row r="81" spans="1:5" x14ac:dyDescent="0.25">
      <c r="A81" t="s">
        <v>116</v>
      </c>
      <c r="B81" t="s">
        <v>116</v>
      </c>
      <c r="C81">
        <v>0</v>
      </c>
      <c r="D81">
        <v>0</v>
      </c>
      <c r="E81">
        <v>0</v>
      </c>
    </row>
    <row r="82" spans="1:5" x14ac:dyDescent="0.25">
      <c r="A82" t="s">
        <v>117</v>
      </c>
      <c r="B82" t="s">
        <v>118</v>
      </c>
      <c r="C82" t="s">
        <v>119</v>
      </c>
      <c r="D82">
        <v>0</v>
      </c>
      <c r="E82">
        <v>0</v>
      </c>
    </row>
    <row r="83" spans="1:5" x14ac:dyDescent="0.25">
      <c r="A83" t="s">
        <v>120</v>
      </c>
      <c r="B83" t="s">
        <v>120</v>
      </c>
      <c r="C83">
        <v>0</v>
      </c>
      <c r="D83">
        <v>0</v>
      </c>
      <c r="E83">
        <v>0</v>
      </c>
    </row>
    <row r="84" spans="1:5" x14ac:dyDescent="0.25">
      <c r="A84" t="s">
        <v>121</v>
      </c>
      <c r="B84" t="s">
        <v>121</v>
      </c>
      <c r="C84">
        <v>0</v>
      </c>
      <c r="D84">
        <v>0</v>
      </c>
      <c r="E84">
        <v>0</v>
      </c>
    </row>
    <row r="85" spans="1:5" x14ac:dyDescent="0.25">
      <c r="A85" t="s">
        <v>122</v>
      </c>
      <c r="B85" t="s">
        <v>118</v>
      </c>
      <c r="C85" t="s">
        <v>72</v>
      </c>
      <c r="D85" t="s">
        <v>123</v>
      </c>
      <c r="E85" t="s">
        <v>124</v>
      </c>
    </row>
    <row r="86" spans="1:5" x14ac:dyDescent="0.25">
      <c r="A86" t="s">
        <v>125</v>
      </c>
      <c r="B86" t="s">
        <v>118</v>
      </c>
      <c r="C86" t="s">
        <v>72</v>
      </c>
      <c r="D86" t="s">
        <v>123</v>
      </c>
      <c r="E86" t="s">
        <v>124</v>
      </c>
    </row>
    <row r="87" spans="1:5" x14ac:dyDescent="0.25">
      <c r="A87" t="s">
        <v>126</v>
      </c>
      <c r="B87" t="s">
        <v>126</v>
      </c>
      <c r="C87">
        <v>0</v>
      </c>
      <c r="D87">
        <v>0</v>
      </c>
      <c r="E87">
        <v>0</v>
      </c>
    </row>
    <row r="88" spans="1:5" x14ac:dyDescent="0.25">
      <c r="A88" t="s">
        <v>127</v>
      </c>
      <c r="B88" t="s">
        <v>128</v>
      </c>
      <c r="C88">
        <v>0</v>
      </c>
      <c r="D88">
        <v>0</v>
      </c>
      <c r="E88">
        <v>0</v>
      </c>
    </row>
    <row r="89" spans="1:5" x14ac:dyDescent="0.25">
      <c r="A89" t="s">
        <v>129</v>
      </c>
      <c r="B89" t="s">
        <v>128</v>
      </c>
      <c r="C89">
        <v>0</v>
      </c>
      <c r="D89">
        <v>0</v>
      </c>
      <c r="E89">
        <v>0</v>
      </c>
    </row>
    <row r="90" spans="1:5" x14ac:dyDescent="0.25">
      <c r="A90" t="s">
        <v>41</v>
      </c>
      <c r="B90" t="s">
        <v>41</v>
      </c>
      <c r="C90" t="s">
        <v>130</v>
      </c>
      <c r="D90">
        <v>0</v>
      </c>
      <c r="E90">
        <v>0</v>
      </c>
    </row>
    <row r="91" spans="1:5" x14ac:dyDescent="0.25">
      <c r="A91" t="s">
        <v>43</v>
      </c>
      <c r="B91" t="s">
        <v>131</v>
      </c>
      <c r="C91" t="s">
        <v>132</v>
      </c>
      <c r="D91" t="s">
        <v>133</v>
      </c>
      <c r="E91" t="s">
        <v>134</v>
      </c>
    </row>
    <row r="92" spans="1:5" x14ac:dyDescent="0.25">
      <c r="A92" t="s">
        <v>135</v>
      </c>
      <c r="B92" t="s">
        <v>135</v>
      </c>
      <c r="C92" t="s">
        <v>136</v>
      </c>
      <c r="D92" t="s">
        <v>137</v>
      </c>
      <c r="E92">
        <v>0</v>
      </c>
    </row>
    <row r="93" spans="1:5" x14ac:dyDescent="0.25">
      <c r="A93" t="s">
        <v>138</v>
      </c>
      <c r="B93" t="s">
        <v>135</v>
      </c>
      <c r="C93" t="s">
        <v>136</v>
      </c>
      <c r="D93" t="s">
        <v>137</v>
      </c>
      <c r="E93">
        <v>0</v>
      </c>
    </row>
    <row r="94" spans="1:5" x14ac:dyDescent="0.25">
      <c r="A94" t="s">
        <v>45</v>
      </c>
      <c r="B94" t="s">
        <v>45</v>
      </c>
      <c r="C94" t="s">
        <v>139</v>
      </c>
      <c r="D94">
        <v>0</v>
      </c>
      <c r="E94">
        <v>0</v>
      </c>
    </row>
    <row r="95" spans="1:5" x14ac:dyDescent="0.25">
      <c r="A95" t="s">
        <v>140</v>
      </c>
      <c r="B95" t="s">
        <v>140</v>
      </c>
      <c r="C95">
        <v>0</v>
      </c>
      <c r="D95">
        <v>0</v>
      </c>
      <c r="E95">
        <v>0</v>
      </c>
    </row>
    <row r="96" spans="1:5" x14ac:dyDescent="0.25">
      <c r="A96" t="s">
        <v>141</v>
      </c>
      <c r="B96" t="s">
        <v>56</v>
      </c>
      <c r="C96">
        <v>0</v>
      </c>
      <c r="D96">
        <v>0</v>
      </c>
      <c r="E96">
        <v>0</v>
      </c>
    </row>
    <row r="97" spans="1:5" x14ac:dyDescent="0.25">
      <c r="A97">
        <v>0</v>
      </c>
      <c r="B97">
        <v>0</v>
      </c>
      <c r="C97">
        <v>0</v>
      </c>
      <c r="D97">
        <v>0</v>
      </c>
      <c r="E97">
        <v>0</v>
      </c>
    </row>
    <row r="98" spans="1:5" x14ac:dyDescent="0.25">
      <c r="A98">
        <v>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>
        <v>0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>
        <v>0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>
        <v>0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>
        <v>0</v>
      </c>
      <c r="B102">
        <v>0</v>
      </c>
      <c r="C102">
        <v>0</v>
      </c>
      <c r="D102">
        <v>0</v>
      </c>
      <c r="E102">
        <v>0</v>
      </c>
    </row>
    <row r="103" spans="1:5" x14ac:dyDescent="0.25">
      <c r="A103">
        <v>0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>
        <v>0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>
        <v>0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>
        <v>0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>
        <v>0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>
        <v>0</v>
      </c>
      <c r="B108">
        <v>0</v>
      </c>
      <c r="C108">
        <v>0</v>
      </c>
      <c r="D108">
        <v>0</v>
      </c>
      <c r="E108">
        <v>0</v>
      </c>
    </row>
    <row r="109" spans="1:5" x14ac:dyDescent="0.25">
      <c r="A109">
        <v>0</v>
      </c>
      <c r="B109">
        <v>0</v>
      </c>
      <c r="C109">
        <v>0</v>
      </c>
      <c r="D109">
        <v>0</v>
      </c>
      <c r="E109">
        <v>0</v>
      </c>
    </row>
    <row r="110" spans="1:5" x14ac:dyDescent="0.25">
      <c r="A110">
        <v>0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>
        <v>0</v>
      </c>
      <c r="B111">
        <v>0</v>
      </c>
      <c r="C111">
        <v>0</v>
      </c>
      <c r="D111">
        <v>0</v>
      </c>
      <c r="E111">
        <v>0</v>
      </c>
    </row>
    <row r="112" spans="1:5" x14ac:dyDescent="0.25">
      <c r="A112">
        <v>0</v>
      </c>
      <c r="B112">
        <v>0</v>
      </c>
      <c r="C112">
        <v>0</v>
      </c>
      <c r="D112">
        <v>0</v>
      </c>
      <c r="E112">
        <v>0</v>
      </c>
    </row>
    <row r="113" spans="1:5" x14ac:dyDescent="0.25">
      <c r="A113">
        <v>0</v>
      </c>
      <c r="B113">
        <v>0</v>
      </c>
      <c r="C113">
        <v>0</v>
      </c>
      <c r="D113">
        <v>0</v>
      </c>
      <c r="E113">
        <v>0</v>
      </c>
    </row>
    <row r="114" spans="1:5" x14ac:dyDescent="0.25">
      <c r="A114">
        <v>0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>
        <v>0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>
        <v>0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>
        <v>0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>
        <v>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>
        <v>0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>
        <v>0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>
        <v>0</v>
      </c>
      <c r="B121">
        <v>0</v>
      </c>
      <c r="C121">
        <v>0</v>
      </c>
      <c r="D121">
        <v>0</v>
      </c>
      <c r="E121">
        <v>0</v>
      </c>
    </row>
    <row r="122" spans="1:5" x14ac:dyDescent="0.25">
      <c r="A122">
        <v>0</v>
      </c>
      <c r="B122">
        <v>0</v>
      </c>
      <c r="C122">
        <v>0</v>
      </c>
      <c r="D122">
        <v>0</v>
      </c>
      <c r="E122">
        <v>0</v>
      </c>
    </row>
    <row r="123" spans="1:5" x14ac:dyDescent="0.25">
      <c r="A123">
        <v>0</v>
      </c>
      <c r="B123">
        <v>0</v>
      </c>
      <c r="C123">
        <v>0</v>
      </c>
      <c r="D123">
        <v>0</v>
      </c>
      <c r="E123">
        <v>0</v>
      </c>
    </row>
    <row r="124" spans="1:5" x14ac:dyDescent="0.25">
      <c r="A124">
        <v>0</v>
      </c>
      <c r="B124">
        <v>0</v>
      </c>
      <c r="C124">
        <v>0</v>
      </c>
      <c r="D124">
        <v>0</v>
      </c>
      <c r="E124">
        <v>0</v>
      </c>
    </row>
    <row r="125" spans="1:5" x14ac:dyDescent="0.25">
      <c r="A125">
        <v>0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>
        <v>0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>
        <v>0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>
        <v>0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>
        <v>0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>
        <v>0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>
        <v>0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>
        <v>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>
        <v>0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>
        <v>0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>
        <v>0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>
        <v>0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>
        <v>0</v>
      </c>
      <c r="B137">
        <v>0</v>
      </c>
      <c r="C137">
        <v>0</v>
      </c>
      <c r="D137">
        <v>0</v>
      </c>
      <c r="E137">
        <v>0</v>
      </c>
    </row>
    <row r="138" spans="1:5" x14ac:dyDescent="0.25">
      <c r="A138">
        <v>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>
        <v>0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>
        <v>0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>
        <v>0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>
        <v>0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>
        <v>0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>
        <v>0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>
        <v>0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>
        <v>0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>
        <v>0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>
        <v>0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>
        <v>0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>
        <v>0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>
        <v>0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>
        <v>0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>
        <v>0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>
        <v>0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>
        <v>0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>
        <v>0</v>
      </c>
      <c r="B156">
        <v>0</v>
      </c>
      <c r="C156">
        <v>0</v>
      </c>
      <c r="D156">
        <v>0</v>
      </c>
      <c r="E156">
        <v>0</v>
      </c>
    </row>
    <row r="157" spans="1:5" x14ac:dyDescent="0.25">
      <c r="A157">
        <v>0</v>
      </c>
      <c r="B157">
        <v>0</v>
      </c>
      <c r="C157">
        <v>0</v>
      </c>
      <c r="D157">
        <v>0</v>
      </c>
      <c r="E157">
        <v>0</v>
      </c>
    </row>
    <row r="158" spans="1:5" x14ac:dyDescent="0.25">
      <c r="A158">
        <v>0</v>
      </c>
      <c r="B158">
        <v>0</v>
      </c>
      <c r="C158">
        <v>0</v>
      </c>
      <c r="D158">
        <v>0</v>
      </c>
      <c r="E158">
        <v>0</v>
      </c>
    </row>
    <row r="159" spans="1:5" x14ac:dyDescent="0.25">
      <c r="A159">
        <v>0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>
        <v>0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>
        <v>0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>
        <v>0</v>
      </c>
      <c r="B162">
        <v>0</v>
      </c>
      <c r="C162">
        <v>0</v>
      </c>
      <c r="D162">
        <v>0</v>
      </c>
      <c r="E162">
        <v>0</v>
      </c>
    </row>
    <row r="163" spans="1:5" x14ac:dyDescent="0.25">
      <c r="A163">
        <v>0</v>
      </c>
      <c r="B163">
        <v>0</v>
      </c>
      <c r="C163">
        <v>0</v>
      </c>
      <c r="D163">
        <v>0</v>
      </c>
      <c r="E163">
        <v>0</v>
      </c>
    </row>
    <row r="164" spans="1:5" x14ac:dyDescent="0.25">
      <c r="A164">
        <v>0</v>
      </c>
      <c r="B164">
        <v>0</v>
      </c>
      <c r="C164">
        <v>0</v>
      </c>
      <c r="D164">
        <v>0</v>
      </c>
      <c r="E164">
        <v>0</v>
      </c>
    </row>
    <row r="165" spans="1:5" x14ac:dyDescent="0.25">
      <c r="A165">
        <v>0</v>
      </c>
      <c r="B165">
        <v>0</v>
      </c>
      <c r="C165">
        <v>0</v>
      </c>
      <c r="D165">
        <v>0</v>
      </c>
      <c r="E165">
        <v>0</v>
      </c>
    </row>
    <row r="166" spans="1:5" x14ac:dyDescent="0.25">
      <c r="A166">
        <v>0</v>
      </c>
      <c r="B166">
        <v>0</v>
      </c>
      <c r="C166">
        <v>0</v>
      </c>
      <c r="D166">
        <v>0</v>
      </c>
      <c r="E166">
        <v>0</v>
      </c>
    </row>
    <row r="167" spans="1:5" x14ac:dyDescent="0.25">
      <c r="A167">
        <v>0</v>
      </c>
      <c r="B167">
        <v>0</v>
      </c>
      <c r="C167">
        <v>0</v>
      </c>
      <c r="D167">
        <v>0</v>
      </c>
      <c r="E167">
        <v>0</v>
      </c>
    </row>
    <row r="168" spans="1:5" x14ac:dyDescent="0.25">
      <c r="A168">
        <v>0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>
        <v>0</v>
      </c>
      <c r="B169">
        <v>0</v>
      </c>
      <c r="C169">
        <v>0</v>
      </c>
      <c r="D169">
        <v>0</v>
      </c>
      <c r="E169">
        <v>0</v>
      </c>
    </row>
    <row r="170" spans="1:5" x14ac:dyDescent="0.25">
      <c r="A170">
        <v>0</v>
      </c>
      <c r="B170">
        <v>0</v>
      </c>
      <c r="C170">
        <v>0</v>
      </c>
      <c r="D170">
        <v>0</v>
      </c>
      <c r="E170">
        <v>0</v>
      </c>
    </row>
    <row r="171" spans="1:5" x14ac:dyDescent="0.25">
      <c r="A171">
        <v>0</v>
      </c>
      <c r="B171">
        <v>0</v>
      </c>
      <c r="C171">
        <v>0</v>
      </c>
      <c r="D171">
        <v>0</v>
      </c>
      <c r="E171">
        <v>0</v>
      </c>
    </row>
    <row r="172" spans="1:5" x14ac:dyDescent="0.25">
      <c r="A172">
        <v>0</v>
      </c>
      <c r="B172">
        <v>0</v>
      </c>
      <c r="C172">
        <v>0</v>
      </c>
      <c r="D172">
        <v>0</v>
      </c>
      <c r="E172">
        <v>0</v>
      </c>
    </row>
    <row r="173" spans="1:5" x14ac:dyDescent="0.25">
      <c r="A173">
        <v>0</v>
      </c>
      <c r="B173">
        <v>0</v>
      </c>
      <c r="C173">
        <v>0</v>
      </c>
      <c r="D173">
        <v>0</v>
      </c>
      <c r="E173">
        <v>0</v>
      </c>
    </row>
    <row r="174" spans="1:5" x14ac:dyDescent="0.25">
      <c r="A174">
        <v>0</v>
      </c>
      <c r="B174">
        <v>0</v>
      </c>
      <c r="C174">
        <v>0</v>
      </c>
      <c r="D174">
        <v>0</v>
      </c>
      <c r="E174">
        <v>0</v>
      </c>
    </row>
    <row r="175" spans="1:5" x14ac:dyDescent="0.25">
      <c r="A175">
        <v>0</v>
      </c>
      <c r="B175">
        <v>0</v>
      </c>
      <c r="C175">
        <v>0</v>
      </c>
      <c r="D175">
        <v>0</v>
      </c>
      <c r="E175">
        <v>0</v>
      </c>
    </row>
    <row r="176" spans="1:5" x14ac:dyDescent="0.25">
      <c r="A176">
        <v>0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>
        <v>0</v>
      </c>
      <c r="B177">
        <v>0</v>
      </c>
      <c r="C177">
        <v>0</v>
      </c>
      <c r="D177">
        <v>0</v>
      </c>
      <c r="E177">
        <v>0</v>
      </c>
    </row>
    <row r="178" spans="1:5" x14ac:dyDescent="0.25">
      <c r="A178">
        <v>0</v>
      </c>
      <c r="B178">
        <v>0</v>
      </c>
      <c r="C178">
        <v>0</v>
      </c>
      <c r="D178">
        <v>0</v>
      </c>
      <c r="E178">
        <v>0</v>
      </c>
    </row>
    <row r="179" spans="1:5" x14ac:dyDescent="0.25">
      <c r="A179">
        <v>0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>
        <v>0</v>
      </c>
      <c r="B180">
        <v>0</v>
      </c>
      <c r="C180">
        <v>0</v>
      </c>
      <c r="D180">
        <v>0</v>
      </c>
      <c r="E180">
        <v>0</v>
      </c>
    </row>
    <row r="181" spans="1:5" x14ac:dyDescent="0.25">
      <c r="A181">
        <v>0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>
        <v>0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>
        <v>0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>
        <v>0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>
        <v>0</v>
      </c>
      <c r="B185">
        <v>0</v>
      </c>
      <c r="C185">
        <v>0</v>
      </c>
      <c r="D185">
        <v>0</v>
      </c>
      <c r="E185">
        <v>0</v>
      </c>
    </row>
    <row r="186" spans="1:5" x14ac:dyDescent="0.25">
      <c r="A186">
        <v>0</v>
      </c>
      <c r="B186">
        <v>0</v>
      </c>
      <c r="C186">
        <v>0</v>
      </c>
      <c r="D186">
        <v>0</v>
      </c>
      <c r="E186">
        <v>0</v>
      </c>
    </row>
    <row r="187" spans="1:5" x14ac:dyDescent="0.25">
      <c r="A187">
        <v>0</v>
      </c>
      <c r="B187">
        <v>0</v>
      </c>
      <c r="C187">
        <v>0</v>
      </c>
      <c r="D187">
        <v>0</v>
      </c>
      <c r="E187">
        <v>0</v>
      </c>
    </row>
    <row r="188" spans="1:5" x14ac:dyDescent="0.25">
      <c r="A188">
        <v>0</v>
      </c>
      <c r="B188">
        <v>0</v>
      </c>
      <c r="C188">
        <v>0</v>
      </c>
      <c r="D188">
        <v>0</v>
      </c>
      <c r="E188">
        <v>0</v>
      </c>
    </row>
    <row r="189" spans="1:5" x14ac:dyDescent="0.25">
      <c r="A189">
        <v>0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>
        <v>0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>
        <v>0</v>
      </c>
      <c r="B191">
        <v>0</v>
      </c>
      <c r="C191">
        <v>0</v>
      </c>
      <c r="D191">
        <v>0</v>
      </c>
      <c r="E191">
        <v>0</v>
      </c>
    </row>
    <row r="192" spans="1:5" x14ac:dyDescent="0.25">
      <c r="A192">
        <v>0</v>
      </c>
      <c r="B192">
        <v>0</v>
      </c>
      <c r="C192">
        <v>0</v>
      </c>
      <c r="D192">
        <v>0</v>
      </c>
      <c r="E192">
        <v>0</v>
      </c>
    </row>
    <row r="193" spans="1:5" x14ac:dyDescent="0.25">
      <c r="A193">
        <v>0</v>
      </c>
      <c r="B193">
        <v>0</v>
      </c>
      <c r="C193">
        <v>0</v>
      </c>
      <c r="D193">
        <v>0</v>
      </c>
      <c r="E193">
        <v>0</v>
      </c>
    </row>
    <row r="194" spans="1:5" x14ac:dyDescent="0.25">
      <c r="A194">
        <v>0</v>
      </c>
      <c r="B194">
        <v>0</v>
      </c>
      <c r="C194">
        <v>0</v>
      </c>
      <c r="D194">
        <v>0</v>
      </c>
      <c r="E194">
        <v>0</v>
      </c>
    </row>
    <row r="195" spans="1:5" x14ac:dyDescent="0.25">
      <c r="A195">
        <v>0</v>
      </c>
      <c r="B195">
        <v>0</v>
      </c>
      <c r="C195">
        <v>0</v>
      </c>
      <c r="D195">
        <v>0</v>
      </c>
      <c r="E195">
        <v>0</v>
      </c>
    </row>
    <row r="196" spans="1:5" x14ac:dyDescent="0.25">
      <c r="A196">
        <v>0</v>
      </c>
      <c r="B196">
        <v>0</v>
      </c>
      <c r="C196">
        <v>0</v>
      </c>
      <c r="D196">
        <v>0</v>
      </c>
      <c r="E196">
        <v>0</v>
      </c>
    </row>
    <row r="197" spans="1:5" x14ac:dyDescent="0.25">
      <c r="A197">
        <v>0</v>
      </c>
      <c r="B197">
        <v>0</v>
      </c>
      <c r="C197">
        <v>0</v>
      </c>
      <c r="D197">
        <v>0</v>
      </c>
      <c r="E197">
        <v>0</v>
      </c>
    </row>
    <row r="198" spans="1:5" x14ac:dyDescent="0.25">
      <c r="A198">
        <v>0</v>
      </c>
      <c r="B198">
        <v>0</v>
      </c>
      <c r="C198">
        <v>0</v>
      </c>
      <c r="D198">
        <v>0</v>
      </c>
      <c r="E198">
        <v>0</v>
      </c>
    </row>
    <row r="199" spans="1:5" x14ac:dyDescent="0.25">
      <c r="A199">
        <v>0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>
        <v>0</v>
      </c>
      <c r="B200">
        <v>0</v>
      </c>
      <c r="C200">
        <v>0</v>
      </c>
      <c r="D200">
        <v>0</v>
      </c>
      <c r="E200">
        <v>0</v>
      </c>
    </row>
    <row r="201" spans="1:5" x14ac:dyDescent="0.25">
      <c r="A201">
        <v>0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>
        <v>0</v>
      </c>
      <c r="B202">
        <v>0</v>
      </c>
      <c r="C202">
        <v>0</v>
      </c>
      <c r="D202">
        <v>0</v>
      </c>
      <c r="E202">
        <v>0</v>
      </c>
    </row>
    <row r="203" spans="1:5" x14ac:dyDescent="0.25">
      <c r="A203">
        <v>0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>
        <v>0</v>
      </c>
      <c r="B204">
        <v>0</v>
      </c>
      <c r="C204">
        <v>0</v>
      </c>
      <c r="D204">
        <v>0</v>
      </c>
      <c r="E204">
        <v>0</v>
      </c>
    </row>
    <row r="205" spans="1:5" x14ac:dyDescent="0.25">
      <c r="A205">
        <v>0</v>
      </c>
      <c r="B205">
        <v>0</v>
      </c>
      <c r="C205">
        <v>0</v>
      </c>
      <c r="D205">
        <v>0</v>
      </c>
      <c r="E205">
        <v>0</v>
      </c>
    </row>
    <row r="206" spans="1:5" x14ac:dyDescent="0.25">
      <c r="A206">
        <v>0</v>
      </c>
      <c r="B206">
        <v>0</v>
      </c>
      <c r="C206">
        <v>0</v>
      </c>
      <c r="D206">
        <v>0</v>
      </c>
      <c r="E206">
        <v>0</v>
      </c>
    </row>
    <row r="207" spans="1:5" x14ac:dyDescent="0.25">
      <c r="A207">
        <v>0</v>
      </c>
      <c r="B207">
        <v>0</v>
      </c>
      <c r="C207">
        <v>0</v>
      </c>
      <c r="D207">
        <v>0</v>
      </c>
      <c r="E207">
        <v>0</v>
      </c>
    </row>
    <row r="208" spans="1:5" x14ac:dyDescent="0.25">
      <c r="A208">
        <v>0</v>
      </c>
      <c r="B208">
        <v>0</v>
      </c>
      <c r="C208">
        <v>0</v>
      </c>
      <c r="D208">
        <v>0</v>
      </c>
      <c r="E208">
        <v>0</v>
      </c>
    </row>
    <row r="209" spans="1:5" x14ac:dyDescent="0.25">
      <c r="A209">
        <v>0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>
        <v>0</v>
      </c>
      <c r="B210">
        <v>0</v>
      </c>
      <c r="C210">
        <v>0</v>
      </c>
      <c r="D210">
        <v>0</v>
      </c>
      <c r="E210">
        <v>0</v>
      </c>
    </row>
    <row r="211" spans="1:5" x14ac:dyDescent="0.25">
      <c r="A211">
        <v>0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>
        <v>0</v>
      </c>
      <c r="B212">
        <v>0</v>
      </c>
      <c r="C212">
        <v>0</v>
      </c>
      <c r="D212">
        <v>0</v>
      </c>
      <c r="E212">
        <v>0</v>
      </c>
    </row>
    <row r="213" spans="1:5" x14ac:dyDescent="0.25">
      <c r="A213">
        <v>0</v>
      </c>
      <c r="B213">
        <v>0</v>
      </c>
      <c r="C213">
        <v>0</v>
      </c>
      <c r="D213">
        <v>0</v>
      </c>
      <c r="E213">
        <v>0</v>
      </c>
    </row>
    <row r="214" spans="1:5" x14ac:dyDescent="0.25">
      <c r="A214">
        <v>0</v>
      </c>
      <c r="B214">
        <v>0</v>
      </c>
      <c r="C214">
        <v>0</v>
      </c>
      <c r="D214">
        <v>0</v>
      </c>
      <c r="E214">
        <v>0</v>
      </c>
    </row>
    <row r="215" spans="1:5" x14ac:dyDescent="0.25">
      <c r="A215">
        <v>0</v>
      </c>
      <c r="B215">
        <v>0</v>
      </c>
      <c r="C215">
        <v>0</v>
      </c>
      <c r="D215">
        <v>0</v>
      </c>
      <c r="E215">
        <v>0</v>
      </c>
    </row>
    <row r="216" spans="1:5" x14ac:dyDescent="0.25">
      <c r="A216">
        <v>0</v>
      </c>
      <c r="B216">
        <v>0</v>
      </c>
      <c r="C216">
        <v>0</v>
      </c>
      <c r="D216">
        <v>0</v>
      </c>
      <c r="E216">
        <v>0</v>
      </c>
    </row>
    <row r="217" spans="1:5" x14ac:dyDescent="0.25">
      <c r="A217">
        <v>0</v>
      </c>
      <c r="B217">
        <v>0</v>
      </c>
      <c r="C217">
        <v>0</v>
      </c>
      <c r="D217">
        <v>0</v>
      </c>
      <c r="E217">
        <v>0</v>
      </c>
    </row>
    <row r="218" spans="1:5" x14ac:dyDescent="0.25">
      <c r="A218">
        <v>0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>
        <v>0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>
        <v>0</v>
      </c>
      <c r="B220">
        <v>0</v>
      </c>
      <c r="C220">
        <v>0</v>
      </c>
      <c r="D220">
        <v>0</v>
      </c>
      <c r="E220">
        <v>0</v>
      </c>
    </row>
    <row r="221" spans="1:5" x14ac:dyDescent="0.25">
      <c r="A221">
        <v>0</v>
      </c>
      <c r="B221">
        <v>0</v>
      </c>
      <c r="C221">
        <v>0</v>
      </c>
      <c r="D221">
        <v>0</v>
      </c>
      <c r="E221">
        <v>0</v>
      </c>
    </row>
    <row r="222" spans="1:5" x14ac:dyDescent="0.25">
      <c r="A222">
        <v>0</v>
      </c>
      <c r="B222">
        <v>0</v>
      </c>
      <c r="C222">
        <v>0</v>
      </c>
      <c r="D222">
        <v>0</v>
      </c>
      <c r="E222">
        <v>0</v>
      </c>
    </row>
    <row r="223" spans="1:5" x14ac:dyDescent="0.25">
      <c r="A223">
        <v>0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>
        <v>0</v>
      </c>
      <c r="B224">
        <v>0</v>
      </c>
      <c r="C224">
        <v>0</v>
      </c>
      <c r="D224">
        <v>0</v>
      </c>
      <c r="E224">
        <v>0</v>
      </c>
    </row>
    <row r="225" spans="1:5" x14ac:dyDescent="0.25">
      <c r="A225">
        <v>0</v>
      </c>
      <c r="B225">
        <v>0</v>
      </c>
      <c r="C225">
        <v>0</v>
      </c>
      <c r="D225">
        <v>0</v>
      </c>
      <c r="E225">
        <v>0</v>
      </c>
    </row>
    <row r="226" spans="1:5" x14ac:dyDescent="0.25">
      <c r="A226">
        <v>0</v>
      </c>
      <c r="B226">
        <v>0</v>
      </c>
      <c r="C226">
        <v>0</v>
      </c>
      <c r="D226">
        <v>0</v>
      </c>
      <c r="E226">
        <v>0</v>
      </c>
    </row>
    <row r="227" spans="1:5" x14ac:dyDescent="0.25">
      <c r="A227">
        <v>0</v>
      </c>
      <c r="B227">
        <v>0</v>
      </c>
      <c r="C227">
        <v>0</v>
      </c>
      <c r="D227">
        <v>0</v>
      </c>
      <c r="E227">
        <v>0</v>
      </c>
    </row>
    <row r="228" spans="1:5" x14ac:dyDescent="0.25">
      <c r="A228">
        <v>0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>
        <v>0</v>
      </c>
      <c r="B229">
        <v>0</v>
      </c>
      <c r="C229">
        <v>0</v>
      </c>
      <c r="D229">
        <v>0</v>
      </c>
      <c r="E229">
        <v>0</v>
      </c>
    </row>
    <row r="230" spans="1:5" x14ac:dyDescent="0.25">
      <c r="A230">
        <v>0</v>
      </c>
      <c r="B230">
        <v>0</v>
      </c>
      <c r="C230">
        <v>0</v>
      </c>
      <c r="D230">
        <v>0</v>
      </c>
      <c r="E230">
        <v>0</v>
      </c>
    </row>
    <row r="231" spans="1:5" x14ac:dyDescent="0.25">
      <c r="A231">
        <v>0</v>
      </c>
      <c r="B231">
        <v>0</v>
      </c>
      <c r="C231">
        <v>0</v>
      </c>
      <c r="D231">
        <v>0</v>
      </c>
      <c r="E231">
        <v>0</v>
      </c>
    </row>
    <row r="232" spans="1:5" x14ac:dyDescent="0.25">
      <c r="A232">
        <v>0</v>
      </c>
      <c r="B232">
        <v>0</v>
      </c>
      <c r="C232">
        <v>0</v>
      </c>
      <c r="D232">
        <v>0</v>
      </c>
      <c r="E232">
        <v>0</v>
      </c>
    </row>
    <row r="233" spans="1:5" x14ac:dyDescent="0.25">
      <c r="A233">
        <v>0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>
        <v>0</v>
      </c>
      <c r="B234">
        <v>0</v>
      </c>
      <c r="C234">
        <v>0</v>
      </c>
      <c r="D234">
        <v>0</v>
      </c>
      <c r="E234">
        <v>0</v>
      </c>
    </row>
    <row r="235" spans="1:5" x14ac:dyDescent="0.25">
      <c r="A235">
        <v>0</v>
      </c>
      <c r="B235">
        <v>0</v>
      </c>
      <c r="C235">
        <v>0</v>
      </c>
      <c r="D235">
        <v>0</v>
      </c>
      <c r="E235">
        <v>0</v>
      </c>
    </row>
    <row r="236" spans="1:5" x14ac:dyDescent="0.25">
      <c r="A236">
        <v>0</v>
      </c>
      <c r="B236">
        <v>0</v>
      </c>
      <c r="C236">
        <v>0</v>
      </c>
      <c r="D236">
        <v>0</v>
      </c>
      <c r="E236">
        <v>0</v>
      </c>
    </row>
    <row r="237" spans="1:5" x14ac:dyDescent="0.25">
      <c r="A237">
        <v>0</v>
      </c>
      <c r="B237">
        <v>0</v>
      </c>
      <c r="C237">
        <v>0</v>
      </c>
      <c r="D237">
        <v>0</v>
      </c>
      <c r="E237">
        <v>0</v>
      </c>
    </row>
    <row r="238" spans="1:5" x14ac:dyDescent="0.25">
      <c r="A238">
        <v>0</v>
      </c>
      <c r="B238">
        <v>0</v>
      </c>
      <c r="C238">
        <v>0</v>
      </c>
      <c r="D238">
        <v>0</v>
      </c>
      <c r="E238">
        <v>0</v>
      </c>
    </row>
    <row r="239" spans="1:5" x14ac:dyDescent="0.25">
      <c r="A239">
        <v>0</v>
      </c>
      <c r="B239">
        <v>0</v>
      </c>
      <c r="C239">
        <v>0</v>
      </c>
      <c r="D239">
        <v>0</v>
      </c>
      <c r="E239">
        <v>0</v>
      </c>
    </row>
    <row r="240" spans="1:5" x14ac:dyDescent="0.25">
      <c r="A240">
        <v>0</v>
      </c>
      <c r="B240">
        <v>0</v>
      </c>
      <c r="C240">
        <v>0</v>
      </c>
      <c r="D240">
        <v>0</v>
      </c>
      <c r="E240">
        <v>0</v>
      </c>
    </row>
    <row r="241" spans="1:5" x14ac:dyDescent="0.25">
      <c r="A241">
        <v>0</v>
      </c>
      <c r="B241">
        <v>0</v>
      </c>
      <c r="C241">
        <v>0</v>
      </c>
      <c r="D241">
        <v>0</v>
      </c>
      <c r="E241">
        <v>0</v>
      </c>
    </row>
    <row r="242" spans="1:5" x14ac:dyDescent="0.25">
      <c r="A242">
        <v>0</v>
      </c>
      <c r="B242">
        <v>0</v>
      </c>
      <c r="C242">
        <v>0</v>
      </c>
      <c r="D242">
        <v>0</v>
      </c>
      <c r="E242">
        <v>0</v>
      </c>
    </row>
    <row r="243" spans="1:5" x14ac:dyDescent="0.25">
      <c r="A243">
        <v>0</v>
      </c>
      <c r="B243">
        <v>0</v>
      </c>
      <c r="C243">
        <v>0</v>
      </c>
      <c r="D243">
        <v>0</v>
      </c>
      <c r="E243">
        <v>0</v>
      </c>
    </row>
    <row r="244" spans="1:5" x14ac:dyDescent="0.25">
      <c r="A244">
        <v>0</v>
      </c>
      <c r="B244">
        <v>0</v>
      </c>
      <c r="C244">
        <v>0</v>
      </c>
      <c r="D244">
        <v>0</v>
      </c>
      <c r="E244">
        <v>0</v>
      </c>
    </row>
    <row r="245" spans="1:5" x14ac:dyDescent="0.25">
      <c r="A245">
        <v>0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>
        <v>0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>
        <v>0</v>
      </c>
      <c r="B247">
        <v>0</v>
      </c>
      <c r="C247">
        <v>0</v>
      </c>
      <c r="D247">
        <v>0</v>
      </c>
      <c r="E247">
        <v>0</v>
      </c>
    </row>
    <row r="248" spans="1:5" x14ac:dyDescent="0.25">
      <c r="A248">
        <v>0</v>
      </c>
      <c r="B248">
        <v>0</v>
      </c>
      <c r="C248">
        <v>0</v>
      </c>
      <c r="D248">
        <v>0</v>
      </c>
      <c r="E248">
        <v>0</v>
      </c>
    </row>
    <row r="249" spans="1:5" x14ac:dyDescent="0.25">
      <c r="A249">
        <v>0</v>
      </c>
      <c r="B249">
        <v>0</v>
      </c>
      <c r="C249">
        <v>0</v>
      </c>
      <c r="D249">
        <v>0</v>
      </c>
      <c r="E249">
        <v>0</v>
      </c>
    </row>
    <row r="250" spans="1:5" x14ac:dyDescent="0.25">
      <c r="A250">
        <v>0</v>
      </c>
      <c r="B250">
        <v>0</v>
      </c>
      <c r="C250">
        <v>0</v>
      </c>
      <c r="D250">
        <v>0</v>
      </c>
      <c r="E250">
        <v>0</v>
      </c>
    </row>
    <row r="251" spans="1:5" x14ac:dyDescent="0.25">
      <c r="A251">
        <v>0</v>
      </c>
      <c r="B251">
        <v>0</v>
      </c>
      <c r="C251">
        <v>0</v>
      </c>
      <c r="D251">
        <v>0</v>
      </c>
      <c r="E251">
        <v>0</v>
      </c>
    </row>
    <row r="252" spans="1:5" x14ac:dyDescent="0.25">
      <c r="A252">
        <v>0</v>
      </c>
      <c r="B252">
        <v>0</v>
      </c>
      <c r="C252">
        <v>0</v>
      </c>
      <c r="D252">
        <v>0</v>
      </c>
      <c r="E252">
        <v>0</v>
      </c>
    </row>
    <row r="253" spans="1:5" x14ac:dyDescent="0.25">
      <c r="A253">
        <v>0</v>
      </c>
      <c r="B253">
        <v>0</v>
      </c>
      <c r="C253">
        <v>0</v>
      </c>
      <c r="D253">
        <v>0</v>
      </c>
      <c r="E253">
        <v>0</v>
      </c>
    </row>
    <row r="254" spans="1:5" x14ac:dyDescent="0.25">
      <c r="A254">
        <v>0</v>
      </c>
      <c r="B254">
        <v>0</v>
      </c>
      <c r="C254">
        <v>0</v>
      </c>
      <c r="D254">
        <v>0</v>
      </c>
      <c r="E254">
        <v>0</v>
      </c>
    </row>
    <row r="255" spans="1:5" x14ac:dyDescent="0.25">
      <c r="A255">
        <v>0</v>
      </c>
      <c r="B255">
        <v>0</v>
      </c>
      <c r="C255">
        <v>0</v>
      </c>
      <c r="D255">
        <v>0</v>
      </c>
      <c r="E255">
        <v>0</v>
      </c>
    </row>
    <row r="256" spans="1:5" x14ac:dyDescent="0.25">
      <c r="A256">
        <v>0</v>
      </c>
      <c r="B256">
        <v>0</v>
      </c>
      <c r="C256">
        <v>0</v>
      </c>
      <c r="D256">
        <v>0</v>
      </c>
      <c r="E256">
        <v>0</v>
      </c>
    </row>
    <row r="257" spans="1:5" x14ac:dyDescent="0.25">
      <c r="A257">
        <v>0</v>
      </c>
      <c r="B257">
        <v>0</v>
      </c>
      <c r="C257">
        <v>0</v>
      </c>
      <c r="D257">
        <v>0</v>
      </c>
      <c r="E257">
        <v>0</v>
      </c>
    </row>
    <row r="258" spans="1:5" x14ac:dyDescent="0.25">
      <c r="A258">
        <v>0</v>
      </c>
      <c r="B258">
        <v>0</v>
      </c>
      <c r="C258">
        <v>0</v>
      </c>
      <c r="D258">
        <v>0</v>
      </c>
      <c r="E258">
        <v>0</v>
      </c>
    </row>
    <row r="259" spans="1:5" x14ac:dyDescent="0.25">
      <c r="A259">
        <v>0</v>
      </c>
      <c r="B259">
        <v>0</v>
      </c>
      <c r="C259">
        <v>0</v>
      </c>
      <c r="D259">
        <v>0</v>
      </c>
      <c r="E259">
        <v>0</v>
      </c>
    </row>
    <row r="260" spans="1:5" x14ac:dyDescent="0.25">
      <c r="A260">
        <v>0</v>
      </c>
      <c r="B260">
        <v>0</v>
      </c>
      <c r="C260">
        <v>0</v>
      </c>
      <c r="D260">
        <v>0</v>
      </c>
      <c r="E260">
        <v>0</v>
      </c>
    </row>
    <row r="261" spans="1:5" x14ac:dyDescent="0.25">
      <c r="A261">
        <v>0</v>
      </c>
      <c r="B261">
        <v>0</v>
      </c>
      <c r="C261">
        <v>0</v>
      </c>
      <c r="D261">
        <v>0</v>
      </c>
      <c r="E261">
        <v>0</v>
      </c>
    </row>
    <row r="262" spans="1:5" x14ac:dyDescent="0.25">
      <c r="A262">
        <v>0</v>
      </c>
      <c r="B262">
        <v>0</v>
      </c>
      <c r="C262">
        <v>0</v>
      </c>
      <c r="D262">
        <v>0</v>
      </c>
      <c r="E262">
        <v>0</v>
      </c>
    </row>
    <row r="263" spans="1:5" x14ac:dyDescent="0.25">
      <c r="A263">
        <v>0</v>
      </c>
      <c r="B263">
        <v>0</v>
      </c>
      <c r="C263">
        <v>0</v>
      </c>
      <c r="D263">
        <v>0</v>
      </c>
      <c r="E263">
        <v>0</v>
      </c>
    </row>
    <row r="264" spans="1:5" x14ac:dyDescent="0.25">
      <c r="A264">
        <v>0</v>
      </c>
      <c r="B264">
        <v>0</v>
      </c>
      <c r="C264">
        <v>0</v>
      </c>
      <c r="D264">
        <v>0</v>
      </c>
      <c r="E264">
        <v>0</v>
      </c>
    </row>
    <row r="265" spans="1:5" x14ac:dyDescent="0.25">
      <c r="A265">
        <v>0</v>
      </c>
      <c r="B265">
        <v>0</v>
      </c>
      <c r="C265">
        <v>0</v>
      </c>
      <c r="D265">
        <v>0</v>
      </c>
      <c r="E265">
        <v>0</v>
      </c>
    </row>
    <row r="266" spans="1:5" x14ac:dyDescent="0.25">
      <c r="A266">
        <v>0</v>
      </c>
      <c r="B266">
        <v>0</v>
      </c>
      <c r="C266">
        <v>0</v>
      </c>
      <c r="D266">
        <v>0</v>
      </c>
      <c r="E266">
        <v>0</v>
      </c>
    </row>
    <row r="267" spans="1:5" x14ac:dyDescent="0.25">
      <c r="A267">
        <v>0</v>
      </c>
      <c r="B267">
        <v>0</v>
      </c>
      <c r="C267">
        <v>0</v>
      </c>
      <c r="D267">
        <v>0</v>
      </c>
      <c r="E267">
        <v>0</v>
      </c>
    </row>
    <row r="268" spans="1:5" x14ac:dyDescent="0.25">
      <c r="A268">
        <v>0</v>
      </c>
      <c r="B268">
        <v>0</v>
      </c>
      <c r="C268">
        <v>0</v>
      </c>
      <c r="D268">
        <v>0</v>
      </c>
      <c r="E268">
        <v>0</v>
      </c>
    </row>
    <row r="269" spans="1:5" x14ac:dyDescent="0.25">
      <c r="A269">
        <v>0</v>
      </c>
      <c r="B269">
        <v>0</v>
      </c>
      <c r="C269">
        <v>0</v>
      </c>
      <c r="D269">
        <v>0</v>
      </c>
      <c r="E269">
        <v>0</v>
      </c>
    </row>
    <row r="270" spans="1:5" x14ac:dyDescent="0.25">
      <c r="A270">
        <v>0</v>
      </c>
      <c r="B270">
        <v>0</v>
      </c>
      <c r="C270">
        <v>0</v>
      </c>
      <c r="D270">
        <v>0</v>
      </c>
      <c r="E270">
        <v>0</v>
      </c>
    </row>
    <row r="271" spans="1:5" x14ac:dyDescent="0.25">
      <c r="A271">
        <v>0</v>
      </c>
      <c r="B271">
        <v>0</v>
      </c>
      <c r="C271">
        <v>0</v>
      </c>
      <c r="D271">
        <v>0</v>
      </c>
      <c r="E271">
        <v>0</v>
      </c>
    </row>
    <row r="272" spans="1:5" x14ac:dyDescent="0.25">
      <c r="A272">
        <v>0</v>
      </c>
      <c r="B272">
        <v>0</v>
      </c>
      <c r="C272">
        <v>0</v>
      </c>
      <c r="D272">
        <v>0</v>
      </c>
      <c r="E272">
        <v>0</v>
      </c>
    </row>
    <row r="273" spans="1:5" x14ac:dyDescent="0.25">
      <c r="A273">
        <v>0</v>
      </c>
      <c r="B273">
        <v>0</v>
      </c>
      <c r="C273">
        <v>0</v>
      </c>
      <c r="D273">
        <v>0</v>
      </c>
      <c r="E273">
        <v>0</v>
      </c>
    </row>
    <row r="274" spans="1:5" x14ac:dyDescent="0.25">
      <c r="A274">
        <v>0</v>
      </c>
      <c r="B274">
        <v>0</v>
      </c>
      <c r="C274">
        <v>0</v>
      </c>
      <c r="D274">
        <v>0</v>
      </c>
      <c r="E274">
        <v>0</v>
      </c>
    </row>
    <row r="275" spans="1:5" x14ac:dyDescent="0.25">
      <c r="A275">
        <v>0</v>
      </c>
      <c r="B275">
        <v>0</v>
      </c>
      <c r="C275">
        <v>0</v>
      </c>
      <c r="D275">
        <v>0</v>
      </c>
      <c r="E275">
        <v>0</v>
      </c>
    </row>
    <row r="276" spans="1:5" x14ac:dyDescent="0.25">
      <c r="A276">
        <v>0</v>
      </c>
      <c r="B276">
        <v>0</v>
      </c>
      <c r="C276">
        <v>0</v>
      </c>
      <c r="D276">
        <v>0</v>
      </c>
      <c r="E276">
        <v>0</v>
      </c>
    </row>
    <row r="277" spans="1:5" x14ac:dyDescent="0.25">
      <c r="A277">
        <v>0</v>
      </c>
      <c r="B277">
        <v>0</v>
      </c>
      <c r="C277">
        <v>0</v>
      </c>
      <c r="D277">
        <v>0</v>
      </c>
      <c r="E277">
        <v>0</v>
      </c>
    </row>
    <row r="278" spans="1:5" x14ac:dyDescent="0.25">
      <c r="A278">
        <v>0</v>
      </c>
      <c r="B278">
        <v>0</v>
      </c>
      <c r="C278">
        <v>0</v>
      </c>
      <c r="D278">
        <v>0</v>
      </c>
      <c r="E278">
        <v>0</v>
      </c>
    </row>
    <row r="279" spans="1:5" x14ac:dyDescent="0.25">
      <c r="A279">
        <v>0</v>
      </c>
      <c r="B279">
        <v>0</v>
      </c>
      <c r="C279">
        <v>0</v>
      </c>
      <c r="D279">
        <v>0</v>
      </c>
      <c r="E279">
        <v>0</v>
      </c>
    </row>
    <row r="280" spans="1:5" x14ac:dyDescent="0.25">
      <c r="A280">
        <v>0</v>
      </c>
      <c r="B280">
        <v>0</v>
      </c>
      <c r="C280">
        <v>0</v>
      </c>
      <c r="D280">
        <v>0</v>
      </c>
      <c r="E280">
        <v>0</v>
      </c>
    </row>
    <row r="281" spans="1:5" x14ac:dyDescent="0.25">
      <c r="A281">
        <v>0</v>
      </c>
      <c r="B281">
        <v>0</v>
      </c>
      <c r="C281">
        <v>0</v>
      </c>
      <c r="D281">
        <v>0</v>
      </c>
      <c r="E281">
        <v>0</v>
      </c>
    </row>
    <row r="282" spans="1:5" x14ac:dyDescent="0.25">
      <c r="A282">
        <v>0</v>
      </c>
      <c r="B282">
        <v>0</v>
      </c>
      <c r="C282">
        <v>0</v>
      </c>
      <c r="D282">
        <v>0</v>
      </c>
      <c r="E282">
        <v>0</v>
      </c>
    </row>
    <row r="283" spans="1:5" x14ac:dyDescent="0.25">
      <c r="A283">
        <v>0</v>
      </c>
      <c r="B283">
        <v>0</v>
      </c>
      <c r="C283">
        <v>0</v>
      </c>
      <c r="D283">
        <v>0</v>
      </c>
      <c r="E283">
        <v>0</v>
      </c>
    </row>
    <row r="284" spans="1:5" x14ac:dyDescent="0.25">
      <c r="A284">
        <v>0</v>
      </c>
      <c r="B284">
        <v>0</v>
      </c>
      <c r="C284">
        <v>0</v>
      </c>
      <c r="D284">
        <v>0</v>
      </c>
      <c r="E284">
        <v>0</v>
      </c>
    </row>
    <row r="285" spans="1:5" x14ac:dyDescent="0.25">
      <c r="A285">
        <v>0</v>
      </c>
      <c r="B285">
        <v>0</v>
      </c>
      <c r="C285">
        <v>0</v>
      </c>
      <c r="D285">
        <v>0</v>
      </c>
      <c r="E285">
        <v>0</v>
      </c>
    </row>
    <row r="286" spans="1:5" x14ac:dyDescent="0.25">
      <c r="A286">
        <v>0</v>
      </c>
      <c r="B286">
        <v>0</v>
      </c>
      <c r="C286">
        <v>0</v>
      </c>
      <c r="D286">
        <v>0</v>
      </c>
      <c r="E286">
        <v>0</v>
      </c>
    </row>
    <row r="287" spans="1:5" x14ac:dyDescent="0.25">
      <c r="A287">
        <v>0</v>
      </c>
      <c r="B287">
        <v>0</v>
      </c>
      <c r="C287">
        <v>0</v>
      </c>
      <c r="D287">
        <v>0</v>
      </c>
      <c r="E287">
        <v>0</v>
      </c>
    </row>
    <row r="288" spans="1:5" x14ac:dyDescent="0.25">
      <c r="A288">
        <v>0</v>
      </c>
      <c r="B288">
        <v>0</v>
      </c>
      <c r="C288">
        <v>0</v>
      </c>
      <c r="D288">
        <v>0</v>
      </c>
      <c r="E288">
        <v>0</v>
      </c>
    </row>
    <row r="289" spans="1:5" x14ac:dyDescent="0.25">
      <c r="A289">
        <v>0</v>
      </c>
      <c r="B289">
        <v>0</v>
      </c>
      <c r="C289">
        <v>0</v>
      </c>
      <c r="D289">
        <v>0</v>
      </c>
      <c r="E289">
        <v>0</v>
      </c>
    </row>
    <row r="290" spans="1:5" x14ac:dyDescent="0.25">
      <c r="A290">
        <v>0</v>
      </c>
      <c r="B290">
        <v>0</v>
      </c>
      <c r="C290">
        <v>0</v>
      </c>
      <c r="D290">
        <v>0</v>
      </c>
      <c r="E290">
        <v>0</v>
      </c>
    </row>
    <row r="291" spans="1:5" x14ac:dyDescent="0.25">
      <c r="A291">
        <v>0</v>
      </c>
      <c r="B291">
        <v>0</v>
      </c>
      <c r="C291">
        <v>0</v>
      </c>
      <c r="D291">
        <v>0</v>
      </c>
      <c r="E291">
        <v>0</v>
      </c>
    </row>
    <row r="292" spans="1:5" x14ac:dyDescent="0.25">
      <c r="A292">
        <v>0</v>
      </c>
      <c r="B292">
        <v>0</v>
      </c>
      <c r="C292">
        <v>0</v>
      </c>
      <c r="D292">
        <v>0</v>
      </c>
      <c r="E292">
        <v>0</v>
      </c>
    </row>
    <row r="293" spans="1:5" x14ac:dyDescent="0.25">
      <c r="A293">
        <v>0</v>
      </c>
      <c r="B293">
        <v>0</v>
      </c>
      <c r="C293">
        <v>0</v>
      </c>
      <c r="D293">
        <v>0</v>
      </c>
      <c r="E293">
        <v>0</v>
      </c>
    </row>
    <row r="294" spans="1:5" x14ac:dyDescent="0.25">
      <c r="A294">
        <v>0</v>
      </c>
      <c r="B294">
        <v>0</v>
      </c>
      <c r="C294">
        <v>0</v>
      </c>
      <c r="D294">
        <v>0</v>
      </c>
      <c r="E294">
        <v>0</v>
      </c>
    </row>
    <row r="295" spans="1:5" x14ac:dyDescent="0.25">
      <c r="A295">
        <v>0</v>
      </c>
      <c r="B295">
        <v>0</v>
      </c>
      <c r="C295">
        <v>0</v>
      </c>
      <c r="D295">
        <v>0</v>
      </c>
      <c r="E295">
        <v>0</v>
      </c>
    </row>
    <row r="296" spans="1:5" x14ac:dyDescent="0.25">
      <c r="A296">
        <v>0</v>
      </c>
      <c r="B296">
        <v>0</v>
      </c>
      <c r="C296">
        <v>0</v>
      </c>
      <c r="D296">
        <v>0</v>
      </c>
      <c r="E296">
        <v>0</v>
      </c>
    </row>
    <row r="297" spans="1:5" x14ac:dyDescent="0.25">
      <c r="A297">
        <v>0</v>
      </c>
      <c r="B297">
        <v>0</v>
      </c>
      <c r="C297">
        <v>0</v>
      </c>
      <c r="D297">
        <v>0</v>
      </c>
      <c r="E297">
        <v>0</v>
      </c>
    </row>
    <row r="298" spans="1:5" x14ac:dyDescent="0.25">
      <c r="A298">
        <v>0</v>
      </c>
      <c r="B298">
        <v>0</v>
      </c>
      <c r="C298">
        <v>0</v>
      </c>
      <c r="D298">
        <v>0</v>
      </c>
      <c r="E298">
        <v>0</v>
      </c>
    </row>
    <row r="299" spans="1:5" x14ac:dyDescent="0.25">
      <c r="A299">
        <v>0</v>
      </c>
      <c r="B299">
        <v>0</v>
      </c>
      <c r="C299">
        <v>0</v>
      </c>
      <c r="D299">
        <v>0</v>
      </c>
      <c r="E299">
        <v>0</v>
      </c>
    </row>
    <row r="300" spans="1:5" x14ac:dyDescent="0.25">
      <c r="A300">
        <v>0</v>
      </c>
      <c r="B300">
        <v>0</v>
      </c>
      <c r="C300">
        <v>0</v>
      </c>
      <c r="D300">
        <v>0</v>
      </c>
      <c r="E300">
        <v>0</v>
      </c>
    </row>
    <row r="301" spans="1:5" x14ac:dyDescent="0.25">
      <c r="A301">
        <v>0</v>
      </c>
      <c r="B301">
        <v>0</v>
      </c>
      <c r="C301">
        <v>0</v>
      </c>
      <c r="D301">
        <v>0</v>
      </c>
      <c r="E301">
        <v>0</v>
      </c>
    </row>
    <row r="302" spans="1:5" x14ac:dyDescent="0.25">
      <c r="A302">
        <v>0</v>
      </c>
      <c r="B302">
        <v>0</v>
      </c>
      <c r="C302">
        <v>0</v>
      </c>
      <c r="D302">
        <v>0</v>
      </c>
      <c r="E302">
        <v>0</v>
      </c>
    </row>
    <row r="303" spans="1:5" x14ac:dyDescent="0.25">
      <c r="A303">
        <v>0</v>
      </c>
      <c r="B303">
        <v>0</v>
      </c>
      <c r="C303">
        <v>0</v>
      </c>
      <c r="D303">
        <v>0</v>
      </c>
      <c r="E303">
        <v>0</v>
      </c>
    </row>
    <row r="304" spans="1:5" x14ac:dyDescent="0.25">
      <c r="A304">
        <v>0</v>
      </c>
      <c r="B304">
        <v>0</v>
      </c>
      <c r="C304">
        <v>0</v>
      </c>
      <c r="D304">
        <v>0</v>
      </c>
      <c r="E304">
        <v>0</v>
      </c>
    </row>
    <row r="305" spans="1:5" x14ac:dyDescent="0.25">
      <c r="A305">
        <v>0</v>
      </c>
      <c r="B305">
        <v>0</v>
      </c>
      <c r="C305">
        <v>0</v>
      </c>
      <c r="D305">
        <v>0</v>
      </c>
      <c r="E305">
        <v>0</v>
      </c>
    </row>
    <row r="306" spans="1:5" x14ac:dyDescent="0.25">
      <c r="A306">
        <v>0</v>
      </c>
      <c r="B306">
        <v>0</v>
      </c>
      <c r="C306">
        <v>0</v>
      </c>
      <c r="D306">
        <v>0</v>
      </c>
      <c r="E306">
        <v>0</v>
      </c>
    </row>
    <row r="307" spans="1:5" x14ac:dyDescent="0.25">
      <c r="A307">
        <v>0</v>
      </c>
      <c r="B307">
        <v>0</v>
      </c>
      <c r="C307">
        <v>0</v>
      </c>
      <c r="D307">
        <v>0</v>
      </c>
      <c r="E307">
        <v>0</v>
      </c>
    </row>
    <row r="308" spans="1:5" x14ac:dyDescent="0.25">
      <c r="A308">
        <v>0</v>
      </c>
      <c r="B308">
        <v>0</v>
      </c>
      <c r="C308">
        <v>0</v>
      </c>
      <c r="D308">
        <v>0</v>
      </c>
      <c r="E308">
        <v>0</v>
      </c>
    </row>
    <row r="309" spans="1:5" x14ac:dyDescent="0.25">
      <c r="A309">
        <v>0</v>
      </c>
      <c r="B309">
        <v>0</v>
      </c>
      <c r="C309">
        <v>0</v>
      </c>
      <c r="D309">
        <v>0</v>
      </c>
      <c r="E309">
        <v>0</v>
      </c>
    </row>
    <row r="310" spans="1:5" x14ac:dyDescent="0.25">
      <c r="A310">
        <v>0</v>
      </c>
      <c r="B310">
        <v>0</v>
      </c>
      <c r="C310">
        <v>0</v>
      </c>
      <c r="D310">
        <v>0</v>
      </c>
      <c r="E310">
        <v>0</v>
      </c>
    </row>
    <row r="311" spans="1:5" x14ac:dyDescent="0.25">
      <c r="A311">
        <v>0</v>
      </c>
      <c r="B311">
        <v>0</v>
      </c>
      <c r="C311">
        <v>0</v>
      </c>
      <c r="D311">
        <v>0</v>
      </c>
      <c r="E311">
        <v>0</v>
      </c>
    </row>
    <row r="312" spans="1:5" x14ac:dyDescent="0.25">
      <c r="A312">
        <v>0</v>
      </c>
      <c r="B312">
        <v>0</v>
      </c>
      <c r="C312">
        <v>0</v>
      </c>
      <c r="D312">
        <v>0</v>
      </c>
      <c r="E312">
        <v>0</v>
      </c>
    </row>
    <row r="313" spans="1:5" x14ac:dyDescent="0.25">
      <c r="A313">
        <v>0</v>
      </c>
      <c r="B313">
        <v>0</v>
      </c>
      <c r="C313">
        <v>0</v>
      </c>
      <c r="D313">
        <v>0</v>
      </c>
      <c r="E313">
        <v>0</v>
      </c>
    </row>
    <row r="314" spans="1:5" x14ac:dyDescent="0.25">
      <c r="A314">
        <v>0</v>
      </c>
      <c r="B314">
        <v>0</v>
      </c>
      <c r="C314">
        <v>0</v>
      </c>
      <c r="D314">
        <v>0</v>
      </c>
      <c r="E314">
        <v>0</v>
      </c>
    </row>
    <row r="315" spans="1:5" x14ac:dyDescent="0.25">
      <c r="A315">
        <v>0</v>
      </c>
      <c r="B315">
        <v>0</v>
      </c>
      <c r="C315">
        <v>0</v>
      </c>
      <c r="D315">
        <v>0</v>
      </c>
      <c r="E315">
        <v>0</v>
      </c>
    </row>
    <row r="316" spans="1:5" x14ac:dyDescent="0.25">
      <c r="A316">
        <v>0</v>
      </c>
      <c r="B316">
        <v>0</v>
      </c>
      <c r="C316">
        <v>0</v>
      </c>
      <c r="D316">
        <v>0</v>
      </c>
      <c r="E316">
        <v>0</v>
      </c>
    </row>
    <row r="317" spans="1:5" x14ac:dyDescent="0.25">
      <c r="A317">
        <v>0</v>
      </c>
      <c r="B317">
        <v>0</v>
      </c>
      <c r="C317">
        <v>0</v>
      </c>
      <c r="D317">
        <v>0</v>
      </c>
      <c r="E317">
        <v>0</v>
      </c>
    </row>
    <row r="318" spans="1:5" x14ac:dyDescent="0.25">
      <c r="A318">
        <v>0</v>
      </c>
      <c r="B318">
        <v>0</v>
      </c>
      <c r="C318">
        <v>0</v>
      </c>
      <c r="D318">
        <v>0</v>
      </c>
      <c r="E318">
        <v>0</v>
      </c>
    </row>
    <row r="319" spans="1:5" x14ac:dyDescent="0.25">
      <c r="A319">
        <v>0</v>
      </c>
      <c r="B319">
        <v>0</v>
      </c>
      <c r="C319">
        <v>0</v>
      </c>
      <c r="D319">
        <v>0</v>
      </c>
      <c r="E319">
        <v>0</v>
      </c>
    </row>
    <row r="320" spans="1:5" x14ac:dyDescent="0.25">
      <c r="A320">
        <v>0</v>
      </c>
      <c r="B320">
        <v>0</v>
      </c>
      <c r="C320">
        <v>0</v>
      </c>
      <c r="D320">
        <v>0</v>
      </c>
      <c r="E320">
        <v>0</v>
      </c>
    </row>
    <row r="321" spans="1:5" x14ac:dyDescent="0.25">
      <c r="A321">
        <v>0</v>
      </c>
      <c r="B321">
        <v>0</v>
      </c>
      <c r="C321">
        <v>0</v>
      </c>
      <c r="D321">
        <v>0</v>
      </c>
      <c r="E321">
        <v>0</v>
      </c>
    </row>
    <row r="322" spans="1:5" x14ac:dyDescent="0.25">
      <c r="A322">
        <v>0</v>
      </c>
      <c r="B322">
        <v>0</v>
      </c>
      <c r="C322">
        <v>0</v>
      </c>
      <c r="D322">
        <v>0</v>
      </c>
      <c r="E322">
        <v>0</v>
      </c>
    </row>
    <row r="323" spans="1:5" x14ac:dyDescent="0.25">
      <c r="A323">
        <v>0</v>
      </c>
      <c r="B323">
        <v>0</v>
      </c>
      <c r="C323">
        <v>0</v>
      </c>
      <c r="D323">
        <v>0</v>
      </c>
      <c r="E323">
        <v>0</v>
      </c>
    </row>
    <row r="324" spans="1:5" x14ac:dyDescent="0.25">
      <c r="A324">
        <v>0</v>
      </c>
      <c r="B324">
        <v>0</v>
      </c>
      <c r="C324">
        <v>0</v>
      </c>
      <c r="D324">
        <v>0</v>
      </c>
      <c r="E324">
        <v>0</v>
      </c>
    </row>
    <row r="325" spans="1:5" x14ac:dyDescent="0.25">
      <c r="A325">
        <v>0</v>
      </c>
      <c r="B325">
        <v>0</v>
      </c>
      <c r="C325">
        <v>0</v>
      </c>
      <c r="D325">
        <v>0</v>
      </c>
      <c r="E325">
        <v>0</v>
      </c>
    </row>
    <row r="326" spans="1:5" x14ac:dyDescent="0.25">
      <c r="A326">
        <v>0</v>
      </c>
      <c r="B326">
        <v>0</v>
      </c>
      <c r="C326">
        <v>0</v>
      </c>
      <c r="D326">
        <v>0</v>
      </c>
      <c r="E326">
        <v>0</v>
      </c>
    </row>
    <row r="327" spans="1:5" x14ac:dyDescent="0.25">
      <c r="A327">
        <v>0</v>
      </c>
      <c r="B327">
        <v>0</v>
      </c>
      <c r="C327">
        <v>0</v>
      </c>
      <c r="D327">
        <v>0</v>
      </c>
      <c r="E327">
        <v>0</v>
      </c>
    </row>
    <row r="328" spans="1:5" x14ac:dyDescent="0.25">
      <c r="A328">
        <v>0</v>
      </c>
      <c r="B328">
        <v>0</v>
      </c>
      <c r="C328">
        <v>0</v>
      </c>
      <c r="D328">
        <v>0</v>
      </c>
      <c r="E328">
        <v>0</v>
      </c>
    </row>
    <row r="329" spans="1:5" x14ac:dyDescent="0.25">
      <c r="A329">
        <v>0</v>
      </c>
      <c r="B329">
        <v>0</v>
      </c>
      <c r="C329">
        <v>0</v>
      </c>
      <c r="D329">
        <v>0</v>
      </c>
      <c r="E329">
        <v>0</v>
      </c>
    </row>
    <row r="330" spans="1:5" x14ac:dyDescent="0.25">
      <c r="A330">
        <v>0</v>
      </c>
      <c r="B330">
        <v>0</v>
      </c>
      <c r="C330">
        <v>0</v>
      </c>
      <c r="D330">
        <v>0</v>
      </c>
      <c r="E330">
        <v>0</v>
      </c>
    </row>
    <row r="331" spans="1:5" x14ac:dyDescent="0.25">
      <c r="A331">
        <v>0</v>
      </c>
      <c r="B331">
        <v>0</v>
      </c>
      <c r="C331">
        <v>0</v>
      </c>
      <c r="D331">
        <v>0</v>
      </c>
      <c r="E331">
        <v>0</v>
      </c>
    </row>
    <row r="332" spans="1:5" x14ac:dyDescent="0.25">
      <c r="A332">
        <v>0</v>
      </c>
      <c r="B332">
        <v>0</v>
      </c>
      <c r="C332">
        <v>0</v>
      </c>
      <c r="D332">
        <v>0</v>
      </c>
      <c r="E332">
        <v>0</v>
      </c>
    </row>
    <row r="333" spans="1:5" x14ac:dyDescent="0.25">
      <c r="A333">
        <v>0</v>
      </c>
      <c r="B333">
        <v>0</v>
      </c>
      <c r="C333">
        <v>0</v>
      </c>
      <c r="D333">
        <v>0</v>
      </c>
      <c r="E333">
        <v>0</v>
      </c>
    </row>
    <row r="334" spans="1:5" x14ac:dyDescent="0.25">
      <c r="A334">
        <v>0</v>
      </c>
      <c r="B334">
        <v>0</v>
      </c>
      <c r="C334">
        <v>0</v>
      </c>
      <c r="D334">
        <v>0</v>
      </c>
      <c r="E334">
        <v>0</v>
      </c>
    </row>
    <row r="335" spans="1:5" x14ac:dyDescent="0.25">
      <c r="A335">
        <v>0</v>
      </c>
      <c r="B335">
        <v>0</v>
      </c>
      <c r="C335">
        <v>0</v>
      </c>
      <c r="D335">
        <v>0</v>
      </c>
      <c r="E335">
        <v>0</v>
      </c>
    </row>
    <row r="336" spans="1:5" x14ac:dyDescent="0.25">
      <c r="A336">
        <v>0</v>
      </c>
      <c r="B336">
        <v>0</v>
      </c>
      <c r="C336">
        <v>0</v>
      </c>
      <c r="D336">
        <v>0</v>
      </c>
      <c r="E336">
        <v>0</v>
      </c>
    </row>
    <row r="337" spans="1:5" x14ac:dyDescent="0.25">
      <c r="A337">
        <v>0</v>
      </c>
      <c r="B337">
        <v>0</v>
      </c>
      <c r="C337">
        <v>0</v>
      </c>
      <c r="D337">
        <v>0</v>
      </c>
      <c r="E337">
        <v>0</v>
      </c>
    </row>
    <row r="338" spans="1:5" x14ac:dyDescent="0.25">
      <c r="A338">
        <v>0</v>
      </c>
      <c r="B338">
        <v>0</v>
      </c>
      <c r="C338">
        <v>0</v>
      </c>
      <c r="D338">
        <v>0</v>
      </c>
      <c r="E338">
        <v>0</v>
      </c>
    </row>
    <row r="339" spans="1:5" x14ac:dyDescent="0.25">
      <c r="A339">
        <v>0</v>
      </c>
      <c r="B339">
        <v>0</v>
      </c>
      <c r="C339">
        <v>0</v>
      </c>
      <c r="D339">
        <v>0</v>
      </c>
      <c r="E339">
        <v>0</v>
      </c>
    </row>
    <row r="340" spans="1:5" x14ac:dyDescent="0.25">
      <c r="A340">
        <v>0</v>
      </c>
      <c r="B340">
        <v>0</v>
      </c>
      <c r="C340">
        <v>0</v>
      </c>
      <c r="D340">
        <v>0</v>
      </c>
      <c r="E340">
        <v>0</v>
      </c>
    </row>
    <row r="341" spans="1:5" x14ac:dyDescent="0.25">
      <c r="A341">
        <v>0</v>
      </c>
      <c r="B341">
        <v>0</v>
      </c>
      <c r="C341">
        <v>0</v>
      </c>
      <c r="D341">
        <v>0</v>
      </c>
      <c r="E341">
        <v>0</v>
      </c>
    </row>
    <row r="342" spans="1:5" x14ac:dyDescent="0.25">
      <c r="A342">
        <v>0</v>
      </c>
      <c r="B342">
        <v>0</v>
      </c>
      <c r="C342">
        <v>0</v>
      </c>
      <c r="D342">
        <v>0</v>
      </c>
      <c r="E342">
        <v>0</v>
      </c>
    </row>
    <row r="343" spans="1:5" x14ac:dyDescent="0.25">
      <c r="A343">
        <v>0</v>
      </c>
      <c r="B343">
        <v>0</v>
      </c>
      <c r="C343">
        <v>0</v>
      </c>
      <c r="D343">
        <v>0</v>
      </c>
      <c r="E343">
        <v>0</v>
      </c>
    </row>
    <row r="344" spans="1:5" x14ac:dyDescent="0.25">
      <c r="A344">
        <v>0</v>
      </c>
      <c r="B344">
        <v>0</v>
      </c>
      <c r="C344">
        <v>0</v>
      </c>
      <c r="D344">
        <v>0</v>
      </c>
      <c r="E344">
        <v>0</v>
      </c>
    </row>
    <row r="345" spans="1:5" x14ac:dyDescent="0.25">
      <c r="A345">
        <v>0</v>
      </c>
      <c r="B345">
        <v>0</v>
      </c>
      <c r="C345">
        <v>0</v>
      </c>
      <c r="D345">
        <v>0</v>
      </c>
      <c r="E345">
        <v>0</v>
      </c>
    </row>
    <row r="346" spans="1:5" x14ac:dyDescent="0.25">
      <c r="A346">
        <v>0</v>
      </c>
      <c r="B346">
        <v>0</v>
      </c>
      <c r="C346">
        <v>0</v>
      </c>
      <c r="D346">
        <v>0</v>
      </c>
      <c r="E346">
        <v>0</v>
      </c>
    </row>
    <row r="347" spans="1:5" x14ac:dyDescent="0.25">
      <c r="A347">
        <v>0</v>
      </c>
      <c r="B347">
        <v>0</v>
      </c>
      <c r="C347">
        <v>0</v>
      </c>
      <c r="D347">
        <v>0</v>
      </c>
      <c r="E347">
        <v>0</v>
      </c>
    </row>
    <row r="348" spans="1:5" x14ac:dyDescent="0.25">
      <c r="A348">
        <v>0</v>
      </c>
      <c r="B348">
        <v>0</v>
      </c>
      <c r="C348">
        <v>0</v>
      </c>
      <c r="D348">
        <v>0</v>
      </c>
      <c r="E348">
        <v>0</v>
      </c>
    </row>
    <row r="349" spans="1:5" x14ac:dyDescent="0.25">
      <c r="A349">
        <v>0</v>
      </c>
      <c r="B349">
        <v>0</v>
      </c>
      <c r="C349">
        <v>0</v>
      </c>
      <c r="D349">
        <v>0</v>
      </c>
      <c r="E349">
        <v>0</v>
      </c>
    </row>
    <row r="350" spans="1:5" x14ac:dyDescent="0.25">
      <c r="A350">
        <v>0</v>
      </c>
      <c r="B350">
        <v>0</v>
      </c>
      <c r="C350">
        <v>0</v>
      </c>
      <c r="D350">
        <v>0</v>
      </c>
      <c r="E350">
        <v>0</v>
      </c>
    </row>
    <row r="351" spans="1:5" x14ac:dyDescent="0.25">
      <c r="A351">
        <v>0</v>
      </c>
      <c r="B351">
        <v>0</v>
      </c>
      <c r="C351">
        <v>0</v>
      </c>
      <c r="D351">
        <v>0</v>
      </c>
      <c r="E351">
        <v>0</v>
      </c>
    </row>
    <row r="352" spans="1:5" x14ac:dyDescent="0.25">
      <c r="A352">
        <v>0</v>
      </c>
      <c r="B352">
        <v>0</v>
      </c>
      <c r="C352">
        <v>0</v>
      </c>
      <c r="D352">
        <v>0</v>
      </c>
      <c r="E352">
        <v>0</v>
      </c>
    </row>
    <row r="353" spans="1:5" x14ac:dyDescent="0.25">
      <c r="A353">
        <v>0</v>
      </c>
      <c r="B353">
        <v>0</v>
      </c>
      <c r="C353">
        <v>0</v>
      </c>
      <c r="D353">
        <v>0</v>
      </c>
      <c r="E353">
        <v>0</v>
      </c>
    </row>
    <row r="354" spans="1:5" x14ac:dyDescent="0.25">
      <c r="A354">
        <v>0</v>
      </c>
      <c r="B354">
        <v>0</v>
      </c>
      <c r="C354">
        <v>0</v>
      </c>
      <c r="D354">
        <v>0</v>
      </c>
      <c r="E354">
        <v>0</v>
      </c>
    </row>
    <row r="355" spans="1:5" x14ac:dyDescent="0.25">
      <c r="A355">
        <v>0</v>
      </c>
      <c r="B355">
        <v>0</v>
      </c>
      <c r="C355">
        <v>0</v>
      </c>
      <c r="D355">
        <v>0</v>
      </c>
      <c r="E355">
        <v>0</v>
      </c>
    </row>
    <row r="356" spans="1:5" x14ac:dyDescent="0.25">
      <c r="A356">
        <v>0</v>
      </c>
      <c r="B356">
        <v>0</v>
      </c>
      <c r="C356">
        <v>0</v>
      </c>
      <c r="D356">
        <v>0</v>
      </c>
      <c r="E356">
        <v>0</v>
      </c>
    </row>
    <row r="357" spans="1:5" x14ac:dyDescent="0.25">
      <c r="A357">
        <v>0</v>
      </c>
      <c r="B357">
        <v>0</v>
      </c>
      <c r="C357">
        <v>0</v>
      </c>
      <c r="D357">
        <v>0</v>
      </c>
      <c r="E357">
        <v>0</v>
      </c>
    </row>
    <row r="358" spans="1:5" x14ac:dyDescent="0.25">
      <c r="A358">
        <v>0</v>
      </c>
      <c r="B358">
        <v>0</v>
      </c>
      <c r="C358">
        <v>0</v>
      </c>
      <c r="D358">
        <v>0</v>
      </c>
      <c r="E358">
        <v>0</v>
      </c>
    </row>
    <row r="359" spans="1:5" x14ac:dyDescent="0.25">
      <c r="A359">
        <v>0</v>
      </c>
      <c r="B359">
        <v>0</v>
      </c>
      <c r="C359">
        <v>0</v>
      </c>
      <c r="D359">
        <v>0</v>
      </c>
      <c r="E359">
        <v>0</v>
      </c>
    </row>
    <row r="360" spans="1:5" x14ac:dyDescent="0.25">
      <c r="A360">
        <v>0</v>
      </c>
      <c r="B360">
        <v>0</v>
      </c>
      <c r="C360">
        <v>0</v>
      </c>
      <c r="D360">
        <v>0</v>
      </c>
      <c r="E360">
        <v>0</v>
      </c>
    </row>
    <row r="361" spans="1:5" x14ac:dyDescent="0.25">
      <c r="A361">
        <v>0</v>
      </c>
      <c r="B361">
        <v>0</v>
      </c>
      <c r="C361">
        <v>0</v>
      </c>
      <c r="D361">
        <v>0</v>
      </c>
      <c r="E361">
        <v>0</v>
      </c>
    </row>
    <row r="362" spans="1:5" x14ac:dyDescent="0.25">
      <c r="A362">
        <v>0</v>
      </c>
      <c r="B362">
        <v>0</v>
      </c>
      <c r="C362">
        <v>0</v>
      </c>
      <c r="D362">
        <v>0</v>
      </c>
      <c r="E362">
        <v>0</v>
      </c>
    </row>
    <row r="363" spans="1:5" x14ac:dyDescent="0.25">
      <c r="A363">
        <v>0</v>
      </c>
      <c r="B363">
        <v>0</v>
      </c>
      <c r="C363">
        <v>0</v>
      </c>
      <c r="D363">
        <v>0</v>
      </c>
      <c r="E363">
        <v>0</v>
      </c>
    </row>
    <row r="364" spans="1:5" x14ac:dyDescent="0.25">
      <c r="A364">
        <v>0</v>
      </c>
      <c r="B364">
        <v>0</v>
      </c>
      <c r="C364">
        <v>0</v>
      </c>
      <c r="D364">
        <v>0</v>
      </c>
      <c r="E364">
        <v>0</v>
      </c>
    </row>
    <row r="365" spans="1:5" x14ac:dyDescent="0.25">
      <c r="A365">
        <v>0</v>
      </c>
      <c r="B365">
        <v>0</v>
      </c>
      <c r="C365">
        <v>0</v>
      </c>
      <c r="D365">
        <v>0</v>
      </c>
      <c r="E365">
        <v>0</v>
      </c>
    </row>
    <row r="366" spans="1:5" x14ac:dyDescent="0.25">
      <c r="A366">
        <v>0</v>
      </c>
      <c r="B366">
        <v>0</v>
      </c>
      <c r="C366">
        <v>0</v>
      </c>
      <c r="D366">
        <v>0</v>
      </c>
      <c r="E366">
        <v>0</v>
      </c>
    </row>
    <row r="367" spans="1:5" x14ac:dyDescent="0.25">
      <c r="A367">
        <v>0</v>
      </c>
      <c r="B367">
        <v>0</v>
      </c>
      <c r="C367">
        <v>0</v>
      </c>
      <c r="D367">
        <v>0</v>
      </c>
      <c r="E367">
        <v>0</v>
      </c>
    </row>
    <row r="368" spans="1:5" x14ac:dyDescent="0.25">
      <c r="A368">
        <v>0</v>
      </c>
      <c r="B368">
        <v>0</v>
      </c>
      <c r="C368">
        <v>0</v>
      </c>
      <c r="D368">
        <v>0</v>
      </c>
      <c r="E368">
        <v>0</v>
      </c>
    </row>
    <row r="369" spans="1:5" x14ac:dyDescent="0.25">
      <c r="A369">
        <v>0</v>
      </c>
      <c r="B369">
        <v>0</v>
      </c>
      <c r="C369">
        <v>0</v>
      </c>
      <c r="D369">
        <v>0</v>
      </c>
      <c r="E369">
        <v>0</v>
      </c>
    </row>
    <row r="370" spans="1:5" x14ac:dyDescent="0.25">
      <c r="A370">
        <v>0</v>
      </c>
      <c r="B370">
        <v>0</v>
      </c>
      <c r="C370">
        <v>0</v>
      </c>
      <c r="D370">
        <v>0</v>
      </c>
      <c r="E370">
        <v>0</v>
      </c>
    </row>
    <row r="371" spans="1:5" x14ac:dyDescent="0.25">
      <c r="A371">
        <v>0</v>
      </c>
      <c r="B371">
        <v>0</v>
      </c>
      <c r="C371">
        <v>0</v>
      </c>
      <c r="D371">
        <v>0</v>
      </c>
      <c r="E371">
        <v>0</v>
      </c>
    </row>
    <row r="372" spans="1:5" x14ac:dyDescent="0.25">
      <c r="A372">
        <v>0</v>
      </c>
      <c r="B372">
        <v>0</v>
      </c>
      <c r="C372">
        <v>0</v>
      </c>
      <c r="D372">
        <v>0</v>
      </c>
      <c r="E372">
        <v>0</v>
      </c>
    </row>
    <row r="373" spans="1:5" x14ac:dyDescent="0.25">
      <c r="A373">
        <v>0</v>
      </c>
      <c r="B373">
        <v>0</v>
      </c>
      <c r="C373">
        <v>0</v>
      </c>
      <c r="D373">
        <v>0</v>
      </c>
      <c r="E373">
        <v>0</v>
      </c>
    </row>
    <row r="374" spans="1:5" x14ac:dyDescent="0.25">
      <c r="A374">
        <v>0</v>
      </c>
      <c r="B374">
        <v>0</v>
      </c>
      <c r="C374">
        <v>0</v>
      </c>
      <c r="D374">
        <v>0</v>
      </c>
      <c r="E374">
        <v>0</v>
      </c>
    </row>
    <row r="375" spans="1:5" x14ac:dyDescent="0.25">
      <c r="A375">
        <v>0</v>
      </c>
      <c r="B375">
        <v>0</v>
      </c>
      <c r="C375">
        <v>0</v>
      </c>
      <c r="D375">
        <v>0</v>
      </c>
      <c r="E375">
        <v>0</v>
      </c>
    </row>
    <row r="376" spans="1:5" x14ac:dyDescent="0.25">
      <c r="A376">
        <v>0</v>
      </c>
      <c r="B376">
        <v>0</v>
      </c>
      <c r="C376">
        <v>0</v>
      </c>
      <c r="D376">
        <v>0</v>
      </c>
      <c r="E376">
        <v>0</v>
      </c>
    </row>
    <row r="377" spans="1:5" x14ac:dyDescent="0.25">
      <c r="A377">
        <v>0</v>
      </c>
      <c r="B377">
        <v>0</v>
      </c>
      <c r="C377">
        <v>0</v>
      </c>
      <c r="D377">
        <v>0</v>
      </c>
      <c r="E377">
        <v>0</v>
      </c>
    </row>
    <row r="378" spans="1:5" x14ac:dyDescent="0.25">
      <c r="A378">
        <v>0</v>
      </c>
      <c r="B378">
        <v>0</v>
      </c>
      <c r="C378">
        <v>0</v>
      </c>
      <c r="D378">
        <v>0</v>
      </c>
      <c r="E378">
        <v>0</v>
      </c>
    </row>
    <row r="379" spans="1:5" x14ac:dyDescent="0.25">
      <c r="A379">
        <v>0</v>
      </c>
      <c r="B379">
        <v>0</v>
      </c>
      <c r="C379">
        <v>0</v>
      </c>
      <c r="D379">
        <v>0</v>
      </c>
      <c r="E379">
        <v>0</v>
      </c>
    </row>
    <row r="380" spans="1:5" x14ac:dyDescent="0.25">
      <c r="A380">
        <v>0</v>
      </c>
      <c r="B380">
        <v>0</v>
      </c>
      <c r="C380">
        <v>0</v>
      </c>
      <c r="D380">
        <v>0</v>
      </c>
      <c r="E380">
        <v>0</v>
      </c>
    </row>
    <row r="381" spans="1:5" x14ac:dyDescent="0.25">
      <c r="A381">
        <v>0</v>
      </c>
      <c r="B381">
        <v>0</v>
      </c>
      <c r="C381">
        <v>0</v>
      </c>
      <c r="D381">
        <v>0</v>
      </c>
      <c r="E381">
        <v>0</v>
      </c>
    </row>
    <row r="382" spans="1:5" x14ac:dyDescent="0.25">
      <c r="A382">
        <v>0</v>
      </c>
      <c r="B382">
        <v>0</v>
      </c>
      <c r="C382">
        <v>0</v>
      </c>
      <c r="D382">
        <v>0</v>
      </c>
      <c r="E382">
        <v>0</v>
      </c>
    </row>
    <row r="383" spans="1:5" x14ac:dyDescent="0.25">
      <c r="A383">
        <v>0</v>
      </c>
      <c r="B383">
        <v>0</v>
      </c>
      <c r="C383">
        <v>0</v>
      </c>
      <c r="D383">
        <v>0</v>
      </c>
      <c r="E383">
        <v>0</v>
      </c>
    </row>
    <row r="384" spans="1:5" x14ac:dyDescent="0.25">
      <c r="A384">
        <v>0</v>
      </c>
      <c r="B384">
        <v>0</v>
      </c>
      <c r="C384">
        <v>0</v>
      </c>
      <c r="D384">
        <v>0</v>
      </c>
      <c r="E384">
        <v>0</v>
      </c>
    </row>
    <row r="385" spans="1:5" x14ac:dyDescent="0.25">
      <c r="A385">
        <v>0</v>
      </c>
      <c r="B385">
        <v>0</v>
      </c>
      <c r="C385">
        <v>0</v>
      </c>
      <c r="D385">
        <v>0</v>
      </c>
      <c r="E385">
        <v>0</v>
      </c>
    </row>
    <row r="386" spans="1:5" x14ac:dyDescent="0.25">
      <c r="A386">
        <v>0</v>
      </c>
      <c r="B386">
        <v>0</v>
      </c>
      <c r="C386">
        <v>0</v>
      </c>
      <c r="D386">
        <v>0</v>
      </c>
      <c r="E386">
        <v>0</v>
      </c>
    </row>
    <row r="387" spans="1:5" x14ac:dyDescent="0.25">
      <c r="A387">
        <v>0</v>
      </c>
      <c r="B387">
        <v>0</v>
      </c>
      <c r="C387">
        <v>0</v>
      </c>
      <c r="D387">
        <v>0</v>
      </c>
      <c r="E387">
        <v>0</v>
      </c>
    </row>
    <row r="388" spans="1:5" x14ac:dyDescent="0.25">
      <c r="A388">
        <v>0</v>
      </c>
      <c r="B388">
        <v>0</v>
      </c>
      <c r="C388">
        <v>0</v>
      </c>
      <c r="D388">
        <v>0</v>
      </c>
      <c r="E388">
        <v>0</v>
      </c>
    </row>
    <row r="389" spans="1:5" x14ac:dyDescent="0.25">
      <c r="A389">
        <v>0</v>
      </c>
      <c r="B389">
        <v>0</v>
      </c>
      <c r="C389">
        <v>0</v>
      </c>
      <c r="D389">
        <v>0</v>
      </c>
      <c r="E389">
        <v>0</v>
      </c>
    </row>
    <row r="390" spans="1:5" x14ac:dyDescent="0.25">
      <c r="A390">
        <v>0</v>
      </c>
      <c r="B390">
        <v>0</v>
      </c>
      <c r="C390">
        <v>0</v>
      </c>
      <c r="D390">
        <v>0</v>
      </c>
      <c r="E390">
        <v>0</v>
      </c>
    </row>
    <row r="391" spans="1:5" x14ac:dyDescent="0.25">
      <c r="A391">
        <v>0</v>
      </c>
      <c r="B391">
        <v>0</v>
      </c>
      <c r="C391">
        <v>0</v>
      </c>
      <c r="D391">
        <v>0</v>
      </c>
      <c r="E391">
        <v>0</v>
      </c>
    </row>
    <row r="392" spans="1:5" x14ac:dyDescent="0.25">
      <c r="A392">
        <v>0</v>
      </c>
      <c r="B392">
        <v>0</v>
      </c>
      <c r="C392">
        <v>0</v>
      </c>
      <c r="D392">
        <v>0</v>
      </c>
      <c r="E392">
        <v>0</v>
      </c>
    </row>
    <row r="393" spans="1:5" x14ac:dyDescent="0.25">
      <c r="A393">
        <v>0</v>
      </c>
      <c r="B393">
        <v>0</v>
      </c>
      <c r="C393">
        <v>0</v>
      </c>
      <c r="D393">
        <v>0</v>
      </c>
      <c r="E393">
        <v>0</v>
      </c>
    </row>
    <row r="394" spans="1:5" x14ac:dyDescent="0.25">
      <c r="A394">
        <v>0</v>
      </c>
      <c r="B394">
        <v>0</v>
      </c>
      <c r="C394">
        <v>0</v>
      </c>
      <c r="D394">
        <v>0</v>
      </c>
      <c r="E394">
        <v>0</v>
      </c>
    </row>
    <row r="395" spans="1:5" x14ac:dyDescent="0.25">
      <c r="A395">
        <v>0</v>
      </c>
      <c r="B395">
        <v>0</v>
      </c>
      <c r="C395">
        <v>0</v>
      </c>
      <c r="D395">
        <v>0</v>
      </c>
      <c r="E395">
        <v>0</v>
      </c>
    </row>
    <row r="396" spans="1:5" x14ac:dyDescent="0.25">
      <c r="A396">
        <v>0</v>
      </c>
      <c r="B396">
        <v>0</v>
      </c>
      <c r="C396">
        <v>0</v>
      </c>
      <c r="D396">
        <v>0</v>
      </c>
      <c r="E396">
        <v>0</v>
      </c>
    </row>
    <row r="397" spans="1:5" x14ac:dyDescent="0.25">
      <c r="A397">
        <v>0</v>
      </c>
      <c r="B397">
        <v>0</v>
      </c>
      <c r="C397">
        <v>0</v>
      </c>
      <c r="D397">
        <v>0</v>
      </c>
      <c r="E397">
        <v>0</v>
      </c>
    </row>
    <row r="398" spans="1:5" x14ac:dyDescent="0.25">
      <c r="A398">
        <v>0</v>
      </c>
      <c r="B398">
        <v>0</v>
      </c>
      <c r="C398">
        <v>0</v>
      </c>
      <c r="D398">
        <v>0</v>
      </c>
      <c r="E398">
        <v>0</v>
      </c>
    </row>
    <row r="399" spans="1:5" x14ac:dyDescent="0.25">
      <c r="A399">
        <v>0</v>
      </c>
      <c r="B399">
        <v>0</v>
      </c>
      <c r="C399">
        <v>0</v>
      </c>
      <c r="D399">
        <v>0</v>
      </c>
      <c r="E399">
        <v>0</v>
      </c>
    </row>
    <row r="400" spans="1:5" x14ac:dyDescent="0.25">
      <c r="A400">
        <v>0</v>
      </c>
      <c r="B400">
        <v>0</v>
      </c>
      <c r="C400">
        <v>0</v>
      </c>
      <c r="D400">
        <v>0</v>
      </c>
      <c r="E400">
        <v>0</v>
      </c>
    </row>
    <row r="401" spans="1:5" x14ac:dyDescent="0.25">
      <c r="A401">
        <v>0</v>
      </c>
      <c r="B401">
        <v>0</v>
      </c>
      <c r="C401">
        <v>0</v>
      </c>
      <c r="D401">
        <v>0</v>
      </c>
      <c r="E401">
        <v>0</v>
      </c>
    </row>
    <row r="402" spans="1:5" x14ac:dyDescent="0.25">
      <c r="A402">
        <v>0</v>
      </c>
      <c r="B402">
        <v>0</v>
      </c>
      <c r="C402">
        <v>0</v>
      </c>
      <c r="D402">
        <v>0</v>
      </c>
      <c r="E402">
        <v>0</v>
      </c>
    </row>
    <row r="403" spans="1:5" x14ac:dyDescent="0.25">
      <c r="A403">
        <v>0</v>
      </c>
      <c r="B403">
        <v>0</v>
      </c>
      <c r="C403">
        <v>0</v>
      </c>
      <c r="D403">
        <v>0</v>
      </c>
      <c r="E403">
        <v>0</v>
      </c>
    </row>
    <row r="404" spans="1:5" x14ac:dyDescent="0.25">
      <c r="A404">
        <v>0</v>
      </c>
      <c r="B404">
        <v>0</v>
      </c>
      <c r="C404">
        <v>0</v>
      </c>
      <c r="D404">
        <v>0</v>
      </c>
      <c r="E404">
        <v>0</v>
      </c>
    </row>
    <row r="405" spans="1:5" x14ac:dyDescent="0.25">
      <c r="A405">
        <v>0</v>
      </c>
      <c r="B405">
        <v>0</v>
      </c>
      <c r="C405">
        <v>0</v>
      </c>
      <c r="D405">
        <v>0</v>
      </c>
      <c r="E405">
        <v>0</v>
      </c>
    </row>
    <row r="406" spans="1:5" x14ac:dyDescent="0.25">
      <c r="A406">
        <v>0</v>
      </c>
      <c r="B406">
        <v>0</v>
      </c>
      <c r="C406">
        <v>0</v>
      </c>
      <c r="D406">
        <v>0</v>
      </c>
      <c r="E406">
        <v>0</v>
      </c>
    </row>
    <row r="407" spans="1:5" x14ac:dyDescent="0.25">
      <c r="A407">
        <v>0</v>
      </c>
      <c r="B407">
        <v>0</v>
      </c>
      <c r="C407">
        <v>0</v>
      </c>
      <c r="D407">
        <v>0</v>
      </c>
      <c r="E407">
        <v>0</v>
      </c>
    </row>
    <row r="408" spans="1:5" x14ac:dyDescent="0.25">
      <c r="A408">
        <v>0</v>
      </c>
      <c r="B408">
        <v>0</v>
      </c>
      <c r="C408">
        <v>0</v>
      </c>
      <c r="D408">
        <v>0</v>
      </c>
      <c r="E408">
        <v>0</v>
      </c>
    </row>
    <row r="409" spans="1:5" x14ac:dyDescent="0.25">
      <c r="A409">
        <v>0</v>
      </c>
      <c r="B409">
        <v>0</v>
      </c>
      <c r="C409">
        <v>0</v>
      </c>
      <c r="D409">
        <v>0</v>
      </c>
      <c r="E409">
        <v>0</v>
      </c>
    </row>
    <row r="410" spans="1:5" x14ac:dyDescent="0.25">
      <c r="A410">
        <v>0</v>
      </c>
      <c r="B410">
        <v>0</v>
      </c>
      <c r="C410">
        <v>0</v>
      </c>
      <c r="D410">
        <v>0</v>
      </c>
      <c r="E410">
        <v>0</v>
      </c>
    </row>
    <row r="411" spans="1:5" x14ac:dyDescent="0.25">
      <c r="A411">
        <v>0</v>
      </c>
      <c r="B411">
        <v>0</v>
      </c>
      <c r="C411">
        <v>0</v>
      </c>
      <c r="D411">
        <v>0</v>
      </c>
      <c r="E411">
        <v>0</v>
      </c>
    </row>
    <row r="412" spans="1:5" x14ac:dyDescent="0.25">
      <c r="A412">
        <v>0</v>
      </c>
      <c r="B412">
        <v>0</v>
      </c>
      <c r="C412">
        <v>0</v>
      </c>
      <c r="D412">
        <v>0</v>
      </c>
      <c r="E412">
        <v>0</v>
      </c>
    </row>
    <row r="413" spans="1:5" x14ac:dyDescent="0.25">
      <c r="A413">
        <v>0</v>
      </c>
      <c r="B413">
        <v>0</v>
      </c>
      <c r="C413">
        <v>0</v>
      </c>
      <c r="D413">
        <v>0</v>
      </c>
      <c r="E413">
        <v>0</v>
      </c>
    </row>
    <row r="414" spans="1:5" x14ac:dyDescent="0.25">
      <c r="A414">
        <v>0</v>
      </c>
      <c r="B414">
        <v>0</v>
      </c>
      <c r="C414">
        <v>0</v>
      </c>
      <c r="D414">
        <v>0</v>
      </c>
      <c r="E414">
        <v>0</v>
      </c>
    </row>
    <row r="415" spans="1:5" x14ac:dyDescent="0.25">
      <c r="A415">
        <v>0</v>
      </c>
      <c r="B415">
        <v>0</v>
      </c>
      <c r="C415">
        <v>0</v>
      </c>
      <c r="D415">
        <v>0</v>
      </c>
      <c r="E415">
        <v>0</v>
      </c>
    </row>
    <row r="416" spans="1:5" x14ac:dyDescent="0.25">
      <c r="A416">
        <v>0</v>
      </c>
      <c r="B416">
        <v>0</v>
      </c>
      <c r="C416">
        <v>0</v>
      </c>
      <c r="D416">
        <v>0</v>
      </c>
      <c r="E416">
        <v>0</v>
      </c>
    </row>
    <row r="417" spans="1:5" x14ac:dyDescent="0.25">
      <c r="A417">
        <v>0</v>
      </c>
      <c r="B417">
        <v>0</v>
      </c>
      <c r="C417">
        <v>0</v>
      </c>
      <c r="D417">
        <v>0</v>
      </c>
      <c r="E417">
        <v>0</v>
      </c>
    </row>
    <row r="418" spans="1:5" x14ac:dyDescent="0.25">
      <c r="A418">
        <v>0</v>
      </c>
      <c r="B418">
        <v>0</v>
      </c>
      <c r="C418">
        <v>0</v>
      </c>
      <c r="D418">
        <v>0</v>
      </c>
      <c r="E418">
        <v>0</v>
      </c>
    </row>
    <row r="419" spans="1:5" x14ac:dyDescent="0.25">
      <c r="A419">
        <v>0</v>
      </c>
      <c r="B419">
        <v>0</v>
      </c>
      <c r="C419">
        <v>0</v>
      </c>
      <c r="D419">
        <v>0</v>
      </c>
      <c r="E419">
        <v>0</v>
      </c>
    </row>
    <row r="420" spans="1:5" x14ac:dyDescent="0.25">
      <c r="A420">
        <v>0</v>
      </c>
      <c r="B420">
        <v>0</v>
      </c>
      <c r="C420">
        <v>0</v>
      </c>
      <c r="D420">
        <v>0</v>
      </c>
      <c r="E420">
        <v>0</v>
      </c>
    </row>
    <row r="421" spans="1:5" x14ac:dyDescent="0.25">
      <c r="A421">
        <v>0</v>
      </c>
      <c r="B421">
        <v>0</v>
      </c>
      <c r="C421">
        <v>0</v>
      </c>
      <c r="D421">
        <v>0</v>
      </c>
      <c r="E421">
        <v>0</v>
      </c>
    </row>
    <row r="422" spans="1:5" x14ac:dyDescent="0.25">
      <c r="A422">
        <v>0</v>
      </c>
      <c r="B422">
        <v>0</v>
      </c>
      <c r="C422">
        <v>0</v>
      </c>
      <c r="D422">
        <v>0</v>
      </c>
      <c r="E422">
        <v>0</v>
      </c>
    </row>
    <row r="423" spans="1:5" x14ac:dyDescent="0.25">
      <c r="A423">
        <v>0</v>
      </c>
      <c r="B423">
        <v>0</v>
      </c>
      <c r="C423">
        <v>0</v>
      </c>
      <c r="D423">
        <v>0</v>
      </c>
      <c r="E423">
        <v>0</v>
      </c>
    </row>
    <row r="424" spans="1:5" x14ac:dyDescent="0.25">
      <c r="A424">
        <v>0</v>
      </c>
      <c r="B424">
        <v>0</v>
      </c>
      <c r="C424">
        <v>0</v>
      </c>
      <c r="D424">
        <v>0</v>
      </c>
      <c r="E424">
        <v>0</v>
      </c>
    </row>
    <row r="425" spans="1:5" x14ac:dyDescent="0.25">
      <c r="A425">
        <v>0</v>
      </c>
      <c r="B425">
        <v>0</v>
      </c>
      <c r="C425">
        <v>0</v>
      </c>
      <c r="D425">
        <v>0</v>
      </c>
      <c r="E425">
        <v>0</v>
      </c>
    </row>
    <row r="426" spans="1:5" x14ac:dyDescent="0.25">
      <c r="A426">
        <v>0</v>
      </c>
      <c r="B426">
        <v>0</v>
      </c>
      <c r="C426">
        <v>0</v>
      </c>
      <c r="D426">
        <v>0</v>
      </c>
      <c r="E426">
        <v>0</v>
      </c>
    </row>
    <row r="427" spans="1:5" x14ac:dyDescent="0.25">
      <c r="A427">
        <v>0</v>
      </c>
      <c r="B427">
        <v>0</v>
      </c>
      <c r="C427">
        <v>0</v>
      </c>
      <c r="D427">
        <v>0</v>
      </c>
      <c r="E427">
        <v>0</v>
      </c>
    </row>
    <row r="428" spans="1:5" x14ac:dyDescent="0.25">
      <c r="A428">
        <v>0</v>
      </c>
      <c r="B428">
        <v>0</v>
      </c>
      <c r="C428">
        <v>0</v>
      </c>
      <c r="D428">
        <v>0</v>
      </c>
      <c r="E428">
        <v>0</v>
      </c>
    </row>
    <row r="429" spans="1:5" x14ac:dyDescent="0.25">
      <c r="A429">
        <v>0</v>
      </c>
      <c r="B429">
        <v>0</v>
      </c>
      <c r="C429">
        <v>0</v>
      </c>
      <c r="D429">
        <v>0</v>
      </c>
      <c r="E429">
        <v>0</v>
      </c>
    </row>
    <row r="430" spans="1:5" x14ac:dyDescent="0.25">
      <c r="A430">
        <v>0</v>
      </c>
      <c r="B430">
        <v>0</v>
      </c>
      <c r="C430">
        <v>0</v>
      </c>
      <c r="D430">
        <v>0</v>
      </c>
      <c r="E430">
        <v>0</v>
      </c>
    </row>
    <row r="431" spans="1:5" x14ac:dyDescent="0.25">
      <c r="A431">
        <v>0</v>
      </c>
      <c r="B431">
        <v>0</v>
      </c>
      <c r="C431">
        <v>0</v>
      </c>
      <c r="D431">
        <v>0</v>
      </c>
      <c r="E431">
        <v>0</v>
      </c>
    </row>
    <row r="432" spans="1:5" x14ac:dyDescent="0.25">
      <c r="A432">
        <v>0</v>
      </c>
      <c r="B432">
        <v>0</v>
      </c>
      <c r="C432">
        <v>0</v>
      </c>
      <c r="D432">
        <v>0</v>
      </c>
      <c r="E432">
        <v>0</v>
      </c>
    </row>
    <row r="433" spans="1:5" x14ac:dyDescent="0.25">
      <c r="A433">
        <v>0</v>
      </c>
      <c r="B433">
        <v>0</v>
      </c>
      <c r="C433">
        <v>0</v>
      </c>
      <c r="D433">
        <v>0</v>
      </c>
      <c r="E433">
        <v>0</v>
      </c>
    </row>
    <row r="434" spans="1:5" x14ac:dyDescent="0.25">
      <c r="A434">
        <v>0</v>
      </c>
      <c r="B434">
        <v>0</v>
      </c>
      <c r="C434">
        <v>0</v>
      </c>
      <c r="D434">
        <v>0</v>
      </c>
      <c r="E434">
        <v>0</v>
      </c>
    </row>
    <row r="435" spans="1:5" x14ac:dyDescent="0.25">
      <c r="A435">
        <v>0</v>
      </c>
      <c r="B435">
        <v>0</v>
      </c>
      <c r="C435">
        <v>0</v>
      </c>
      <c r="D435">
        <v>0</v>
      </c>
      <c r="E435">
        <v>0</v>
      </c>
    </row>
    <row r="436" spans="1:5" x14ac:dyDescent="0.25">
      <c r="A436">
        <v>0</v>
      </c>
      <c r="B436">
        <v>0</v>
      </c>
      <c r="C436">
        <v>0</v>
      </c>
      <c r="D436">
        <v>0</v>
      </c>
      <c r="E436">
        <v>0</v>
      </c>
    </row>
    <row r="437" spans="1:5" x14ac:dyDescent="0.25">
      <c r="A437">
        <v>0</v>
      </c>
      <c r="B437">
        <v>0</v>
      </c>
      <c r="C437">
        <v>0</v>
      </c>
      <c r="D437">
        <v>0</v>
      </c>
      <c r="E437">
        <v>0</v>
      </c>
    </row>
    <row r="438" spans="1:5" x14ac:dyDescent="0.25">
      <c r="A438">
        <v>0</v>
      </c>
      <c r="B438">
        <v>0</v>
      </c>
      <c r="C438">
        <v>0</v>
      </c>
      <c r="D438">
        <v>0</v>
      </c>
      <c r="E438">
        <v>0</v>
      </c>
    </row>
    <row r="439" spans="1:5" x14ac:dyDescent="0.25">
      <c r="A439">
        <v>0</v>
      </c>
      <c r="B439">
        <v>0</v>
      </c>
      <c r="C439">
        <v>0</v>
      </c>
      <c r="D439">
        <v>0</v>
      </c>
      <c r="E439">
        <v>0</v>
      </c>
    </row>
    <row r="440" spans="1:5" x14ac:dyDescent="0.25">
      <c r="A440">
        <v>0</v>
      </c>
      <c r="B440">
        <v>0</v>
      </c>
      <c r="C440">
        <v>0</v>
      </c>
      <c r="D440">
        <v>0</v>
      </c>
      <c r="E440">
        <v>0</v>
      </c>
    </row>
    <row r="441" spans="1:5" x14ac:dyDescent="0.25">
      <c r="A441">
        <v>0</v>
      </c>
      <c r="B441">
        <v>0</v>
      </c>
      <c r="C441">
        <v>0</v>
      </c>
      <c r="D441">
        <v>0</v>
      </c>
      <c r="E441">
        <v>0</v>
      </c>
    </row>
    <row r="442" spans="1:5" x14ac:dyDescent="0.25">
      <c r="A442">
        <v>0</v>
      </c>
      <c r="B442">
        <v>0</v>
      </c>
      <c r="C442">
        <v>0</v>
      </c>
      <c r="D442">
        <v>0</v>
      </c>
      <c r="E442">
        <v>0</v>
      </c>
    </row>
    <row r="443" spans="1:5" x14ac:dyDescent="0.25">
      <c r="A443">
        <v>0</v>
      </c>
      <c r="B443">
        <v>0</v>
      </c>
      <c r="C443">
        <v>0</v>
      </c>
      <c r="D443">
        <v>0</v>
      </c>
      <c r="E443">
        <v>0</v>
      </c>
    </row>
    <row r="444" spans="1:5" x14ac:dyDescent="0.25">
      <c r="A444">
        <v>0</v>
      </c>
      <c r="B444">
        <v>0</v>
      </c>
      <c r="C444">
        <v>0</v>
      </c>
      <c r="D444">
        <v>0</v>
      </c>
      <c r="E444">
        <v>0</v>
      </c>
    </row>
    <row r="445" spans="1:5" x14ac:dyDescent="0.25">
      <c r="A445">
        <v>0</v>
      </c>
      <c r="B445">
        <v>0</v>
      </c>
      <c r="C445">
        <v>0</v>
      </c>
      <c r="D445">
        <v>0</v>
      </c>
      <c r="E445">
        <v>0</v>
      </c>
    </row>
    <row r="446" spans="1:5" x14ac:dyDescent="0.25">
      <c r="A446">
        <v>0</v>
      </c>
      <c r="B446">
        <v>0</v>
      </c>
      <c r="C446">
        <v>0</v>
      </c>
      <c r="D446">
        <v>0</v>
      </c>
      <c r="E446">
        <v>0</v>
      </c>
    </row>
    <row r="447" spans="1:5" x14ac:dyDescent="0.25">
      <c r="A447">
        <v>0</v>
      </c>
      <c r="B447">
        <v>0</v>
      </c>
      <c r="C447">
        <v>0</v>
      </c>
      <c r="D447">
        <v>0</v>
      </c>
      <c r="E447">
        <v>0</v>
      </c>
    </row>
    <row r="448" spans="1:5" x14ac:dyDescent="0.25">
      <c r="A448">
        <v>0</v>
      </c>
      <c r="B448">
        <v>0</v>
      </c>
      <c r="C448">
        <v>0</v>
      </c>
      <c r="D448">
        <v>0</v>
      </c>
      <c r="E448">
        <v>0</v>
      </c>
    </row>
    <row r="449" spans="1:5" x14ac:dyDescent="0.25">
      <c r="A449">
        <v>0</v>
      </c>
      <c r="B449">
        <v>0</v>
      </c>
      <c r="C449">
        <v>0</v>
      </c>
      <c r="D449">
        <v>0</v>
      </c>
      <c r="E449">
        <v>0</v>
      </c>
    </row>
    <row r="450" spans="1:5" x14ac:dyDescent="0.25">
      <c r="A450">
        <v>0</v>
      </c>
      <c r="B450">
        <v>0</v>
      </c>
      <c r="C450">
        <v>0</v>
      </c>
      <c r="D450">
        <v>0</v>
      </c>
      <c r="E450">
        <v>0</v>
      </c>
    </row>
    <row r="451" spans="1:5" x14ac:dyDescent="0.25">
      <c r="A451">
        <v>0</v>
      </c>
      <c r="B451">
        <v>0</v>
      </c>
      <c r="C451">
        <v>0</v>
      </c>
      <c r="D451">
        <v>0</v>
      </c>
      <c r="E451">
        <v>0</v>
      </c>
    </row>
    <row r="452" spans="1:5" x14ac:dyDescent="0.25">
      <c r="A452">
        <v>0</v>
      </c>
      <c r="B452">
        <v>0</v>
      </c>
      <c r="C452">
        <v>0</v>
      </c>
      <c r="D452">
        <v>0</v>
      </c>
      <c r="E452">
        <v>0</v>
      </c>
    </row>
    <row r="453" spans="1:5" x14ac:dyDescent="0.25">
      <c r="A453">
        <v>0</v>
      </c>
      <c r="B453">
        <v>0</v>
      </c>
      <c r="C453">
        <v>0</v>
      </c>
      <c r="D453">
        <v>0</v>
      </c>
      <c r="E453">
        <v>0</v>
      </c>
    </row>
    <row r="454" spans="1:5" x14ac:dyDescent="0.25">
      <c r="A454">
        <v>0</v>
      </c>
      <c r="B454">
        <v>0</v>
      </c>
      <c r="C454">
        <v>0</v>
      </c>
      <c r="D454">
        <v>0</v>
      </c>
      <c r="E454">
        <v>0</v>
      </c>
    </row>
    <row r="455" spans="1:5" x14ac:dyDescent="0.25">
      <c r="A455">
        <v>0</v>
      </c>
      <c r="B455">
        <v>0</v>
      </c>
      <c r="C455">
        <v>0</v>
      </c>
      <c r="D455">
        <v>0</v>
      </c>
      <c r="E455">
        <v>0</v>
      </c>
    </row>
    <row r="456" spans="1:5" x14ac:dyDescent="0.25">
      <c r="A456">
        <v>0</v>
      </c>
      <c r="B456">
        <v>0</v>
      </c>
      <c r="C456">
        <v>0</v>
      </c>
      <c r="D456">
        <v>0</v>
      </c>
      <c r="E456">
        <v>0</v>
      </c>
    </row>
    <row r="457" spans="1:5" x14ac:dyDescent="0.25">
      <c r="A457">
        <v>0</v>
      </c>
      <c r="B457">
        <v>0</v>
      </c>
      <c r="C457">
        <v>0</v>
      </c>
      <c r="D457">
        <v>0</v>
      </c>
      <c r="E457">
        <v>0</v>
      </c>
    </row>
    <row r="458" spans="1:5" x14ac:dyDescent="0.25">
      <c r="A458">
        <v>0</v>
      </c>
      <c r="B458">
        <v>0</v>
      </c>
      <c r="C458">
        <v>0</v>
      </c>
      <c r="D458">
        <v>0</v>
      </c>
      <c r="E458">
        <v>0</v>
      </c>
    </row>
    <row r="459" spans="1:5" x14ac:dyDescent="0.25">
      <c r="A459">
        <v>0</v>
      </c>
      <c r="B459">
        <v>0</v>
      </c>
      <c r="C459">
        <v>0</v>
      </c>
      <c r="D459">
        <v>0</v>
      </c>
      <c r="E459">
        <v>0</v>
      </c>
    </row>
    <row r="460" spans="1:5" x14ac:dyDescent="0.25">
      <c r="A460">
        <v>0</v>
      </c>
      <c r="B460">
        <v>0</v>
      </c>
      <c r="C460">
        <v>0</v>
      </c>
      <c r="D460">
        <v>0</v>
      </c>
      <c r="E460">
        <v>0</v>
      </c>
    </row>
    <row r="461" spans="1:5" x14ac:dyDescent="0.25">
      <c r="A461">
        <v>0</v>
      </c>
      <c r="B461">
        <v>0</v>
      </c>
      <c r="C461">
        <v>0</v>
      </c>
      <c r="D461">
        <v>0</v>
      </c>
      <c r="E461">
        <v>0</v>
      </c>
    </row>
    <row r="462" spans="1:5" x14ac:dyDescent="0.25">
      <c r="A462">
        <v>0</v>
      </c>
      <c r="B462">
        <v>0</v>
      </c>
      <c r="C462">
        <v>0</v>
      </c>
      <c r="D462">
        <v>0</v>
      </c>
      <c r="E462">
        <v>0</v>
      </c>
    </row>
    <row r="463" spans="1:5" x14ac:dyDescent="0.25">
      <c r="A463">
        <v>0</v>
      </c>
      <c r="B463">
        <v>0</v>
      </c>
      <c r="C463">
        <v>0</v>
      </c>
      <c r="D463">
        <v>0</v>
      </c>
      <c r="E463">
        <v>0</v>
      </c>
    </row>
    <row r="464" spans="1:5" x14ac:dyDescent="0.25">
      <c r="A464">
        <v>0</v>
      </c>
      <c r="B464">
        <v>0</v>
      </c>
      <c r="C464">
        <v>0</v>
      </c>
      <c r="D464">
        <v>0</v>
      </c>
      <c r="E464">
        <v>0</v>
      </c>
    </row>
    <row r="465" spans="1:5" x14ac:dyDescent="0.25">
      <c r="A465">
        <v>0</v>
      </c>
      <c r="B465">
        <v>0</v>
      </c>
      <c r="C465">
        <v>0</v>
      </c>
      <c r="D465">
        <v>0</v>
      </c>
      <c r="E465">
        <v>0</v>
      </c>
    </row>
    <row r="466" spans="1:5" x14ac:dyDescent="0.25">
      <c r="A466">
        <v>0</v>
      </c>
      <c r="B466">
        <v>0</v>
      </c>
      <c r="C466">
        <v>0</v>
      </c>
      <c r="D466">
        <v>0</v>
      </c>
      <c r="E466">
        <v>0</v>
      </c>
    </row>
    <row r="467" spans="1:5" x14ac:dyDescent="0.25">
      <c r="A467">
        <v>0</v>
      </c>
      <c r="B467">
        <v>0</v>
      </c>
      <c r="C467">
        <v>0</v>
      </c>
      <c r="D467">
        <v>0</v>
      </c>
      <c r="E467">
        <v>0</v>
      </c>
    </row>
    <row r="468" spans="1:5" x14ac:dyDescent="0.25">
      <c r="A468">
        <v>0</v>
      </c>
      <c r="B468">
        <v>0</v>
      </c>
      <c r="C468">
        <v>0</v>
      </c>
      <c r="D468">
        <v>0</v>
      </c>
      <c r="E468">
        <v>0</v>
      </c>
    </row>
    <row r="469" spans="1:5" x14ac:dyDescent="0.25">
      <c r="A469">
        <v>0</v>
      </c>
      <c r="B469">
        <v>0</v>
      </c>
      <c r="C469">
        <v>0</v>
      </c>
      <c r="D469">
        <v>0</v>
      </c>
      <c r="E469">
        <v>0</v>
      </c>
    </row>
    <row r="470" spans="1:5" x14ac:dyDescent="0.25">
      <c r="A470">
        <v>0</v>
      </c>
      <c r="B470">
        <v>0</v>
      </c>
      <c r="C470">
        <v>0</v>
      </c>
      <c r="D470">
        <v>0</v>
      </c>
      <c r="E470">
        <v>0</v>
      </c>
    </row>
    <row r="471" spans="1:5" x14ac:dyDescent="0.25">
      <c r="A471">
        <v>0</v>
      </c>
      <c r="B471">
        <v>0</v>
      </c>
      <c r="C471">
        <v>0</v>
      </c>
      <c r="D471">
        <v>0</v>
      </c>
      <c r="E471">
        <v>0</v>
      </c>
    </row>
    <row r="472" spans="1:5" x14ac:dyDescent="0.25">
      <c r="A472">
        <v>0</v>
      </c>
      <c r="B472">
        <v>0</v>
      </c>
      <c r="C472">
        <v>0</v>
      </c>
      <c r="D472">
        <v>0</v>
      </c>
      <c r="E472">
        <v>0</v>
      </c>
    </row>
    <row r="473" spans="1:5" x14ac:dyDescent="0.25">
      <c r="A473">
        <v>0</v>
      </c>
      <c r="B473">
        <v>0</v>
      </c>
      <c r="C473">
        <v>0</v>
      </c>
      <c r="D473">
        <v>0</v>
      </c>
      <c r="E473">
        <v>0</v>
      </c>
    </row>
    <row r="474" spans="1:5" x14ac:dyDescent="0.25">
      <c r="A474">
        <v>0</v>
      </c>
      <c r="B474">
        <v>0</v>
      </c>
      <c r="C474">
        <v>0</v>
      </c>
      <c r="D474">
        <v>0</v>
      </c>
      <c r="E474">
        <v>0</v>
      </c>
    </row>
    <row r="475" spans="1:5" x14ac:dyDescent="0.25">
      <c r="A475">
        <v>0</v>
      </c>
      <c r="B475">
        <v>0</v>
      </c>
      <c r="C475">
        <v>0</v>
      </c>
      <c r="D475">
        <v>0</v>
      </c>
      <c r="E475">
        <v>0</v>
      </c>
    </row>
    <row r="476" spans="1:5" x14ac:dyDescent="0.25">
      <c r="A476">
        <v>0</v>
      </c>
      <c r="B476">
        <v>0</v>
      </c>
      <c r="C476">
        <v>0</v>
      </c>
      <c r="D476">
        <v>0</v>
      </c>
      <c r="E476">
        <v>0</v>
      </c>
    </row>
    <row r="477" spans="1:5" x14ac:dyDescent="0.25">
      <c r="A477">
        <v>0</v>
      </c>
      <c r="B477">
        <v>0</v>
      </c>
      <c r="C477">
        <v>0</v>
      </c>
      <c r="D477">
        <v>0</v>
      </c>
      <c r="E477">
        <v>0</v>
      </c>
    </row>
    <row r="478" spans="1:5" x14ac:dyDescent="0.25">
      <c r="A478">
        <v>0</v>
      </c>
      <c r="B478">
        <v>0</v>
      </c>
      <c r="C478">
        <v>0</v>
      </c>
      <c r="D478">
        <v>0</v>
      </c>
      <c r="E478">
        <v>0</v>
      </c>
    </row>
    <row r="479" spans="1:5" x14ac:dyDescent="0.25">
      <c r="A479">
        <v>0</v>
      </c>
      <c r="B479">
        <v>0</v>
      </c>
      <c r="C479">
        <v>0</v>
      </c>
      <c r="D479">
        <v>0</v>
      </c>
      <c r="E479">
        <v>0</v>
      </c>
    </row>
    <row r="480" spans="1:5" x14ac:dyDescent="0.25">
      <c r="A480">
        <v>0</v>
      </c>
      <c r="B480">
        <v>0</v>
      </c>
      <c r="C480">
        <v>0</v>
      </c>
      <c r="D480">
        <v>0</v>
      </c>
      <c r="E480">
        <v>0</v>
      </c>
    </row>
    <row r="481" spans="1:5" x14ac:dyDescent="0.25">
      <c r="A481">
        <v>0</v>
      </c>
      <c r="B481">
        <v>0</v>
      </c>
      <c r="C481">
        <v>0</v>
      </c>
      <c r="D481">
        <v>0</v>
      </c>
      <c r="E481">
        <v>0</v>
      </c>
    </row>
    <row r="482" spans="1:5" x14ac:dyDescent="0.25">
      <c r="A482">
        <v>0</v>
      </c>
      <c r="B482">
        <v>0</v>
      </c>
      <c r="C482">
        <v>0</v>
      </c>
      <c r="D482">
        <v>0</v>
      </c>
      <c r="E482">
        <v>0</v>
      </c>
    </row>
    <row r="483" spans="1:5" x14ac:dyDescent="0.25">
      <c r="A483">
        <v>0</v>
      </c>
      <c r="B483">
        <v>0</v>
      </c>
      <c r="C483">
        <v>0</v>
      </c>
      <c r="D483">
        <v>0</v>
      </c>
      <c r="E483">
        <v>0</v>
      </c>
    </row>
    <row r="484" spans="1:5" x14ac:dyDescent="0.25">
      <c r="A484">
        <v>0</v>
      </c>
      <c r="B484">
        <v>0</v>
      </c>
      <c r="C484">
        <v>0</v>
      </c>
      <c r="D484">
        <v>0</v>
      </c>
      <c r="E484">
        <v>0</v>
      </c>
    </row>
    <row r="485" spans="1:5" x14ac:dyDescent="0.25">
      <c r="A485">
        <v>0</v>
      </c>
      <c r="B485">
        <v>0</v>
      </c>
      <c r="C485">
        <v>0</v>
      </c>
      <c r="D485">
        <v>0</v>
      </c>
      <c r="E485">
        <v>0</v>
      </c>
    </row>
    <row r="486" spans="1:5" x14ac:dyDescent="0.25">
      <c r="A486">
        <v>0</v>
      </c>
      <c r="B486">
        <v>0</v>
      </c>
      <c r="C486">
        <v>0</v>
      </c>
      <c r="D486">
        <v>0</v>
      </c>
      <c r="E486">
        <v>0</v>
      </c>
    </row>
    <row r="487" spans="1:5" x14ac:dyDescent="0.25">
      <c r="A487">
        <v>0</v>
      </c>
      <c r="B487">
        <v>0</v>
      </c>
      <c r="C487">
        <v>0</v>
      </c>
      <c r="D487">
        <v>0</v>
      </c>
      <c r="E487">
        <v>0</v>
      </c>
    </row>
    <row r="488" spans="1:5" x14ac:dyDescent="0.25">
      <c r="A488">
        <v>0</v>
      </c>
      <c r="B488">
        <v>0</v>
      </c>
      <c r="C488">
        <v>0</v>
      </c>
      <c r="D488">
        <v>0</v>
      </c>
      <c r="E488">
        <v>0</v>
      </c>
    </row>
    <row r="489" spans="1:5" x14ac:dyDescent="0.25">
      <c r="A489">
        <v>0</v>
      </c>
      <c r="B489">
        <v>0</v>
      </c>
      <c r="C489">
        <v>0</v>
      </c>
      <c r="D489">
        <v>0</v>
      </c>
      <c r="E489">
        <v>0</v>
      </c>
    </row>
    <row r="490" spans="1:5" x14ac:dyDescent="0.25">
      <c r="A490">
        <v>0</v>
      </c>
      <c r="B490">
        <v>0</v>
      </c>
      <c r="C490">
        <v>0</v>
      </c>
      <c r="D490">
        <v>0</v>
      </c>
      <c r="E490">
        <v>0</v>
      </c>
    </row>
    <row r="491" spans="1:5" x14ac:dyDescent="0.25">
      <c r="A491">
        <v>0</v>
      </c>
      <c r="B491">
        <v>0</v>
      </c>
      <c r="C491">
        <v>0</v>
      </c>
      <c r="D491">
        <v>0</v>
      </c>
      <c r="E491">
        <v>0</v>
      </c>
    </row>
    <row r="492" spans="1:5" x14ac:dyDescent="0.25">
      <c r="A492">
        <v>0</v>
      </c>
      <c r="B492">
        <v>0</v>
      </c>
      <c r="C492">
        <v>0</v>
      </c>
      <c r="D492">
        <v>0</v>
      </c>
      <c r="E492">
        <v>0</v>
      </c>
    </row>
    <row r="493" spans="1:5" x14ac:dyDescent="0.25">
      <c r="A493">
        <v>0</v>
      </c>
      <c r="B493">
        <v>0</v>
      </c>
      <c r="C493">
        <v>0</v>
      </c>
      <c r="D493">
        <v>0</v>
      </c>
      <c r="E493">
        <v>0</v>
      </c>
    </row>
    <row r="494" spans="1:5" x14ac:dyDescent="0.25">
      <c r="A494">
        <v>0</v>
      </c>
      <c r="B494">
        <v>0</v>
      </c>
      <c r="C494">
        <v>0</v>
      </c>
      <c r="D494">
        <v>0</v>
      </c>
      <c r="E494">
        <v>0</v>
      </c>
    </row>
    <row r="495" spans="1:5" x14ac:dyDescent="0.25">
      <c r="A495">
        <v>0</v>
      </c>
      <c r="B495">
        <v>0</v>
      </c>
      <c r="C495">
        <v>0</v>
      </c>
      <c r="D495">
        <v>0</v>
      </c>
      <c r="E495">
        <v>0</v>
      </c>
    </row>
    <row r="496" spans="1:5" x14ac:dyDescent="0.25">
      <c r="A496">
        <v>0</v>
      </c>
      <c r="B496">
        <v>0</v>
      </c>
      <c r="C496">
        <v>0</v>
      </c>
      <c r="D496">
        <v>0</v>
      </c>
      <c r="E496">
        <v>0</v>
      </c>
    </row>
    <row r="497" spans="1:5" x14ac:dyDescent="0.25">
      <c r="A497">
        <v>0</v>
      </c>
      <c r="B497">
        <v>0</v>
      </c>
      <c r="C497">
        <v>0</v>
      </c>
      <c r="D497">
        <v>0</v>
      </c>
      <c r="E497">
        <v>0</v>
      </c>
    </row>
    <row r="498" spans="1:5" x14ac:dyDescent="0.25">
      <c r="A498">
        <v>0</v>
      </c>
      <c r="B498">
        <v>0</v>
      </c>
      <c r="C498">
        <v>0</v>
      </c>
      <c r="D498">
        <v>0</v>
      </c>
      <c r="E498">
        <v>0</v>
      </c>
    </row>
    <row r="499" spans="1:5" x14ac:dyDescent="0.25">
      <c r="A499">
        <v>0</v>
      </c>
      <c r="B499">
        <v>0</v>
      </c>
      <c r="C499">
        <v>0</v>
      </c>
      <c r="D499">
        <v>0</v>
      </c>
      <c r="E499">
        <v>0</v>
      </c>
    </row>
    <row r="500" spans="1:5" x14ac:dyDescent="0.25">
      <c r="A500">
        <v>0</v>
      </c>
      <c r="B500">
        <v>0</v>
      </c>
      <c r="C500">
        <v>0</v>
      </c>
      <c r="D500">
        <v>0</v>
      </c>
      <c r="E5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96"/>
  <sheetViews>
    <sheetView workbookViewId="0">
      <selection activeCell="A96" sqref="A96"/>
    </sheetView>
  </sheetViews>
  <sheetFormatPr defaultColWidth="9.140625" defaultRowHeight="15" x14ac:dyDescent="0.25"/>
  <cols>
    <col min="1" max="2" width="46.7109375" style="37" bestFit="1" customWidth="1"/>
    <col min="3" max="3" width="7" style="37" bestFit="1" customWidth="1"/>
    <col min="4" max="4" width="12.42578125" style="37" bestFit="1" customWidth="1"/>
    <col min="5" max="5" width="7" style="37" bestFit="1" customWidth="1"/>
    <col min="6" max="11" width="9.140625" style="37" customWidth="1"/>
    <col min="12" max="16384" width="9.140625" style="37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6</v>
      </c>
      <c r="C2">
        <v>0</v>
      </c>
      <c r="D2">
        <v>0</v>
      </c>
      <c r="E2">
        <v>0</v>
      </c>
    </row>
    <row r="3" spans="1:5" x14ac:dyDescent="0.25">
      <c r="A3" t="s">
        <v>8</v>
      </c>
      <c r="B3" t="s">
        <v>8</v>
      </c>
      <c r="C3">
        <v>0</v>
      </c>
      <c r="D3">
        <v>0</v>
      </c>
      <c r="E3">
        <v>0</v>
      </c>
    </row>
    <row r="4" spans="1:5" x14ac:dyDescent="0.25">
      <c r="A4" t="s">
        <v>10</v>
      </c>
      <c r="B4" t="s">
        <v>10</v>
      </c>
      <c r="C4" t="s">
        <v>11</v>
      </c>
      <c r="D4">
        <v>0</v>
      </c>
      <c r="E4">
        <v>0</v>
      </c>
    </row>
    <row r="5" spans="1:5" x14ac:dyDescent="0.25">
      <c r="A5" t="s">
        <v>13</v>
      </c>
      <c r="B5" t="s">
        <v>14</v>
      </c>
      <c r="C5" t="s">
        <v>15</v>
      </c>
      <c r="D5">
        <v>0</v>
      </c>
      <c r="E5">
        <v>0</v>
      </c>
    </row>
    <row r="6" spans="1:5" x14ac:dyDescent="0.25">
      <c r="A6" t="s">
        <v>17</v>
      </c>
      <c r="B6" t="s">
        <v>14</v>
      </c>
      <c r="C6" t="s">
        <v>15</v>
      </c>
      <c r="D6">
        <v>0</v>
      </c>
      <c r="E6">
        <v>0</v>
      </c>
    </row>
    <row r="7" spans="1:5" x14ac:dyDescent="0.25">
      <c r="A7" t="s">
        <v>19</v>
      </c>
      <c r="B7" t="s">
        <v>14</v>
      </c>
      <c r="C7" t="s">
        <v>15</v>
      </c>
      <c r="D7">
        <v>0</v>
      </c>
      <c r="E7">
        <v>0</v>
      </c>
    </row>
    <row r="8" spans="1:5" x14ac:dyDescent="0.25">
      <c r="A8" t="s">
        <v>7</v>
      </c>
      <c r="B8" t="s">
        <v>7</v>
      </c>
      <c r="C8" t="s">
        <v>21</v>
      </c>
      <c r="D8">
        <v>0</v>
      </c>
      <c r="E8">
        <v>0</v>
      </c>
    </row>
    <row r="9" spans="1:5" x14ac:dyDescent="0.25">
      <c r="A9" t="s">
        <v>23</v>
      </c>
      <c r="B9" t="s">
        <v>24</v>
      </c>
      <c r="C9">
        <v>0</v>
      </c>
      <c r="D9">
        <v>0</v>
      </c>
      <c r="E9">
        <v>0</v>
      </c>
    </row>
    <row r="10" spans="1:5" x14ac:dyDescent="0.25">
      <c r="A10" t="s">
        <v>26</v>
      </c>
      <c r="B10" t="s">
        <v>24</v>
      </c>
      <c r="C10">
        <v>0</v>
      </c>
      <c r="D10">
        <v>0</v>
      </c>
      <c r="E10">
        <v>0</v>
      </c>
    </row>
    <row r="11" spans="1:5" x14ac:dyDescent="0.25">
      <c r="A11" t="s">
        <v>28</v>
      </c>
      <c r="B11" t="s">
        <v>24</v>
      </c>
      <c r="C11">
        <v>0</v>
      </c>
      <c r="D11">
        <v>0</v>
      </c>
      <c r="E11">
        <v>0</v>
      </c>
    </row>
    <row r="12" spans="1:5" x14ac:dyDescent="0.25">
      <c r="A12" t="s">
        <v>30</v>
      </c>
      <c r="B12" t="s">
        <v>31</v>
      </c>
      <c r="C12" t="s">
        <v>142</v>
      </c>
      <c r="D12">
        <v>0</v>
      </c>
      <c r="E12">
        <v>0</v>
      </c>
    </row>
    <row r="13" spans="1:5" x14ac:dyDescent="0.25">
      <c r="A13" t="s">
        <v>33</v>
      </c>
      <c r="B13" t="s">
        <v>31</v>
      </c>
      <c r="C13" t="s">
        <v>142</v>
      </c>
      <c r="D13">
        <v>0</v>
      </c>
      <c r="E13">
        <v>0</v>
      </c>
    </row>
    <row r="14" spans="1:5" x14ac:dyDescent="0.25">
      <c r="A14" t="s">
        <v>9</v>
      </c>
      <c r="B14" t="s">
        <v>12</v>
      </c>
      <c r="C14" t="s">
        <v>35</v>
      </c>
      <c r="D14">
        <v>0</v>
      </c>
      <c r="E14">
        <v>0</v>
      </c>
    </row>
    <row r="15" spans="1:5" x14ac:dyDescent="0.25">
      <c r="A15" t="s">
        <v>12</v>
      </c>
      <c r="B15" t="s">
        <v>12</v>
      </c>
      <c r="C15" t="s">
        <v>35</v>
      </c>
      <c r="D15">
        <v>0</v>
      </c>
      <c r="E15">
        <v>0</v>
      </c>
    </row>
    <row r="16" spans="1:5" x14ac:dyDescent="0.25">
      <c r="A16" t="s">
        <v>38</v>
      </c>
      <c r="B16" t="s">
        <v>38</v>
      </c>
      <c r="C16">
        <v>0</v>
      </c>
      <c r="D16">
        <v>0</v>
      </c>
      <c r="E16">
        <v>0</v>
      </c>
    </row>
    <row r="17" spans="1:5" x14ac:dyDescent="0.25">
      <c r="A17" t="s">
        <v>40</v>
      </c>
      <c r="B17" t="s">
        <v>40</v>
      </c>
      <c r="C17">
        <v>0</v>
      </c>
      <c r="D17">
        <v>0</v>
      </c>
      <c r="E17">
        <v>0</v>
      </c>
    </row>
    <row r="18" spans="1:5" x14ac:dyDescent="0.25">
      <c r="A18" t="s">
        <v>16</v>
      </c>
      <c r="B18" t="s">
        <v>16</v>
      </c>
      <c r="C18" t="s">
        <v>42</v>
      </c>
      <c r="D18">
        <v>0</v>
      </c>
      <c r="E18">
        <v>0</v>
      </c>
    </row>
    <row r="19" spans="1:5" x14ac:dyDescent="0.25">
      <c r="A19" t="s">
        <v>44</v>
      </c>
      <c r="B19" t="s">
        <v>40</v>
      </c>
      <c r="C19">
        <v>0</v>
      </c>
      <c r="D19">
        <v>0</v>
      </c>
      <c r="E19">
        <v>0</v>
      </c>
    </row>
    <row r="20" spans="1:5" x14ac:dyDescent="0.25">
      <c r="A20" t="s">
        <v>46</v>
      </c>
      <c r="B20" t="s">
        <v>40</v>
      </c>
      <c r="C20">
        <v>0</v>
      </c>
      <c r="D20">
        <v>0</v>
      </c>
      <c r="E20">
        <v>0</v>
      </c>
    </row>
    <row r="21" spans="1:5" x14ac:dyDescent="0.25">
      <c r="A21" t="s">
        <v>48</v>
      </c>
      <c r="B21" t="s">
        <v>40</v>
      </c>
      <c r="C21">
        <v>0</v>
      </c>
      <c r="D21">
        <v>0</v>
      </c>
      <c r="E21">
        <v>0</v>
      </c>
    </row>
    <row r="22" spans="1:5" x14ac:dyDescent="0.25">
      <c r="A22" t="s">
        <v>49</v>
      </c>
      <c r="B22" t="s">
        <v>50</v>
      </c>
      <c r="C22" t="s">
        <v>133</v>
      </c>
      <c r="D22">
        <v>0</v>
      </c>
      <c r="E22">
        <v>0</v>
      </c>
    </row>
    <row r="23" spans="1:5" x14ac:dyDescent="0.25">
      <c r="A23" t="s">
        <v>51</v>
      </c>
      <c r="B23" t="s">
        <v>52</v>
      </c>
      <c r="C23">
        <v>0</v>
      </c>
      <c r="D23">
        <v>0</v>
      </c>
      <c r="E23">
        <v>0</v>
      </c>
    </row>
    <row r="24" spans="1:5" x14ac:dyDescent="0.25">
      <c r="A24" t="s">
        <v>53</v>
      </c>
      <c r="B24" t="s">
        <v>54</v>
      </c>
      <c r="C24">
        <v>0</v>
      </c>
      <c r="D24">
        <v>0</v>
      </c>
      <c r="E24">
        <v>0</v>
      </c>
    </row>
    <row r="25" spans="1:5" x14ac:dyDescent="0.25">
      <c r="A25" t="s">
        <v>55</v>
      </c>
      <c r="B25" t="s">
        <v>56</v>
      </c>
      <c r="C25">
        <v>0</v>
      </c>
      <c r="D25">
        <v>0</v>
      </c>
      <c r="E25">
        <v>0</v>
      </c>
    </row>
    <row r="26" spans="1:5" x14ac:dyDescent="0.25">
      <c r="A26" t="s">
        <v>57</v>
      </c>
      <c r="B26" t="s">
        <v>58</v>
      </c>
      <c r="C26" t="s">
        <v>59</v>
      </c>
      <c r="D26">
        <v>0</v>
      </c>
      <c r="E26">
        <v>0</v>
      </c>
    </row>
    <row r="27" spans="1:5" x14ac:dyDescent="0.25">
      <c r="A27" t="s">
        <v>60</v>
      </c>
      <c r="B27" t="s">
        <v>58</v>
      </c>
      <c r="C27" t="s">
        <v>59</v>
      </c>
      <c r="D27">
        <v>0</v>
      </c>
      <c r="E27">
        <v>0</v>
      </c>
    </row>
    <row r="28" spans="1:5" x14ac:dyDescent="0.25">
      <c r="A28" t="s">
        <v>61</v>
      </c>
      <c r="B28" t="s">
        <v>58</v>
      </c>
      <c r="C28" t="s">
        <v>59</v>
      </c>
      <c r="D28">
        <v>0</v>
      </c>
      <c r="E28">
        <v>0</v>
      </c>
    </row>
    <row r="29" spans="1:5" x14ac:dyDescent="0.25">
      <c r="A29" t="s">
        <v>62</v>
      </c>
      <c r="B29" t="s">
        <v>62</v>
      </c>
      <c r="C29">
        <v>0</v>
      </c>
      <c r="D29">
        <v>0</v>
      </c>
      <c r="E29">
        <v>0</v>
      </c>
    </row>
    <row r="30" spans="1:5" x14ac:dyDescent="0.25">
      <c r="A30" t="s">
        <v>63</v>
      </c>
      <c r="B30" t="s">
        <v>63</v>
      </c>
      <c r="C30">
        <v>0</v>
      </c>
      <c r="D30">
        <v>0</v>
      </c>
      <c r="E30">
        <v>0</v>
      </c>
    </row>
    <row r="31" spans="1:5" x14ac:dyDescent="0.25">
      <c r="A31" t="s">
        <v>18</v>
      </c>
      <c r="B31" t="s">
        <v>18</v>
      </c>
      <c r="C31" t="s">
        <v>64</v>
      </c>
      <c r="D31">
        <v>0</v>
      </c>
      <c r="E31">
        <v>0</v>
      </c>
    </row>
    <row r="32" spans="1:5" x14ac:dyDescent="0.25">
      <c r="A32" t="s">
        <v>20</v>
      </c>
      <c r="B32" t="s">
        <v>18</v>
      </c>
      <c r="C32" t="s">
        <v>64</v>
      </c>
      <c r="D32">
        <v>0</v>
      </c>
      <c r="E32">
        <v>0</v>
      </c>
    </row>
    <row r="33" spans="1:5" x14ac:dyDescent="0.25">
      <c r="A33" t="s">
        <v>22</v>
      </c>
      <c r="B33" t="s">
        <v>22</v>
      </c>
      <c r="C33" t="s">
        <v>65</v>
      </c>
      <c r="D33">
        <v>0</v>
      </c>
      <c r="E33">
        <v>0</v>
      </c>
    </row>
    <row r="34" spans="1:5" x14ac:dyDescent="0.25">
      <c r="A34" t="s">
        <v>25</v>
      </c>
      <c r="B34" t="s">
        <v>22</v>
      </c>
      <c r="C34" t="s">
        <v>65</v>
      </c>
      <c r="D34">
        <v>0</v>
      </c>
      <c r="E34">
        <v>0</v>
      </c>
    </row>
    <row r="35" spans="1:5" x14ac:dyDescent="0.25">
      <c r="A35" t="s">
        <v>27</v>
      </c>
      <c r="B35" t="s">
        <v>27</v>
      </c>
      <c r="C35" t="s">
        <v>66</v>
      </c>
      <c r="D35">
        <v>0</v>
      </c>
      <c r="E35">
        <v>0</v>
      </c>
    </row>
    <row r="36" spans="1:5" x14ac:dyDescent="0.25">
      <c r="A36" t="s">
        <v>29</v>
      </c>
      <c r="B36" t="s">
        <v>29</v>
      </c>
      <c r="C36" t="s">
        <v>67</v>
      </c>
      <c r="D36">
        <v>0</v>
      </c>
      <c r="E36">
        <v>0</v>
      </c>
    </row>
    <row r="37" spans="1:5" x14ac:dyDescent="0.25">
      <c r="A37" t="s">
        <v>68</v>
      </c>
      <c r="B37" t="s">
        <v>69</v>
      </c>
      <c r="C37">
        <v>0</v>
      </c>
      <c r="D37">
        <v>0</v>
      </c>
      <c r="E37">
        <v>0</v>
      </c>
    </row>
    <row r="38" spans="1:5" x14ac:dyDescent="0.25">
      <c r="A38" t="s">
        <v>70</v>
      </c>
      <c r="B38" t="s">
        <v>70</v>
      </c>
      <c r="C38">
        <v>0</v>
      </c>
      <c r="D38">
        <v>0</v>
      </c>
      <c r="E38">
        <v>0</v>
      </c>
    </row>
    <row r="39" spans="1:5" x14ac:dyDescent="0.25">
      <c r="A39" t="s">
        <v>71</v>
      </c>
      <c r="B39" t="s">
        <v>71</v>
      </c>
      <c r="C39">
        <v>0</v>
      </c>
      <c r="D39">
        <v>0</v>
      </c>
      <c r="E39">
        <v>0</v>
      </c>
    </row>
    <row r="40" spans="1:5" x14ac:dyDescent="0.25">
      <c r="A40" t="s">
        <v>69</v>
      </c>
      <c r="B40" t="s">
        <v>69</v>
      </c>
      <c r="C40" t="s">
        <v>72</v>
      </c>
      <c r="D40" t="s">
        <v>73</v>
      </c>
      <c r="E40" t="s">
        <v>74</v>
      </c>
    </row>
    <row r="41" spans="1:5" x14ac:dyDescent="0.25">
      <c r="A41" t="s">
        <v>56</v>
      </c>
      <c r="B41" t="s">
        <v>56</v>
      </c>
      <c r="C41">
        <v>0</v>
      </c>
      <c r="D41">
        <v>0</v>
      </c>
      <c r="E41">
        <v>0</v>
      </c>
    </row>
    <row r="42" spans="1:5" x14ac:dyDescent="0.25">
      <c r="A42" t="s">
        <v>32</v>
      </c>
      <c r="B42" t="s">
        <v>32</v>
      </c>
      <c r="C42" t="s">
        <v>75</v>
      </c>
      <c r="D42">
        <v>0</v>
      </c>
      <c r="E42">
        <v>0</v>
      </c>
    </row>
    <row r="43" spans="1:5" x14ac:dyDescent="0.25">
      <c r="A43" t="s">
        <v>34</v>
      </c>
      <c r="B43" t="s">
        <v>34</v>
      </c>
      <c r="C43" t="s">
        <v>76</v>
      </c>
      <c r="D43">
        <v>0</v>
      </c>
      <c r="E43">
        <v>0</v>
      </c>
    </row>
    <row r="44" spans="1:5" x14ac:dyDescent="0.25">
      <c r="A44" t="s">
        <v>36</v>
      </c>
      <c r="B44" t="s">
        <v>36</v>
      </c>
      <c r="C44" t="s">
        <v>77</v>
      </c>
      <c r="D44">
        <v>0</v>
      </c>
      <c r="E44">
        <v>0</v>
      </c>
    </row>
    <row r="45" spans="1:5" x14ac:dyDescent="0.25">
      <c r="A45" t="s">
        <v>37</v>
      </c>
      <c r="B45" t="s">
        <v>37</v>
      </c>
      <c r="C45">
        <v>0</v>
      </c>
      <c r="D45">
        <v>0</v>
      </c>
      <c r="E45">
        <v>0</v>
      </c>
    </row>
    <row r="46" spans="1:5" x14ac:dyDescent="0.25">
      <c r="A46" t="s">
        <v>78</v>
      </c>
      <c r="B46" t="s">
        <v>78</v>
      </c>
      <c r="C46">
        <v>0</v>
      </c>
      <c r="D46">
        <v>0</v>
      </c>
      <c r="E46">
        <v>0</v>
      </c>
    </row>
    <row r="47" spans="1:5" x14ac:dyDescent="0.25">
      <c r="A47" t="s">
        <v>79</v>
      </c>
      <c r="B47" t="s">
        <v>79</v>
      </c>
      <c r="C47">
        <v>0</v>
      </c>
      <c r="D47">
        <v>0</v>
      </c>
      <c r="E47">
        <v>0</v>
      </c>
    </row>
    <row r="48" spans="1:5" x14ac:dyDescent="0.25">
      <c r="A48" t="s">
        <v>80</v>
      </c>
      <c r="B48" t="s">
        <v>80</v>
      </c>
      <c r="C48">
        <v>0</v>
      </c>
      <c r="D48">
        <v>0</v>
      </c>
      <c r="E48">
        <v>0</v>
      </c>
    </row>
    <row r="49" spans="1:5" x14ac:dyDescent="0.25">
      <c r="A49" t="s">
        <v>81</v>
      </c>
      <c r="B49" t="s">
        <v>54</v>
      </c>
      <c r="C49">
        <v>0</v>
      </c>
      <c r="D49">
        <v>0</v>
      </c>
      <c r="E49">
        <v>0</v>
      </c>
    </row>
    <row r="50" spans="1:5" x14ac:dyDescent="0.25">
      <c r="A50" t="s">
        <v>54</v>
      </c>
      <c r="B50" t="s">
        <v>54</v>
      </c>
      <c r="C50">
        <v>0</v>
      </c>
      <c r="D50">
        <v>0</v>
      </c>
      <c r="E50">
        <v>0</v>
      </c>
    </row>
    <row r="51" spans="1:5" x14ac:dyDescent="0.25">
      <c r="A51" t="s">
        <v>82</v>
      </c>
      <c r="B51" t="s">
        <v>82</v>
      </c>
      <c r="C51">
        <v>0</v>
      </c>
      <c r="D51">
        <v>0</v>
      </c>
      <c r="E51">
        <v>0</v>
      </c>
    </row>
    <row r="52" spans="1:5" x14ac:dyDescent="0.25">
      <c r="A52" t="s">
        <v>83</v>
      </c>
      <c r="B52" t="s">
        <v>84</v>
      </c>
      <c r="C52">
        <v>0</v>
      </c>
      <c r="D52">
        <v>0</v>
      </c>
      <c r="E52">
        <v>0</v>
      </c>
    </row>
    <row r="53" spans="1:5" x14ac:dyDescent="0.25">
      <c r="A53" t="s">
        <v>84</v>
      </c>
      <c r="B53" t="s">
        <v>84</v>
      </c>
      <c r="C53">
        <v>0</v>
      </c>
      <c r="D53">
        <v>0</v>
      </c>
      <c r="E53">
        <v>0</v>
      </c>
    </row>
    <row r="54" spans="1:5" x14ac:dyDescent="0.25">
      <c r="A54" t="s">
        <v>85</v>
      </c>
      <c r="B54" t="s">
        <v>58</v>
      </c>
      <c r="C54" t="s">
        <v>59</v>
      </c>
      <c r="D54">
        <v>0</v>
      </c>
      <c r="E54">
        <v>0</v>
      </c>
    </row>
    <row r="55" spans="1:5" x14ac:dyDescent="0.25">
      <c r="A55" t="s">
        <v>86</v>
      </c>
      <c r="B55" t="s">
        <v>58</v>
      </c>
      <c r="C55" t="s">
        <v>59</v>
      </c>
      <c r="D55">
        <v>0</v>
      </c>
      <c r="E55">
        <v>0</v>
      </c>
    </row>
    <row r="56" spans="1:5" x14ac:dyDescent="0.25">
      <c r="A56" t="s">
        <v>87</v>
      </c>
      <c r="B56" t="s">
        <v>58</v>
      </c>
      <c r="C56" t="s">
        <v>59</v>
      </c>
      <c r="D56">
        <v>0</v>
      </c>
      <c r="E56">
        <v>0</v>
      </c>
    </row>
    <row r="57" spans="1:5" x14ac:dyDescent="0.25">
      <c r="A57" t="s">
        <v>88</v>
      </c>
      <c r="B57" t="s">
        <v>88</v>
      </c>
      <c r="C57">
        <v>0</v>
      </c>
      <c r="D57">
        <v>0</v>
      </c>
      <c r="E57">
        <v>0</v>
      </c>
    </row>
    <row r="58" spans="1:5" x14ac:dyDescent="0.25">
      <c r="A58" t="s">
        <v>89</v>
      </c>
      <c r="B58" t="s">
        <v>89</v>
      </c>
      <c r="C58">
        <v>0</v>
      </c>
      <c r="D58">
        <v>0</v>
      </c>
      <c r="E58">
        <v>0</v>
      </c>
    </row>
    <row r="59" spans="1:5" x14ac:dyDescent="0.25">
      <c r="A59" t="s">
        <v>90</v>
      </c>
      <c r="B59" t="s">
        <v>90</v>
      </c>
      <c r="C59">
        <v>0</v>
      </c>
      <c r="D59">
        <v>0</v>
      </c>
      <c r="E59">
        <v>0</v>
      </c>
    </row>
    <row r="60" spans="1:5" x14ac:dyDescent="0.25">
      <c r="A60" t="s">
        <v>91</v>
      </c>
      <c r="B60" t="s">
        <v>91</v>
      </c>
      <c r="C60">
        <v>0</v>
      </c>
      <c r="D60">
        <v>0</v>
      </c>
      <c r="E60">
        <v>0</v>
      </c>
    </row>
    <row r="61" spans="1:5" x14ac:dyDescent="0.25">
      <c r="A61" t="s">
        <v>92</v>
      </c>
      <c r="B61" t="s">
        <v>92</v>
      </c>
      <c r="C61">
        <v>0</v>
      </c>
      <c r="D61">
        <v>0</v>
      </c>
      <c r="E61">
        <v>0</v>
      </c>
    </row>
    <row r="62" spans="1:5" x14ac:dyDescent="0.25">
      <c r="A62" t="s">
        <v>93</v>
      </c>
      <c r="B62" t="s">
        <v>93</v>
      </c>
      <c r="C62">
        <v>0</v>
      </c>
      <c r="D62">
        <v>0</v>
      </c>
      <c r="E62">
        <v>0</v>
      </c>
    </row>
    <row r="63" spans="1:5" x14ac:dyDescent="0.25">
      <c r="A63" t="s">
        <v>47</v>
      </c>
      <c r="B63" t="s">
        <v>47</v>
      </c>
      <c r="C63" t="s">
        <v>94</v>
      </c>
      <c r="D63">
        <v>0</v>
      </c>
      <c r="E63">
        <v>0</v>
      </c>
    </row>
    <row r="64" spans="1:5" x14ac:dyDescent="0.25">
      <c r="A64" t="s">
        <v>95</v>
      </c>
      <c r="B64" t="s">
        <v>96</v>
      </c>
      <c r="C64">
        <v>0</v>
      </c>
      <c r="D64">
        <v>0</v>
      </c>
      <c r="E64">
        <v>0</v>
      </c>
    </row>
    <row r="65" spans="1:5" x14ac:dyDescent="0.25">
      <c r="A65" t="s">
        <v>97</v>
      </c>
      <c r="B65" t="s">
        <v>96</v>
      </c>
      <c r="C65">
        <v>0</v>
      </c>
      <c r="D65">
        <v>0</v>
      </c>
      <c r="E65">
        <v>0</v>
      </c>
    </row>
    <row r="66" spans="1:5" x14ac:dyDescent="0.25">
      <c r="A66" t="s">
        <v>98</v>
      </c>
      <c r="B66" t="s">
        <v>98</v>
      </c>
      <c r="C66">
        <v>0</v>
      </c>
      <c r="D66">
        <v>0</v>
      </c>
      <c r="E66">
        <v>0</v>
      </c>
    </row>
    <row r="67" spans="1:5" x14ac:dyDescent="0.25">
      <c r="A67" t="s">
        <v>99</v>
      </c>
      <c r="B67" t="s">
        <v>96</v>
      </c>
      <c r="C67">
        <v>0</v>
      </c>
      <c r="D67">
        <v>0</v>
      </c>
      <c r="E67">
        <v>0</v>
      </c>
    </row>
    <row r="68" spans="1:5" x14ac:dyDescent="0.25">
      <c r="A68" t="s">
        <v>100</v>
      </c>
      <c r="B68" t="s">
        <v>100</v>
      </c>
      <c r="C68">
        <v>0</v>
      </c>
      <c r="D68">
        <v>0</v>
      </c>
      <c r="E68">
        <v>0</v>
      </c>
    </row>
    <row r="69" spans="1:5" x14ac:dyDescent="0.25">
      <c r="A69" t="s">
        <v>101</v>
      </c>
      <c r="B69" t="s">
        <v>101</v>
      </c>
      <c r="C69">
        <v>0</v>
      </c>
      <c r="D69">
        <v>0</v>
      </c>
      <c r="E69">
        <v>0</v>
      </c>
    </row>
    <row r="70" spans="1:5" x14ac:dyDescent="0.25">
      <c r="A70" t="s">
        <v>102</v>
      </c>
      <c r="B70" t="s">
        <v>103</v>
      </c>
      <c r="C70" t="s">
        <v>104</v>
      </c>
      <c r="D70">
        <v>0</v>
      </c>
      <c r="E70">
        <v>0</v>
      </c>
    </row>
    <row r="71" spans="1:5" x14ac:dyDescent="0.25">
      <c r="A71" t="s">
        <v>105</v>
      </c>
      <c r="B71" t="s">
        <v>103</v>
      </c>
      <c r="C71" t="s">
        <v>104</v>
      </c>
      <c r="D71">
        <v>0</v>
      </c>
      <c r="E71">
        <v>0</v>
      </c>
    </row>
    <row r="72" spans="1:5" x14ac:dyDescent="0.25">
      <c r="A72" t="s">
        <v>106</v>
      </c>
      <c r="B72" t="s">
        <v>103</v>
      </c>
      <c r="C72" t="s">
        <v>104</v>
      </c>
      <c r="D72">
        <v>0</v>
      </c>
      <c r="E72">
        <v>0</v>
      </c>
    </row>
    <row r="73" spans="1:5" x14ac:dyDescent="0.25">
      <c r="A73" t="s">
        <v>107</v>
      </c>
      <c r="B73" t="s">
        <v>107</v>
      </c>
      <c r="C73" t="s">
        <v>108</v>
      </c>
      <c r="D73">
        <v>0</v>
      </c>
      <c r="E73">
        <v>0</v>
      </c>
    </row>
    <row r="74" spans="1:5" x14ac:dyDescent="0.25">
      <c r="A74" t="s">
        <v>109</v>
      </c>
      <c r="B74" t="s">
        <v>107</v>
      </c>
      <c r="C74" t="s">
        <v>108</v>
      </c>
      <c r="D74">
        <v>0</v>
      </c>
      <c r="E74">
        <v>0</v>
      </c>
    </row>
    <row r="75" spans="1:5" x14ac:dyDescent="0.25">
      <c r="A75" t="s">
        <v>110</v>
      </c>
      <c r="B75" t="s">
        <v>110</v>
      </c>
      <c r="C75">
        <v>0</v>
      </c>
      <c r="D75">
        <v>0</v>
      </c>
      <c r="E75">
        <v>0</v>
      </c>
    </row>
    <row r="76" spans="1:5" x14ac:dyDescent="0.25">
      <c r="A76" t="s">
        <v>111</v>
      </c>
      <c r="B76" t="s">
        <v>111</v>
      </c>
      <c r="C76">
        <v>0</v>
      </c>
      <c r="D76">
        <v>0</v>
      </c>
      <c r="E76">
        <v>0</v>
      </c>
    </row>
    <row r="77" spans="1:5" x14ac:dyDescent="0.25">
      <c r="A77" t="s">
        <v>112</v>
      </c>
      <c r="B77" t="s">
        <v>112</v>
      </c>
      <c r="C77">
        <v>0</v>
      </c>
      <c r="D77">
        <v>0</v>
      </c>
      <c r="E77">
        <v>0</v>
      </c>
    </row>
    <row r="78" spans="1:5" x14ac:dyDescent="0.25">
      <c r="A78" t="s">
        <v>113</v>
      </c>
      <c r="B78" t="s">
        <v>112</v>
      </c>
      <c r="C78">
        <v>0</v>
      </c>
      <c r="D78">
        <v>0</v>
      </c>
      <c r="E78">
        <v>0</v>
      </c>
    </row>
    <row r="79" spans="1:5" x14ac:dyDescent="0.25">
      <c r="A79" t="s">
        <v>39</v>
      </c>
      <c r="B79" t="s">
        <v>39</v>
      </c>
      <c r="C79" t="s">
        <v>114</v>
      </c>
      <c r="D79">
        <v>0</v>
      </c>
      <c r="E79">
        <v>0</v>
      </c>
    </row>
    <row r="80" spans="1:5" x14ac:dyDescent="0.25">
      <c r="A80" t="s">
        <v>115</v>
      </c>
      <c r="B80" t="s">
        <v>115</v>
      </c>
      <c r="C80">
        <v>0</v>
      </c>
      <c r="D80">
        <v>0</v>
      </c>
      <c r="E80">
        <v>0</v>
      </c>
    </row>
    <row r="81" spans="1:5" x14ac:dyDescent="0.25">
      <c r="A81" t="s">
        <v>116</v>
      </c>
      <c r="B81" t="s">
        <v>116</v>
      </c>
      <c r="C81">
        <v>0</v>
      </c>
      <c r="D81">
        <v>0</v>
      </c>
      <c r="E81">
        <v>0</v>
      </c>
    </row>
    <row r="82" spans="1:5" x14ac:dyDescent="0.25">
      <c r="A82" t="s">
        <v>117</v>
      </c>
      <c r="B82" t="s">
        <v>118</v>
      </c>
      <c r="C82" t="s">
        <v>119</v>
      </c>
      <c r="D82">
        <v>0</v>
      </c>
      <c r="E82">
        <v>0</v>
      </c>
    </row>
    <row r="83" spans="1:5" x14ac:dyDescent="0.25">
      <c r="A83" t="s">
        <v>120</v>
      </c>
      <c r="B83" t="s">
        <v>120</v>
      </c>
      <c r="C83">
        <v>0</v>
      </c>
      <c r="D83">
        <v>0</v>
      </c>
      <c r="E83">
        <v>0</v>
      </c>
    </row>
    <row r="84" spans="1:5" x14ac:dyDescent="0.25">
      <c r="A84" t="s">
        <v>121</v>
      </c>
      <c r="B84" t="s">
        <v>121</v>
      </c>
      <c r="C84">
        <v>0</v>
      </c>
      <c r="D84">
        <v>0</v>
      </c>
      <c r="E84">
        <v>0</v>
      </c>
    </row>
    <row r="85" spans="1:5" x14ac:dyDescent="0.25">
      <c r="A85" t="s">
        <v>122</v>
      </c>
      <c r="B85" t="s">
        <v>118</v>
      </c>
      <c r="C85" t="s">
        <v>72</v>
      </c>
      <c r="D85" t="s">
        <v>123</v>
      </c>
      <c r="E85" t="s">
        <v>124</v>
      </c>
    </row>
    <row r="86" spans="1:5" x14ac:dyDescent="0.25">
      <c r="A86" t="s">
        <v>125</v>
      </c>
      <c r="B86" t="s">
        <v>118</v>
      </c>
      <c r="C86" t="s">
        <v>72</v>
      </c>
      <c r="D86" t="s">
        <v>123</v>
      </c>
      <c r="E86" t="s">
        <v>124</v>
      </c>
    </row>
    <row r="87" spans="1:5" x14ac:dyDescent="0.25">
      <c r="A87" t="s">
        <v>126</v>
      </c>
      <c r="B87" t="s">
        <v>126</v>
      </c>
      <c r="C87">
        <v>0</v>
      </c>
      <c r="D87">
        <v>0</v>
      </c>
      <c r="E87">
        <v>0</v>
      </c>
    </row>
    <row r="88" spans="1:5" x14ac:dyDescent="0.25">
      <c r="A88" t="s">
        <v>127</v>
      </c>
      <c r="B88" t="s">
        <v>128</v>
      </c>
      <c r="C88" t="s">
        <v>144</v>
      </c>
      <c r="D88">
        <v>0</v>
      </c>
      <c r="E88">
        <v>0</v>
      </c>
    </row>
    <row r="89" spans="1:5" x14ac:dyDescent="0.25">
      <c r="A89" t="s">
        <v>129</v>
      </c>
      <c r="B89" t="s">
        <v>128</v>
      </c>
      <c r="C89" t="s">
        <v>144</v>
      </c>
      <c r="D89">
        <v>0</v>
      </c>
      <c r="E89">
        <v>0</v>
      </c>
    </row>
    <row r="90" spans="1:5" x14ac:dyDescent="0.25">
      <c r="A90" t="s">
        <v>41</v>
      </c>
      <c r="B90" t="s">
        <v>41</v>
      </c>
      <c r="C90" t="s">
        <v>130</v>
      </c>
      <c r="D90">
        <v>0</v>
      </c>
      <c r="E90">
        <v>0</v>
      </c>
    </row>
    <row r="91" spans="1:5" x14ac:dyDescent="0.25">
      <c r="A91" t="s">
        <v>43</v>
      </c>
      <c r="B91" t="s">
        <v>131</v>
      </c>
      <c r="C91" t="s">
        <v>132</v>
      </c>
      <c r="D91" t="s">
        <v>133</v>
      </c>
      <c r="E91" t="s">
        <v>134</v>
      </c>
    </row>
    <row r="92" spans="1:5" x14ac:dyDescent="0.25">
      <c r="A92" t="s">
        <v>135</v>
      </c>
      <c r="B92" t="s">
        <v>135</v>
      </c>
      <c r="C92" t="s">
        <v>136</v>
      </c>
      <c r="D92" t="s">
        <v>137</v>
      </c>
      <c r="E92">
        <v>0</v>
      </c>
    </row>
    <row r="93" spans="1:5" x14ac:dyDescent="0.25">
      <c r="A93" t="s">
        <v>138</v>
      </c>
      <c r="B93" t="s">
        <v>135</v>
      </c>
      <c r="C93" t="s">
        <v>136</v>
      </c>
      <c r="D93" t="s">
        <v>137</v>
      </c>
      <c r="E93">
        <v>0</v>
      </c>
    </row>
    <row r="94" spans="1:5" x14ac:dyDescent="0.25">
      <c r="A94" t="s">
        <v>45</v>
      </c>
      <c r="B94" t="s">
        <v>45</v>
      </c>
      <c r="C94" t="s">
        <v>139</v>
      </c>
      <c r="D94">
        <v>0</v>
      </c>
      <c r="E94">
        <v>0</v>
      </c>
    </row>
    <row r="95" spans="1:5" x14ac:dyDescent="0.25">
      <c r="A95" t="s">
        <v>140</v>
      </c>
      <c r="B95" t="s">
        <v>140</v>
      </c>
      <c r="C95">
        <v>0</v>
      </c>
      <c r="D95">
        <v>0</v>
      </c>
      <c r="E95">
        <v>0</v>
      </c>
    </row>
    <row r="96" spans="1:5" x14ac:dyDescent="0.25">
      <c r="A96" t="s">
        <v>141</v>
      </c>
      <c r="B96" t="s">
        <v>56</v>
      </c>
      <c r="C96">
        <v>0</v>
      </c>
      <c r="D96">
        <v>0</v>
      </c>
      <c r="E9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E500"/>
  <sheetViews>
    <sheetView topLeftCell="A57" workbookViewId="0">
      <selection activeCell="E88" sqref="A1:E500"/>
    </sheetView>
  </sheetViews>
  <sheetFormatPr defaultColWidth="9.140625" defaultRowHeight="15" x14ac:dyDescent="0.25"/>
  <cols>
    <col min="1" max="2" width="46.7109375" style="37" bestFit="1" customWidth="1"/>
    <col min="3" max="3" width="7" style="37" bestFit="1" customWidth="1"/>
    <col min="4" max="4" width="12.42578125" style="37" bestFit="1" customWidth="1"/>
    <col min="5" max="5" width="7" style="37" bestFit="1" customWidth="1"/>
    <col min="6" max="11" width="9.140625" style="37" customWidth="1"/>
    <col min="12" max="16384" width="9.140625" style="37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6</v>
      </c>
      <c r="C2">
        <v>0</v>
      </c>
      <c r="D2">
        <v>0</v>
      </c>
      <c r="E2">
        <v>0</v>
      </c>
    </row>
    <row r="3" spans="1:5" x14ac:dyDescent="0.25">
      <c r="A3" t="s">
        <v>8</v>
      </c>
      <c r="B3" t="s">
        <v>8</v>
      </c>
      <c r="C3">
        <v>0</v>
      </c>
      <c r="D3">
        <v>0</v>
      </c>
      <c r="E3">
        <v>0</v>
      </c>
    </row>
    <row r="4" spans="1:5" x14ac:dyDescent="0.25">
      <c r="A4" t="s">
        <v>10</v>
      </c>
      <c r="B4" t="s">
        <v>10</v>
      </c>
      <c r="C4" t="s">
        <v>11</v>
      </c>
      <c r="D4">
        <v>0</v>
      </c>
      <c r="E4">
        <v>0</v>
      </c>
    </row>
    <row r="5" spans="1:5" x14ac:dyDescent="0.25">
      <c r="A5" t="s">
        <v>13</v>
      </c>
      <c r="B5" t="s">
        <v>14</v>
      </c>
      <c r="C5" t="s">
        <v>15</v>
      </c>
      <c r="D5">
        <v>0</v>
      </c>
      <c r="E5">
        <v>0</v>
      </c>
    </row>
    <row r="6" spans="1:5" x14ac:dyDescent="0.25">
      <c r="A6" t="s">
        <v>17</v>
      </c>
      <c r="B6" t="s">
        <v>14</v>
      </c>
      <c r="C6" t="s">
        <v>15</v>
      </c>
      <c r="D6">
        <v>0</v>
      </c>
      <c r="E6">
        <v>0</v>
      </c>
    </row>
    <row r="7" spans="1:5" x14ac:dyDescent="0.25">
      <c r="A7" t="s">
        <v>19</v>
      </c>
      <c r="B7" t="s">
        <v>14</v>
      </c>
      <c r="C7" t="s">
        <v>15</v>
      </c>
      <c r="D7">
        <v>0</v>
      </c>
      <c r="E7">
        <v>0</v>
      </c>
    </row>
    <row r="8" spans="1:5" x14ac:dyDescent="0.25">
      <c r="A8" t="s">
        <v>7</v>
      </c>
      <c r="B8" t="s">
        <v>7</v>
      </c>
      <c r="C8" t="s">
        <v>21</v>
      </c>
      <c r="D8">
        <v>0</v>
      </c>
      <c r="E8">
        <v>0</v>
      </c>
    </row>
    <row r="9" spans="1:5" x14ac:dyDescent="0.25">
      <c r="A9" t="s">
        <v>23</v>
      </c>
      <c r="B9" t="s">
        <v>24</v>
      </c>
      <c r="C9">
        <v>0</v>
      </c>
      <c r="D9">
        <v>0</v>
      </c>
      <c r="E9">
        <v>0</v>
      </c>
    </row>
    <row r="10" spans="1:5" x14ac:dyDescent="0.25">
      <c r="A10" t="s">
        <v>26</v>
      </c>
      <c r="B10" t="s">
        <v>24</v>
      </c>
      <c r="C10">
        <v>0</v>
      </c>
      <c r="D10">
        <v>0</v>
      </c>
      <c r="E10">
        <v>0</v>
      </c>
    </row>
    <row r="11" spans="1:5" x14ac:dyDescent="0.25">
      <c r="A11" t="s">
        <v>28</v>
      </c>
      <c r="B11" t="s">
        <v>24</v>
      </c>
      <c r="C11">
        <v>0</v>
      </c>
      <c r="D11">
        <v>0</v>
      </c>
      <c r="E11">
        <v>0</v>
      </c>
    </row>
    <row r="12" spans="1:5" x14ac:dyDescent="0.25">
      <c r="A12" t="s">
        <v>30</v>
      </c>
      <c r="B12" t="s">
        <v>31</v>
      </c>
      <c r="C12">
        <v>0</v>
      </c>
      <c r="D12">
        <v>0</v>
      </c>
      <c r="E12">
        <v>0</v>
      </c>
    </row>
    <row r="13" spans="1:5" x14ac:dyDescent="0.25">
      <c r="A13" t="s">
        <v>33</v>
      </c>
      <c r="B13" t="s">
        <v>31</v>
      </c>
      <c r="C13">
        <v>0</v>
      </c>
      <c r="D13">
        <v>0</v>
      </c>
      <c r="E13">
        <v>0</v>
      </c>
    </row>
    <row r="14" spans="1:5" x14ac:dyDescent="0.25">
      <c r="A14" t="s">
        <v>9</v>
      </c>
      <c r="B14" t="s">
        <v>12</v>
      </c>
      <c r="C14" t="s">
        <v>35</v>
      </c>
      <c r="D14">
        <v>0</v>
      </c>
      <c r="E14">
        <v>0</v>
      </c>
    </row>
    <row r="15" spans="1:5" x14ac:dyDescent="0.25">
      <c r="A15" t="s">
        <v>12</v>
      </c>
      <c r="B15" t="s">
        <v>12</v>
      </c>
      <c r="C15" t="s">
        <v>35</v>
      </c>
      <c r="D15">
        <v>0</v>
      </c>
      <c r="E15">
        <v>0</v>
      </c>
    </row>
    <row r="16" spans="1:5" x14ac:dyDescent="0.25">
      <c r="A16" t="s">
        <v>38</v>
      </c>
      <c r="B16" t="s">
        <v>38</v>
      </c>
      <c r="C16">
        <v>0</v>
      </c>
      <c r="D16">
        <v>0</v>
      </c>
      <c r="E16">
        <v>0</v>
      </c>
    </row>
    <row r="17" spans="1:5" x14ac:dyDescent="0.25">
      <c r="A17" t="s">
        <v>40</v>
      </c>
      <c r="B17" t="s">
        <v>40</v>
      </c>
      <c r="C17">
        <v>0</v>
      </c>
      <c r="D17">
        <v>0</v>
      </c>
      <c r="E17">
        <v>0</v>
      </c>
    </row>
    <row r="18" spans="1:5" x14ac:dyDescent="0.25">
      <c r="A18" t="s">
        <v>16</v>
      </c>
      <c r="B18" t="s">
        <v>16</v>
      </c>
      <c r="C18" t="s">
        <v>42</v>
      </c>
      <c r="D18">
        <v>0</v>
      </c>
      <c r="E18">
        <v>0</v>
      </c>
    </row>
    <row r="19" spans="1:5" x14ac:dyDescent="0.25">
      <c r="A19" t="s">
        <v>44</v>
      </c>
      <c r="B19" t="s">
        <v>40</v>
      </c>
      <c r="C19">
        <v>0</v>
      </c>
      <c r="D19">
        <v>0</v>
      </c>
      <c r="E19">
        <v>0</v>
      </c>
    </row>
    <row r="20" spans="1:5" x14ac:dyDescent="0.25">
      <c r="A20" t="s">
        <v>46</v>
      </c>
      <c r="B20" t="s">
        <v>40</v>
      </c>
      <c r="C20">
        <v>0</v>
      </c>
      <c r="D20">
        <v>0</v>
      </c>
      <c r="E20">
        <v>0</v>
      </c>
    </row>
    <row r="21" spans="1:5" x14ac:dyDescent="0.25">
      <c r="A21" t="s">
        <v>48</v>
      </c>
      <c r="B21" t="s">
        <v>40</v>
      </c>
      <c r="C21">
        <v>0</v>
      </c>
      <c r="D21">
        <v>0</v>
      </c>
      <c r="E21">
        <v>0</v>
      </c>
    </row>
    <row r="22" spans="1:5" x14ac:dyDescent="0.25">
      <c r="A22" t="s">
        <v>49</v>
      </c>
      <c r="B22" t="s">
        <v>50</v>
      </c>
      <c r="C22">
        <v>0</v>
      </c>
      <c r="D22">
        <v>0</v>
      </c>
      <c r="E22">
        <v>0</v>
      </c>
    </row>
    <row r="23" spans="1:5" x14ac:dyDescent="0.25">
      <c r="A23" t="s">
        <v>51</v>
      </c>
      <c r="B23" t="s">
        <v>52</v>
      </c>
      <c r="C23">
        <v>0</v>
      </c>
      <c r="D23">
        <v>0</v>
      </c>
      <c r="E23">
        <v>0</v>
      </c>
    </row>
    <row r="24" spans="1:5" x14ac:dyDescent="0.25">
      <c r="A24" t="s">
        <v>53</v>
      </c>
      <c r="B24" t="s">
        <v>54</v>
      </c>
      <c r="C24">
        <v>0</v>
      </c>
      <c r="D24">
        <v>0</v>
      </c>
      <c r="E24">
        <v>0</v>
      </c>
    </row>
    <row r="25" spans="1:5" x14ac:dyDescent="0.25">
      <c r="A25" t="s">
        <v>55</v>
      </c>
      <c r="B25" t="s">
        <v>56</v>
      </c>
      <c r="C25">
        <v>0</v>
      </c>
      <c r="D25">
        <v>0</v>
      </c>
      <c r="E25">
        <v>0</v>
      </c>
    </row>
    <row r="26" spans="1:5" x14ac:dyDescent="0.25">
      <c r="A26" t="s">
        <v>57</v>
      </c>
      <c r="B26" t="s">
        <v>58</v>
      </c>
      <c r="C26" t="s">
        <v>59</v>
      </c>
      <c r="D26">
        <v>0</v>
      </c>
      <c r="E26">
        <v>0</v>
      </c>
    </row>
    <row r="27" spans="1:5" x14ac:dyDescent="0.25">
      <c r="A27" t="s">
        <v>60</v>
      </c>
      <c r="B27" t="s">
        <v>58</v>
      </c>
      <c r="C27" t="s">
        <v>59</v>
      </c>
      <c r="D27">
        <v>0</v>
      </c>
      <c r="E27">
        <v>0</v>
      </c>
    </row>
    <row r="28" spans="1:5" x14ac:dyDescent="0.25">
      <c r="A28" t="s">
        <v>61</v>
      </c>
      <c r="B28" t="s">
        <v>58</v>
      </c>
      <c r="C28" t="s">
        <v>59</v>
      </c>
      <c r="D28">
        <v>0</v>
      </c>
      <c r="E28">
        <v>0</v>
      </c>
    </row>
    <row r="29" spans="1:5" x14ac:dyDescent="0.25">
      <c r="A29" t="s">
        <v>62</v>
      </c>
      <c r="B29" t="s">
        <v>62</v>
      </c>
      <c r="C29">
        <v>0</v>
      </c>
      <c r="D29">
        <v>0</v>
      </c>
      <c r="E29">
        <v>0</v>
      </c>
    </row>
    <row r="30" spans="1:5" x14ac:dyDescent="0.25">
      <c r="A30" t="s">
        <v>63</v>
      </c>
      <c r="B30" t="s">
        <v>63</v>
      </c>
      <c r="C30">
        <v>0</v>
      </c>
      <c r="D30">
        <v>0</v>
      </c>
      <c r="E30">
        <v>0</v>
      </c>
    </row>
    <row r="31" spans="1:5" x14ac:dyDescent="0.25">
      <c r="A31" t="s">
        <v>18</v>
      </c>
      <c r="B31" t="s">
        <v>18</v>
      </c>
      <c r="C31" t="s">
        <v>64</v>
      </c>
      <c r="D31">
        <v>0</v>
      </c>
      <c r="E31">
        <v>0</v>
      </c>
    </row>
    <row r="32" spans="1:5" x14ac:dyDescent="0.25">
      <c r="A32" t="s">
        <v>20</v>
      </c>
      <c r="B32" t="s">
        <v>18</v>
      </c>
      <c r="C32" t="s">
        <v>64</v>
      </c>
      <c r="D32">
        <v>0</v>
      </c>
      <c r="E32">
        <v>0</v>
      </c>
    </row>
    <row r="33" spans="1:5" x14ac:dyDescent="0.25">
      <c r="A33" t="s">
        <v>22</v>
      </c>
      <c r="B33" t="s">
        <v>22</v>
      </c>
      <c r="C33" t="s">
        <v>65</v>
      </c>
      <c r="D33">
        <v>0</v>
      </c>
      <c r="E33">
        <v>0</v>
      </c>
    </row>
    <row r="34" spans="1:5" x14ac:dyDescent="0.25">
      <c r="A34" t="s">
        <v>25</v>
      </c>
      <c r="B34" t="s">
        <v>22</v>
      </c>
      <c r="C34" t="s">
        <v>65</v>
      </c>
      <c r="D34">
        <v>0</v>
      </c>
      <c r="E34">
        <v>0</v>
      </c>
    </row>
    <row r="35" spans="1:5" x14ac:dyDescent="0.25">
      <c r="A35" t="s">
        <v>27</v>
      </c>
      <c r="B35" t="s">
        <v>27</v>
      </c>
      <c r="C35" t="s">
        <v>66</v>
      </c>
      <c r="D35">
        <v>0</v>
      </c>
      <c r="E35">
        <v>0</v>
      </c>
    </row>
    <row r="36" spans="1:5" x14ac:dyDescent="0.25">
      <c r="A36" t="s">
        <v>29</v>
      </c>
      <c r="B36" t="s">
        <v>29</v>
      </c>
      <c r="C36" t="s">
        <v>67</v>
      </c>
      <c r="D36">
        <v>0</v>
      </c>
      <c r="E36">
        <v>0</v>
      </c>
    </row>
    <row r="37" spans="1:5" x14ac:dyDescent="0.25">
      <c r="A37" t="s">
        <v>68</v>
      </c>
      <c r="B37" t="s">
        <v>69</v>
      </c>
      <c r="C37">
        <v>0</v>
      </c>
      <c r="D37">
        <v>0</v>
      </c>
      <c r="E37">
        <v>0</v>
      </c>
    </row>
    <row r="38" spans="1:5" x14ac:dyDescent="0.25">
      <c r="A38" t="s">
        <v>70</v>
      </c>
      <c r="B38" t="s">
        <v>70</v>
      </c>
      <c r="C38">
        <v>0</v>
      </c>
      <c r="D38">
        <v>0</v>
      </c>
      <c r="E38">
        <v>0</v>
      </c>
    </row>
    <row r="39" spans="1:5" x14ac:dyDescent="0.25">
      <c r="A39" t="s">
        <v>71</v>
      </c>
      <c r="B39" t="s">
        <v>71</v>
      </c>
      <c r="C39">
        <v>0</v>
      </c>
      <c r="D39">
        <v>0</v>
      </c>
      <c r="E39">
        <v>0</v>
      </c>
    </row>
    <row r="40" spans="1:5" x14ac:dyDescent="0.25">
      <c r="A40" t="s">
        <v>69</v>
      </c>
      <c r="B40" t="s">
        <v>69</v>
      </c>
      <c r="C40" s="36" t="s">
        <v>73</v>
      </c>
      <c r="D40" s="36" t="s">
        <v>74</v>
      </c>
      <c r="E40" s="36">
        <v>0</v>
      </c>
    </row>
    <row r="41" spans="1:5" x14ac:dyDescent="0.25">
      <c r="A41" t="s">
        <v>56</v>
      </c>
      <c r="B41" t="s">
        <v>56</v>
      </c>
      <c r="C41">
        <v>0</v>
      </c>
      <c r="D41">
        <v>0</v>
      </c>
      <c r="E41">
        <v>0</v>
      </c>
    </row>
    <row r="42" spans="1:5" x14ac:dyDescent="0.25">
      <c r="A42" t="s">
        <v>32</v>
      </c>
      <c r="B42" t="s">
        <v>32</v>
      </c>
      <c r="C42" t="s">
        <v>75</v>
      </c>
      <c r="D42">
        <v>0</v>
      </c>
      <c r="E42">
        <v>0</v>
      </c>
    </row>
    <row r="43" spans="1:5" x14ac:dyDescent="0.25">
      <c r="A43" t="s">
        <v>34</v>
      </c>
      <c r="B43" t="s">
        <v>34</v>
      </c>
      <c r="C43" t="s">
        <v>76</v>
      </c>
      <c r="D43">
        <v>0</v>
      </c>
      <c r="E43">
        <v>0</v>
      </c>
    </row>
    <row r="44" spans="1:5" x14ac:dyDescent="0.25">
      <c r="A44" t="s">
        <v>36</v>
      </c>
      <c r="B44" t="s">
        <v>36</v>
      </c>
      <c r="C44" t="s">
        <v>77</v>
      </c>
      <c r="D44">
        <v>0</v>
      </c>
      <c r="E44">
        <v>0</v>
      </c>
    </row>
    <row r="45" spans="1:5" x14ac:dyDescent="0.25">
      <c r="A45" t="s">
        <v>37</v>
      </c>
      <c r="B45" t="s">
        <v>37</v>
      </c>
      <c r="C45">
        <v>0</v>
      </c>
      <c r="D45">
        <v>0</v>
      </c>
      <c r="E45">
        <v>0</v>
      </c>
    </row>
    <row r="46" spans="1:5" x14ac:dyDescent="0.25">
      <c r="A46" t="s">
        <v>78</v>
      </c>
      <c r="B46" t="s">
        <v>78</v>
      </c>
      <c r="C46">
        <v>0</v>
      </c>
      <c r="D46">
        <v>0</v>
      </c>
      <c r="E46">
        <v>0</v>
      </c>
    </row>
    <row r="47" spans="1:5" x14ac:dyDescent="0.25">
      <c r="A47" t="s">
        <v>79</v>
      </c>
      <c r="B47" t="s">
        <v>79</v>
      </c>
      <c r="C47">
        <v>0</v>
      </c>
      <c r="D47">
        <v>0</v>
      </c>
      <c r="E47">
        <v>0</v>
      </c>
    </row>
    <row r="48" spans="1:5" x14ac:dyDescent="0.25">
      <c r="A48" t="s">
        <v>80</v>
      </c>
      <c r="B48" t="s">
        <v>80</v>
      </c>
      <c r="C48">
        <v>0</v>
      </c>
      <c r="D48">
        <v>0</v>
      </c>
      <c r="E48">
        <v>0</v>
      </c>
    </row>
    <row r="49" spans="1:5" x14ac:dyDescent="0.25">
      <c r="A49" t="s">
        <v>81</v>
      </c>
      <c r="B49" t="s">
        <v>54</v>
      </c>
      <c r="C49">
        <v>0</v>
      </c>
      <c r="D49">
        <v>0</v>
      </c>
      <c r="E49">
        <v>0</v>
      </c>
    </row>
    <row r="50" spans="1:5" x14ac:dyDescent="0.25">
      <c r="A50" t="s">
        <v>54</v>
      </c>
      <c r="B50" t="s">
        <v>54</v>
      </c>
      <c r="C50">
        <v>0</v>
      </c>
      <c r="D50">
        <v>0</v>
      </c>
      <c r="E50">
        <v>0</v>
      </c>
    </row>
    <row r="51" spans="1:5" x14ac:dyDescent="0.25">
      <c r="A51" t="s">
        <v>82</v>
      </c>
      <c r="B51" t="s">
        <v>82</v>
      </c>
      <c r="C51">
        <v>0</v>
      </c>
      <c r="D51">
        <v>0</v>
      </c>
      <c r="E51">
        <v>0</v>
      </c>
    </row>
    <row r="52" spans="1:5" x14ac:dyDescent="0.25">
      <c r="A52" t="s">
        <v>83</v>
      </c>
      <c r="B52" t="s">
        <v>84</v>
      </c>
      <c r="C52">
        <v>0</v>
      </c>
      <c r="D52">
        <v>0</v>
      </c>
      <c r="E52">
        <v>0</v>
      </c>
    </row>
    <row r="53" spans="1:5" x14ac:dyDescent="0.25">
      <c r="A53" t="s">
        <v>84</v>
      </c>
      <c r="B53" t="s">
        <v>84</v>
      </c>
      <c r="C53">
        <v>0</v>
      </c>
      <c r="D53">
        <v>0</v>
      </c>
      <c r="E53">
        <v>0</v>
      </c>
    </row>
    <row r="54" spans="1:5" x14ac:dyDescent="0.25">
      <c r="A54" t="s">
        <v>85</v>
      </c>
      <c r="B54" t="s">
        <v>58</v>
      </c>
      <c r="C54" t="s">
        <v>59</v>
      </c>
      <c r="D54">
        <v>0</v>
      </c>
      <c r="E54">
        <v>0</v>
      </c>
    </row>
    <row r="55" spans="1:5" x14ac:dyDescent="0.25">
      <c r="A55" t="s">
        <v>86</v>
      </c>
      <c r="B55" t="s">
        <v>58</v>
      </c>
      <c r="C55" t="s">
        <v>59</v>
      </c>
      <c r="D55">
        <v>0</v>
      </c>
      <c r="E55">
        <v>0</v>
      </c>
    </row>
    <row r="56" spans="1:5" x14ac:dyDescent="0.25">
      <c r="A56" t="s">
        <v>87</v>
      </c>
      <c r="B56" t="s">
        <v>58</v>
      </c>
      <c r="C56" t="s">
        <v>59</v>
      </c>
      <c r="D56">
        <v>0</v>
      </c>
      <c r="E56">
        <v>0</v>
      </c>
    </row>
    <row r="57" spans="1:5" x14ac:dyDescent="0.25">
      <c r="A57" t="s">
        <v>88</v>
      </c>
      <c r="B57" t="s">
        <v>88</v>
      </c>
      <c r="C57">
        <v>0</v>
      </c>
      <c r="D57">
        <v>0</v>
      </c>
      <c r="E57">
        <v>0</v>
      </c>
    </row>
    <row r="58" spans="1:5" x14ac:dyDescent="0.25">
      <c r="A58" t="s">
        <v>89</v>
      </c>
      <c r="B58" t="s">
        <v>89</v>
      </c>
      <c r="C58">
        <v>0</v>
      </c>
      <c r="D58">
        <v>0</v>
      </c>
      <c r="E58">
        <v>0</v>
      </c>
    </row>
    <row r="59" spans="1:5" x14ac:dyDescent="0.25">
      <c r="A59" t="s">
        <v>90</v>
      </c>
      <c r="B59" t="s">
        <v>90</v>
      </c>
      <c r="C59">
        <v>0</v>
      </c>
      <c r="D59">
        <v>0</v>
      </c>
      <c r="E59">
        <v>0</v>
      </c>
    </row>
    <row r="60" spans="1:5" x14ac:dyDescent="0.25">
      <c r="A60" t="s">
        <v>91</v>
      </c>
      <c r="B60" t="s">
        <v>91</v>
      </c>
      <c r="C60">
        <v>0</v>
      </c>
      <c r="D60">
        <v>0</v>
      </c>
      <c r="E60">
        <v>0</v>
      </c>
    </row>
    <row r="61" spans="1:5" x14ac:dyDescent="0.25">
      <c r="A61" t="s">
        <v>92</v>
      </c>
      <c r="B61" t="s">
        <v>92</v>
      </c>
      <c r="C61">
        <v>0</v>
      </c>
      <c r="D61">
        <v>0</v>
      </c>
      <c r="E61">
        <v>0</v>
      </c>
    </row>
    <row r="62" spans="1:5" x14ac:dyDescent="0.25">
      <c r="A62" t="s">
        <v>93</v>
      </c>
      <c r="B62" t="s">
        <v>93</v>
      </c>
      <c r="C62">
        <v>0</v>
      </c>
      <c r="D62">
        <v>0</v>
      </c>
      <c r="E62">
        <v>0</v>
      </c>
    </row>
    <row r="63" spans="1:5" x14ac:dyDescent="0.25">
      <c r="A63" t="s">
        <v>47</v>
      </c>
      <c r="B63" t="s">
        <v>47</v>
      </c>
      <c r="C63" t="s">
        <v>94</v>
      </c>
      <c r="D63">
        <v>0</v>
      </c>
      <c r="E63">
        <v>0</v>
      </c>
    </row>
    <row r="64" spans="1:5" x14ac:dyDescent="0.25">
      <c r="A64" t="s">
        <v>95</v>
      </c>
      <c r="B64" t="s">
        <v>96</v>
      </c>
      <c r="C64">
        <v>0</v>
      </c>
      <c r="D64">
        <v>0</v>
      </c>
      <c r="E64">
        <v>0</v>
      </c>
    </row>
    <row r="65" spans="1:5" x14ac:dyDescent="0.25">
      <c r="A65" t="s">
        <v>97</v>
      </c>
      <c r="B65" t="s">
        <v>96</v>
      </c>
      <c r="C65">
        <v>0</v>
      </c>
      <c r="D65">
        <v>0</v>
      </c>
      <c r="E65">
        <v>0</v>
      </c>
    </row>
    <row r="66" spans="1:5" x14ac:dyDescent="0.25">
      <c r="A66" t="s">
        <v>98</v>
      </c>
      <c r="B66" t="s">
        <v>98</v>
      </c>
      <c r="C66">
        <v>0</v>
      </c>
      <c r="D66">
        <v>0</v>
      </c>
      <c r="E66">
        <v>0</v>
      </c>
    </row>
    <row r="67" spans="1:5" x14ac:dyDescent="0.25">
      <c r="A67" t="s">
        <v>99</v>
      </c>
      <c r="B67" t="s">
        <v>96</v>
      </c>
      <c r="C67">
        <v>0</v>
      </c>
      <c r="D67">
        <v>0</v>
      </c>
      <c r="E67">
        <v>0</v>
      </c>
    </row>
    <row r="68" spans="1:5" x14ac:dyDescent="0.25">
      <c r="A68" t="s">
        <v>100</v>
      </c>
      <c r="B68" t="s">
        <v>100</v>
      </c>
      <c r="C68">
        <v>0</v>
      </c>
      <c r="D68">
        <v>0</v>
      </c>
      <c r="E68">
        <v>0</v>
      </c>
    </row>
    <row r="69" spans="1:5" x14ac:dyDescent="0.25">
      <c r="A69" t="s">
        <v>101</v>
      </c>
      <c r="B69" t="s">
        <v>101</v>
      </c>
      <c r="C69">
        <v>0</v>
      </c>
      <c r="D69">
        <v>0</v>
      </c>
      <c r="E69">
        <v>0</v>
      </c>
    </row>
    <row r="70" spans="1:5" x14ac:dyDescent="0.25">
      <c r="A70" t="s">
        <v>102</v>
      </c>
      <c r="B70" t="s">
        <v>103</v>
      </c>
      <c r="C70" t="s">
        <v>104</v>
      </c>
      <c r="D70">
        <v>0</v>
      </c>
      <c r="E70">
        <v>0</v>
      </c>
    </row>
    <row r="71" spans="1:5" x14ac:dyDescent="0.25">
      <c r="A71" t="s">
        <v>105</v>
      </c>
      <c r="B71" t="s">
        <v>103</v>
      </c>
      <c r="C71" t="s">
        <v>104</v>
      </c>
      <c r="D71">
        <v>0</v>
      </c>
      <c r="E71">
        <v>0</v>
      </c>
    </row>
    <row r="72" spans="1:5" x14ac:dyDescent="0.25">
      <c r="A72" t="s">
        <v>106</v>
      </c>
      <c r="B72" t="s">
        <v>103</v>
      </c>
      <c r="C72" t="s">
        <v>104</v>
      </c>
      <c r="D72">
        <v>0</v>
      </c>
      <c r="E72">
        <v>0</v>
      </c>
    </row>
    <row r="73" spans="1:5" x14ac:dyDescent="0.25">
      <c r="A73" t="s">
        <v>107</v>
      </c>
      <c r="B73" t="s">
        <v>107</v>
      </c>
      <c r="C73" t="s">
        <v>108</v>
      </c>
      <c r="D73">
        <v>0</v>
      </c>
      <c r="E73">
        <v>0</v>
      </c>
    </row>
    <row r="74" spans="1:5" x14ac:dyDescent="0.25">
      <c r="A74" t="s">
        <v>109</v>
      </c>
      <c r="B74" t="s">
        <v>107</v>
      </c>
      <c r="C74" t="s">
        <v>108</v>
      </c>
      <c r="D74">
        <v>0</v>
      </c>
      <c r="E74">
        <v>0</v>
      </c>
    </row>
    <row r="75" spans="1:5" x14ac:dyDescent="0.25">
      <c r="A75" t="s">
        <v>110</v>
      </c>
      <c r="B75" t="s">
        <v>110</v>
      </c>
      <c r="C75">
        <v>0</v>
      </c>
      <c r="D75">
        <v>0</v>
      </c>
      <c r="E75">
        <v>0</v>
      </c>
    </row>
    <row r="76" spans="1:5" x14ac:dyDescent="0.25">
      <c r="A76" t="s">
        <v>111</v>
      </c>
      <c r="B76" t="s">
        <v>111</v>
      </c>
      <c r="C76">
        <v>0</v>
      </c>
      <c r="D76">
        <v>0</v>
      </c>
      <c r="E76">
        <v>0</v>
      </c>
    </row>
    <row r="77" spans="1:5" x14ac:dyDescent="0.25">
      <c r="A77" t="s">
        <v>112</v>
      </c>
      <c r="B77" t="s">
        <v>112</v>
      </c>
      <c r="C77">
        <v>0</v>
      </c>
      <c r="D77">
        <v>0</v>
      </c>
      <c r="E77">
        <v>0</v>
      </c>
    </row>
    <row r="78" spans="1:5" x14ac:dyDescent="0.25">
      <c r="A78" t="s">
        <v>113</v>
      </c>
      <c r="B78" t="s">
        <v>112</v>
      </c>
      <c r="C78">
        <v>0</v>
      </c>
      <c r="D78">
        <v>0</v>
      </c>
      <c r="E78">
        <v>0</v>
      </c>
    </row>
    <row r="79" spans="1:5" x14ac:dyDescent="0.25">
      <c r="A79" t="s">
        <v>39</v>
      </c>
      <c r="B79" t="s">
        <v>39</v>
      </c>
      <c r="C79" t="s">
        <v>114</v>
      </c>
      <c r="D79">
        <v>0</v>
      </c>
      <c r="E79">
        <v>0</v>
      </c>
    </row>
    <row r="80" spans="1:5" x14ac:dyDescent="0.25">
      <c r="A80" t="s">
        <v>115</v>
      </c>
      <c r="B80" t="s">
        <v>115</v>
      </c>
      <c r="C80">
        <v>0</v>
      </c>
      <c r="D80">
        <v>0</v>
      </c>
      <c r="E80">
        <v>0</v>
      </c>
    </row>
    <row r="81" spans="1:5" x14ac:dyDescent="0.25">
      <c r="A81" t="s">
        <v>116</v>
      </c>
      <c r="B81" t="s">
        <v>116</v>
      </c>
      <c r="C81">
        <v>0</v>
      </c>
      <c r="D81">
        <v>0</v>
      </c>
      <c r="E81">
        <v>0</v>
      </c>
    </row>
    <row r="82" spans="1:5" x14ac:dyDescent="0.25">
      <c r="A82" t="s">
        <v>117</v>
      </c>
      <c r="B82" t="s">
        <v>118</v>
      </c>
      <c r="C82" t="s">
        <v>119</v>
      </c>
      <c r="D82">
        <v>0</v>
      </c>
      <c r="E82">
        <v>0</v>
      </c>
    </row>
    <row r="83" spans="1:5" x14ac:dyDescent="0.25">
      <c r="A83" t="s">
        <v>120</v>
      </c>
      <c r="B83" t="s">
        <v>120</v>
      </c>
      <c r="C83">
        <v>0</v>
      </c>
      <c r="D83">
        <v>0</v>
      </c>
      <c r="E83">
        <v>0</v>
      </c>
    </row>
    <row r="84" spans="1:5" x14ac:dyDescent="0.25">
      <c r="A84" t="s">
        <v>121</v>
      </c>
      <c r="B84" t="s">
        <v>121</v>
      </c>
      <c r="C84">
        <v>0</v>
      </c>
      <c r="D84">
        <v>0</v>
      </c>
      <c r="E84">
        <v>0</v>
      </c>
    </row>
    <row r="85" spans="1:5" x14ac:dyDescent="0.25">
      <c r="A85" t="s">
        <v>122</v>
      </c>
      <c r="B85" t="s">
        <v>118</v>
      </c>
      <c r="C85" s="36" t="s">
        <v>119</v>
      </c>
      <c r="D85" s="36" t="s">
        <v>123</v>
      </c>
      <c r="E85" s="36" t="s">
        <v>124</v>
      </c>
    </row>
    <row r="86" spans="1:5" x14ac:dyDescent="0.25">
      <c r="A86" t="s">
        <v>125</v>
      </c>
      <c r="B86" t="s">
        <v>118</v>
      </c>
      <c r="C86" s="36" t="s">
        <v>119</v>
      </c>
      <c r="D86" s="36" t="s">
        <v>123</v>
      </c>
      <c r="E86" s="36" t="s">
        <v>124</v>
      </c>
    </row>
    <row r="87" spans="1:5" x14ac:dyDescent="0.25">
      <c r="A87" t="s">
        <v>126</v>
      </c>
      <c r="B87" t="s">
        <v>126</v>
      </c>
      <c r="C87">
        <v>0</v>
      </c>
      <c r="D87">
        <v>0</v>
      </c>
      <c r="E87">
        <v>0</v>
      </c>
    </row>
    <row r="88" spans="1:5" x14ac:dyDescent="0.25">
      <c r="A88" t="s">
        <v>127</v>
      </c>
      <c r="B88" t="s">
        <v>128</v>
      </c>
      <c r="C88">
        <v>0</v>
      </c>
      <c r="D88">
        <v>0</v>
      </c>
      <c r="E88">
        <v>0</v>
      </c>
    </row>
    <row r="89" spans="1:5" x14ac:dyDescent="0.25">
      <c r="A89" t="s">
        <v>129</v>
      </c>
      <c r="B89" t="s">
        <v>128</v>
      </c>
      <c r="C89">
        <v>0</v>
      </c>
      <c r="D89">
        <v>0</v>
      </c>
      <c r="E89">
        <v>0</v>
      </c>
    </row>
    <row r="90" spans="1:5" x14ac:dyDescent="0.25">
      <c r="A90" t="s">
        <v>41</v>
      </c>
      <c r="B90" t="s">
        <v>41</v>
      </c>
      <c r="C90" t="s">
        <v>130</v>
      </c>
      <c r="D90">
        <v>0</v>
      </c>
      <c r="E90">
        <v>0</v>
      </c>
    </row>
    <row r="91" spans="1:5" x14ac:dyDescent="0.25">
      <c r="A91" t="s">
        <v>43</v>
      </c>
      <c r="B91" t="s">
        <v>131</v>
      </c>
      <c r="C91" s="36" t="s">
        <v>132</v>
      </c>
      <c r="D91" s="36" t="s">
        <v>134</v>
      </c>
      <c r="E91" s="36">
        <v>0</v>
      </c>
    </row>
    <row r="92" spans="1:5" x14ac:dyDescent="0.25">
      <c r="A92" t="s">
        <v>135</v>
      </c>
      <c r="B92" t="s">
        <v>135</v>
      </c>
      <c r="C92" t="s">
        <v>136</v>
      </c>
      <c r="D92" t="s">
        <v>137</v>
      </c>
      <c r="E92">
        <v>0</v>
      </c>
    </row>
    <row r="93" spans="1:5" x14ac:dyDescent="0.25">
      <c r="A93" t="s">
        <v>138</v>
      </c>
      <c r="B93" t="s">
        <v>135</v>
      </c>
      <c r="C93" t="s">
        <v>136</v>
      </c>
      <c r="D93" t="s">
        <v>137</v>
      </c>
      <c r="E93">
        <v>0</v>
      </c>
    </row>
    <row r="94" spans="1:5" x14ac:dyDescent="0.25">
      <c r="A94" t="s">
        <v>45</v>
      </c>
      <c r="B94" t="s">
        <v>45</v>
      </c>
      <c r="C94" t="s">
        <v>139</v>
      </c>
      <c r="D94">
        <v>0</v>
      </c>
      <c r="E94">
        <v>0</v>
      </c>
    </row>
    <row r="95" spans="1:5" x14ac:dyDescent="0.25">
      <c r="A95" t="s">
        <v>140</v>
      </c>
      <c r="B95" t="s">
        <v>140</v>
      </c>
      <c r="C95">
        <v>0</v>
      </c>
      <c r="D95">
        <v>0</v>
      </c>
      <c r="E95">
        <v>0</v>
      </c>
    </row>
    <row r="96" spans="1:5" x14ac:dyDescent="0.25">
      <c r="A96" t="s">
        <v>141</v>
      </c>
      <c r="B96" t="s">
        <v>56</v>
      </c>
      <c r="C96">
        <v>0</v>
      </c>
      <c r="D96">
        <v>0</v>
      </c>
      <c r="E96">
        <v>0</v>
      </c>
    </row>
    <row r="97" spans="1:5" x14ac:dyDescent="0.25">
      <c r="A97">
        <v>0</v>
      </c>
      <c r="B97">
        <v>0</v>
      </c>
      <c r="C97">
        <v>0</v>
      </c>
      <c r="D97">
        <v>0</v>
      </c>
      <c r="E97">
        <v>0</v>
      </c>
    </row>
    <row r="98" spans="1:5" x14ac:dyDescent="0.25">
      <c r="A98">
        <v>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>
        <v>0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>
        <v>0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>
        <v>0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>
        <v>0</v>
      </c>
      <c r="B102">
        <v>0</v>
      </c>
      <c r="C102">
        <v>0</v>
      </c>
      <c r="D102">
        <v>0</v>
      </c>
      <c r="E102">
        <v>0</v>
      </c>
    </row>
    <row r="103" spans="1:5" x14ac:dyDescent="0.25">
      <c r="A103">
        <v>0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>
        <v>0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>
        <v>0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>
        <v>0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>
        <v>0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>
        <v>0</v>
      </c>
      <c r="B108">
        <v>0</v>
      </c>
      <c r="C108">
        <v>0</v>
      </c>
      <c r="D108">
        <v>0</v>
      </c>
      <c r="E108">
        <v>0</v>
      </c>
    </row>
    <row r="109" spans="1:5" x14ac:dyDescent="0.25">
      <c r="A109">
        <v>0</v>
      </c>
      <c r="B109">
        <v>0</v>
      </c>
      <c r="C109">
        <v>0</v>
      </c>
      <c r="D109">
        <v>0</v>
      </c>
      <c r="E109">
        <v>0</v>
      </c>
    </row>
    <row r="110" spans="1:5" x14ac:dyDescent="0.25">
      <c r="A110">
        <v>0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>
        <v>0</v>
      </c>
      <c r="B111">
        <v>0</v>
      </c>
      <c r="C111">
        <v>0</v>
      </c>
      <c r="D111">
        <v>0</v>
      </c>
      <c r="E111">
        <v>0</v>
      </c>
    </row>
    <row r="112" spans="1:5" x14ac:dyDescent="0.25">
      <c r="A112">
        <v>0</v>
      </c>
      <c r="B112">
        <v>0</v>
      </c>
      <c r="C112">
        <v>0</v>
      </c>
      <c r="D112">
        <v>0</v>
      </c>
      <c r="E112">
        <v>0</v>
      </c>
    </row>
    <row r="113" spans="1:5" x14ac:dyDescent="0.25">
      <c r="A113">
        <v>0</v>
      </c>
      <c r="B113">
        <v>0</v>
      </c>
      <c r="C113">
        <v>0</v>
      </c>
      <c r="D113">
        <v>0</v>
      </c>
      <c r="E113">
        <v>0</v>
      </c>
    </row>
    <row r="114" spans="1:5" x14ac:dyDescent="0.25">
      <c r="A114">
        <v>0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>
        <v>0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>
        <v>0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>
        <v>0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>
        <v>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>
        <v>0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>
        <v>0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>
        <v>0</v>
      </c>
      <c r="B121">
        <v>0</v>
      </c>
      <c r="C121">
        <v>0</v>
      </c>
      <c r="D121">
        <v>0</v>
      </c>
      <c r="E121">
        <v>0</v>
      </c>
    </row>
    <row r="122" spans="1:5" x14ac:dyDescent="0.25">
      <c r="A122">
        <v>0</v>
      </c>
      <c r="B122">
        <v>0</v>
      </c>
      <c r="C122">
        <v>0</v>
      </c>
      <c r="D122">
        <v>0</v>
      </c>
      <c r="E122">
        <v>0</v>
      </c>
    </row>
    <row r="123" spans="1:5" x14ac:dyDescent="0.25">
      <c r="A123">
        <v>0</v>
      </c>
      <c r="B123">
        <v>0</v>
      </c>
      <c r="C123">
        <v>0</v>
      </c>
      <c r="D123">
        <v>0</v>
      </c>
      <c r="E123">
        <v>0</v>
      </c>
    </row>
    <row r="124" spans="1:5" x14ac:dyDescent="0.25">
      <c r="A124">
        <v>0</v>
      </c>
      <c r="B124">
        <v>0</v>
      </c>
      <c r="C124">
        <v>0</v>
      </c>
      <c r="D124">
        <v>0</v>
      </c>
      <c r="E124">
        <v>0</v>
      </c>
    </row>
    <row r="125" spans="1:5" x14ac:dyDescent="0.25">
      <c r="A125">
        <v>0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>
        <v>0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>
        <v>0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>
        <v>0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>
        <v>0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>
        <v>0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>
        <v>0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>
        <v>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>
        <v>0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>
        <v>0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>
        <v>0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>
        <v>0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>
        <v>0</v>
      </c>
      <c r="B137">
        <v>0</v>
      </c>
      <c r="C137">
        <v>0</v>
      </c>
      <c r="D137">
        <v>0</v>
      </c>
      <c r="E137">
        <v>0</v>
      </c>
    </row>
    <row r="138" spans="1:5" x14ac:dyDescent="0.25">
      <c r="A138">
        <v>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>
        <v>0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>
        <v>0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>
        <v>0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>
        <v>0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>
        <v>0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>
        <v>0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>
        <v>0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>
        <v>0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>
        <v>0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>
        <v>0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>
        <v>0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>
        <v>0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>
        <v>0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>
        <v>0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>
        <v>0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>
        <v>0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>
        <v>0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>
        <v>0</v>
      </c>
      <c r="B156">
        <v>0</v>
      </c>
      <c r="C156">
        <v>0</v>
      </c>
      <c r="D156">
        <v>0</v>
      </c>
      <c r="E156">
        <v>0</v>
      </c>
    </row>
    <row r="157" spans="1:5" x14ac:dyDescent="0.25">
      <c r="A157">
        <v>0</v>
      </c>
      <c r="B157">
        <v>0</v>
      </c>
      <c r="C157">
        <v>0</v>
      </c>
      <c r="D157">
        <v>0</v>
      </c>
      <c r="E157">
        <v>0</v>
      </c>
    </row>
    <row r="158" spans="1:5" x14ac:dyDescent="0.25">
      <c r="A158">
        <v>0</v>
      </c>
      <c r="B158">
        <v>0</v>
      </c>
      <c r="C158">
        <v>0</v>
      </c>
      <c r="D158">
        <v>0</v>
      </c>
      <c r="E158">
        <v>0</v>
      </c>
    </row>
    <row r="159" spans="1:5" x14ac:dyDescent="0.25">
      <c r="A159">
        <v>0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>
        <v>0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>
        <v>0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>
        <v>0</v>
      </c>
      <c r="B162">
        <v>0</v>
      </c>
      <c r="C162">
        <v>0</v>
      </c>
      <c r="D162">
        <v>0</v>
      </c>
      <c r="E162">
        <v>0</v>
      </c>
    </row>
    <row r="163" spans="1:5" x14ac:dyDescent="0.25">
      <c r="A163">
        <v>0</v>
      </c>
      <c r="B163">
        <v>0</v>
      </c>
      <c r="C163">
        <v>0</v>
      </c>
      <c r="D163">
        <v>0</v>
      </c>
      <c r="E163">
        <v>0</v>
      </c>
    </row>
    <row r="164" spans="1:5" x14ac:dyDescent="0.25">
      <c r="A164">
        <v>0</v>
      </c>
      <c r="B164">
        <v>0</v>
      </c>
      <c r="C164">
        <v>0</v>
      </c>
      <c r="D164">
        <v>0</v>
      </c>
      <c r="E164">
        <v>0</v>
      </c>
    </row>
    <row r="165" spans="1:5" x14ac:dyDescent="0.25">
      <c r="A165">
        <v>0</v>
      </c>
      <c r="B165">
        <v>0</v>
      </c>
      <c r="C165">
        <v>0</v>
      </c>
      <c r="D165">
        <v>0</v>
      </c>
      <c r="E165">
        <v>0</v>
      </c>
    </row>
    <row r="166" spans="1:5" x14ac:dyDescent="0.25">
      <c r="A166">
        <v>0</v>
      </c>
      <c r="B166">
        <v>0</v>
      </c>
      <c r="C166">
        <v>0</v>
      </c>
      <c r="D166">
        <v>0</v>
      </c>
      <c r="E166">
        <v>0</v>
      </c>
    </row>
    <row r="167" spans="1:5" x14ac:dyDescent="0.25">
      <c r="A167">
        <v>0</v>
      </c>
      <c r="B167">
        <v>0</v>
      </c>
      <c r="C167">
        <v>0</v>
      </c>
      <c r="D167">
        <v>0</v>
      </c>
      <c r="E167">
        <v>0</v>
      </c>
    </row>
    <row r="168" spans="1:5" x14ac:dyDescent="0.25">
      <c r="A168">
        <v>0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>
        <v>0</v>
      </c>
      <c r="B169">
        <v>0</v>
      </c>
      <c r="C169">
        <v>0</v>
      </c>
      <c r="D169">
        <v>0</v>
      </c>
      <c r="E169">
        <v>0</v>
      </c>
    </row>
    <row r="170" spans="1:5" x14ac:dyDescent="0.25">
      <c r="A170">
        <v>0</v>
      </c>
      <c r="B170">
        <v>0</v>
      </c>
      <c r="C170">
        <v>0</v>
      </c>
      <c r="D170">
        <v>0</v>
      </c>
      <c r="E170">
        <v>0</v>
      </c>
    </row>
    <row r="171" spans="1:5" x14ac:dyDescent="0.25">
      <c r="A171">
        <v>0</v>
      </c>
      <c r="B171">
        <v>0</v>
      </c>
      <c r="C171">
        <v>0</v>
      </c>
      <c r="D171">
        <v>0</v>
      </c>
      <c r="E171">
        <v>0</v>
      </c>
    </row>
    <row r="172" spans="1:5" x14ac:dyDescent="0.25">
      <c r="A172">
        <v>0</v>
      </c>
      <c r="B172">
        <v>0</v>
      </c>
      <c r="C172">
        <v>0</v>
      </c>
      <c r="D172">
        <v>0</v>
      </c>
      <c r="E172">
        <v>0</v>
      </c>
    </row>
    <row r="173" spans="1:5" x14ac:dyDescent="0.25">
      <c r="A173">
        <v>0</v>
      </c>
      <c r="B173">
        <v>0</v>
      </c>
      <c r="C173">
        <v>0</v>
      </c>
      <c r="D173">
        <v>0</v>
      </c>
      <c r="E173">
        <v>0</v>
      </c>
    </row>
    <row r="174" spans="1:5" x14ac:dyDescent="0.25">
      <c r="A174">
        <v>0</v>
      </c>
      <c r="B174">
        <v>0</v>
      </c>
      <c r="C174">
        <v>0</v>
      </c>
      <c r="D174">
        <v>0</v>
      </c>
      <c r="E174">
        <v>0</v>
      </c>
    </row>
    <row r="175" spans="1:5" x14ac:dyDescent="0.25">
      <c r="A175">
        <v>0</v>
      </c>
      <c r="B175">
        <v>0</v>
      </c>
      <c r="C175">
        <v>0</v>
      </c>
      <c r="D175">
        <v>0</v>
      </c>
      <c r="E175">
        <v>0</v>
      </c>
    </row>
    <row r="176" spans="1:5" x14ac:dyDescent="0.25">
      <c r="A176">
        <v>0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>
        <v>0</v>
      </c>
      <c r="B177">
        <v>0</v>
      </c>
      <c r="C177">
        <v>0</v>
      </c>
      <c r="D177">
        <v>0</v>
      </c>
      <c r="E177">
        <v>0</v>
      </c>
    </row>
    <row r="178" spans="1:5" x14ac:dyDescent="0.25">
      <c r="A178">
        <v>0</v>
      </c>
      <c r="B178">
        <v>0</v>
      </c>
      <c r="C178">
        <v>0</v>
      </c>
      <c r="D178">
        <v>0</v>
      </c>
      <c r="E178">
        <v>0</v>
      </c>
    </row>
    <row r="179" spans="1:5" x14ac:dyDescent="0.25">
      <c r="A179">
        <v>0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>
        <v>0</v>
      </c>
      <c r="B180">
        <v>0</v>
      </c>
      <c r="C180">
        <v>0</v>
      </c>
      <c r="D180">
        <v>0</v>
      </c>
      <c r="E180">
        <v>0</v>
      </c>
    </row>
    <row r="181" spans="1:5" x14ac:dyDescent="0.25">
      <c r="A181">
        <v>0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>
        <v>0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>
        <v>0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>
        <v>0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>
        <v>0</v>
      </c>
      <c r="B185">
        <v>0</v>
      </c>
      <c r="C185">
        <v>0</v>
      </c>
      <c r="D185">
        <v>0</v>
      </c>
      <c r="E185">
        <v>0</v>
      </c>
    </row>
    <row r="186" spans="1:5" x14ac:dyDescent="0.25">
      <c r="A186">
        <v>0</v>
      </c>
      <c r="B186">
        <v>0</v>
      </c>
      <c r="C186">
        <v>0</v>
      </c>
      <c r="D186">
        <v>0</v>
      </c>
      <c r="E186">
        <v>0</v>
      </c>
    </row>
    <row r="187" spans="1:5" x14ac:dyDescent="0.25">
      <c r="A187">
        <v>0</v>
      </c>
      <c r="B187">
        <v>0</v>
      </c>
      <c r="C187">
        <v>0</v>
      </c>
      <c r="D187">
        <v>0</v>
      </c>
      <c r="E187">
        <v>0</v>
      </c>
    </row>
    <row r="188" spans="1:5" x14ac:dyDescent="0.25">
      <c r="A188">
        <v>0</v>
      </c>
      <c r="B188">
        <v>0</v>
      </c>
      <c r="C188">
        <v>0</v>
      </c>
      <c r="D188">
        <v>0</v>
      </c>
      <c r="E188">
        <v>0</v>
      </c>
    </row>
    <row r="189" spans="1:5" x14ac:dyDescent="0.25">
      <c r="A189">
        <v>0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>
        <v>0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>
        <v>0</v>
      </c>
      <c r="B191">
        <v>0</v>
      </c>
      <c r="C191">
        <v>0</v>
      </c>
      <c r="D191">
        <v>0</v>
      </c>
      <c r="E191">
        <v>0</v>
      </c>
    </row>
    <row r="192" spans="1:5" x14ac:dyDescent="0.25">
      <c r="A192">
        <v>0</v>
      </c>
      <c r="B192">
        <v>0</v>
      </c>
      <c r="C192">
        <v>0</v>
      </c>
      <c r="D192">
        <v>0</v>
      </c>
      <c r="E192">
        <v>0</v>
      </c>
    </row>
    <row r="193" spans="1:5" x14ac:dyDescent="0.25">
      <c r="A193">
        <v>0</v>
      </c>
      <c r="B193">
        <v>0</v>
      </c>
      <c r="C193">
        <v>0</v>
      </c>
      <c r="D193">
        <v>0</v>
      </c>
      <c r="E193">
        <v>0</v>
      </c>
    </row>
    <row r="194" spans="1:5" x14ac:dyDescent="0.25">
      <c r="A194">
        <v>0</v>
      </c>
      <c r="B194">
        <v>0</v>
      </c>
      <c r="C194">
        <v>0</v>
      </c>
      <c r="D194">
        <v>0</v>
      </c>
      <c r="E194">
        <v>0</v>
      </c>
    </row>
    <row r="195" spans="1:5" x14ac:dyDescent="0.25">
      <c r="A195">
        <v>0</v>
      </c>
      <c r="B195">
        <v>0</v>
      </c>
      <c r="C195">
        <v>0</v>
      </c>
      <c r="D195">
        <v>0</v>
      </c>
      <c r="E195">
        <v>0</v>
      </c>
    </row>
    <row r="196" spans="1:5" x14ac:dyDescent="0.25">
      <c r="A196">
        <v>0</v>
      </c>
      <c r="B196">
        <v>0</v>
      </c>
      <c r="C196">
        <v>0</v>
      </c>
      <c r="D196">
        <v>0</v>
      </c>
      <c r="E196">
        <v>0</v>
      </c>
    </row>
    <row r="197" spans="1:5" x14ac:dyDescent="0.25">
      <c r="A197">
        <v>0</v>
      </c>
      <c r="B197">
        <v>0</v>
      </c>
      <c r="C197">
        <v>0</v>
      </c>
      <c r="D197">
        <v>0</v>
      </c>
      <c r="E197">
        <v>0</v>
      </c>
    </row>
    <row r="198" spans="1:5" x14ac:dyDescent="0.25">
      <c r="A198">
        <v>0</v>
      </c>
      <c r="B198">
        <v>0</v>
      </c>
      <c r="C198">
        <v>0</v>
      </c>
      <c r="D198">
        <v>0</v>
      </c>
      <c r="E198">
        <v>0</v>
      </c>
    </row>
    <row r="199" spans="1:5" x14ac:dyDescent="0.25">
      <c r="A199">
        <v>0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>
        <v>0</v>
      </c>
      <c r="B200">
        <v>0</v>
      </c>
      <c r="C200">
        <v>0</v>
      </c>
      <c r="D200">
        <v>0</v>
      </c>
      <c r="E200">
        <v>0</v>
      </c>
    </row>
    <row r="201" spans="1:5" x14ac:dyDescent="0.25">
      <c r="A201">
        <v>0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>
        <v>0</v>
      </c>
      <c r="B202">
        <v>0</v>
      </c>
      <c r="C202">
        <v>0</v>
      </c>
      <c r="D202">
        <v>0</v>
      </c>
      <c r="E202">
        <v>0</v>
      </c>
    </row>
    <row r="203" spans="1:5" x14ac:dyDescent="0.25">
      <c r="A203">
        <v>0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>
        <v>0</v>
      </c>
      <c r="B204">
        <v>0</v>
      </c>
      <c r="C204">
        <v>0</v>
      </c>
      <c r="D204">
        <v>0</v>
      </c>
      <c r="E204">
        <v>0</v>
      </c>
    </row>
    <row r="205" spans="1:5" x14ac:dyDescent="0.25">
      <c r="A205">
        <v>0</v>
      </c>
      <c r="B205">
        <v>0</v>
      </c>
      <c r="C205">
        <v>0</v>
      </c>
      <c r="D205">
        <v>0</v>
      </c>
      <c r="E205">
        <v>0</v>
      </c>
    </row>
    <row r="206" spans="1:5" x14ac:dyDescent="0.25">
      <c r="A206">
        <v>0</v>
      </c>
      <c r="B206">
        <v>0</v>
      </c>
      <c r="C206">
        <v>0</v>
      </c>
      <c r="D206">
        <v>0</v>
      </c>
      <c r="E206">
        <v>0</v>
      </c>
    </row>
    <row r="207" spans="1:5" x14ac:dyDescent="0.25">
      <c r="A207">
        <v>0</v>
      </c>
      <c r="B207">
        <v>0</v>
      </c>
      <c r="C207">
        <v>0</v>
      </c>
      <c r="D207">
        <v>0</v>
      </c>
      <c r="E207">
        <v>0</v>
      </c>
    </row>
    <row r="208" spans="1:5" x14ac:dyDescent="0.25">
      <c r="A208">
        <v>0</v>
      </c>
      <c r="B208">
        <v>0</v>
      </c>
      <c r="C208">
        <v>0</v>
      </c>
      <c r="D208">
        <v>0</v>
      </c>
      <c r="E208">
        <v>0</v>
      </c>
    </row>
    <row r="209" spans="1:5" x14ac:dyDescent="0.25">
      <c r="A209">
        <v>0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>
        <v>0</v>
      </c>
      <c r="B210">
        <v>0</v>
      </c>
      <c r="C210">
        <v>0</v>
      </c>
      <c r="D210">
        <v>0</v>
      </c>
      <c r="E210">
        <v>0</v>
      </c>
    </row>
    <row r="211" spans="1:5" x14ac:dyDescent="0.25">
      <c r="A211">
        <v>0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>
        <v>0</v>
      </c>
      <c r="B212">
        <v>0</v>
      </c>
      <c r="C212">
        <v>0</v>
      </c>
      <c r="D212">
        <v>0</v>
      </c>
      <c r="E212">
        <v>0</v>
      </c>
    </row>
    <row r="213" spans="1:5" x14ac:dyDescent="0.25">
      <c r="A213">
        <v>0</v>
      </c>
      <c r="B213">
        <v>0</v>
      </c>
      <c r="C213">
        <v>0</v>
      </c>
      <c r="D213">
        <v>0</v>
      </c>
      <c r="E213">
        <v>0</v>
      </c>
    </row>
    <row r="214" spans="1:5" x14ac:dyDescent="0.25">
      <c r="A214">
        <v>0</v>
      </c>
      <c r="B214">
        <v>0</v>
      </c>
      <c r="C214">
        <v>0</v>
      </c>
      <c r="D214">
        <v>0</v>
      </c>
      <c r="E214">
        <v>0</v>
      </c>
    </row>
    <row r="215" spans="1:5" x14ac:dyDescent="0.25">
      <c r="A215">
        <v>0</v>
      </c>
      <c r="B215">
        <v>0</v>
      </c>
      <c r="C215">
        <v>0</v>
      </c>
      <c r="D215">
        <v>0</v>
      </c>
      <c r="E215">
        <v>0</v>
      </c>
    </row>
    <row r="216" spans="1:5" x14ac:dyDescent="0.25">
      <c r="A216">
        <v>0</v>
      </c>
      <c r="B216">
        <v>0</v>
      </c>
      <c r="C216">
        <v>0</v>
      </c>
      <c r="D216">
        <v>0</v>
      </c>
      <c r="E216">
        <v>0</v>
      </c>
    </row>
    <row r="217" spans="1:5" x14ac:dyDescent="0.25">
      <c r="A217">
        <v>0</v>
      </c>
      <c r="B217">
        <v>0</v>
      </c>
      <c r="C217">
        <v>0</v>
      </c>
      <c r="D217">
        <v>0</v>
      </c>
      <c r="E217">
        <v>0</v>
      </c>
    </row>
    <row r="218" spans="1:5" x14ac:dyDescent="0.25">
      <c r="A218">
        <v>0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>
        <v>0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>
        <v>0</v>
      </c>
      <c r="B220">
        <v>0</v>
      </c>
      <c r="C220">
        <v>0</v>
      </c>
      <c r="D220">
        <v>0</v>
      </c>
      <c r="E220">
        <v>0</v>
      </c>
    </row>
    <row r="221" spans="1:5" x14ac:dyDescent="0.25">
      <c r="A221">
        <v>0</v>
      </c>
      <c r="B221">
        <v>0</v>
      </c>
      <c r="C221">
        <v>0</v>
      </c>
      <c r="D221">
        <v>0</v>
      </c>
      <c r="E221">
        <v>0</v>
      </c>
    </row>
    <row r="222" spans="1:5" x14ac:dyDescent="0.25">
      <c r="A222">
        <v>0</v>
      </c>
      <c r="B222">
        <v>0</v>
      </c>
      <c r="C222">
        <v>0</v>
      </c>
      <c r="D222">
        <v>0</v>
      </c>
      <c r="E222">
        <v>0</v>
      </c>
    </row>
    <row r="223" spans="1:5" x14ac:dyDescent="0.25">
      <c r="A223">
        <v>0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>
        <v>0</v>
      </c>
      <c r="B224">
        <v>0</v>
      </c>
      <c r="C224">
        <v>0</v>
      </c>
      <c r="D224">
        <v>0</v>
      </c>
      <c r="E224">
        <v>0</v>
      </c>
    </row>
    <row r="225" spans="1:5" x14ac:dyDescent="0.25">
      <c r="A225">
        <v>0</v>
      </c>
      <c r="B225">
        <v>0</v>
      </c>
      <c r="C225">
        <v>0</v>
      </c>
      <c r="D225">
        <v>0</v>
      </c>
      <c r="E225">
        <v>0</v>
      </c>
    </row>
    <row r="226" spans="1:5" x14ac:dyDescent="0.25">
      <c r="A226">
        <v>0</v>
      </c>
      <c r="B226">
        <v>0</v>
      </c>
      <c r="C226">
        <v>0</v>
      </c>
      <c r="D226">
        <v>0</v>
      </c>
      <c r="E226">
        <v>0</v>
      </c>
    </row>
    <row r="227" spans="1:5" x14ac:dyDescent="0.25">
      <c r="A227">
        <v>0</v>
      </c>
      <c r="B227">
        <v>0</v>
      </c>
      <c r="C227">
        <v>0</v>
      </c>
      <c r="D227">
        <v>0</v>
      </c>
      <c r="E227">
        <v>0</v>
      </c>
    </row>
    <row r="228" spans="1:5" x14ac:dyDescent="0.25">
      <c r="A228">
        <v>0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>
        <v>0</v>
      </c>
      <c r="B229">
        <v>0</v>
      </c>
      <c r="C229">
        <v>0</v>
      </c>
      <c r="D229">
        <v>0</v>
      </c>
      <c r="E229">
        <v>0</v>
      </c>
    </row>
    <row r="230" spans="1:5" x14ac:dyDescent="0.25">
      <c r="A230">
        <v>0</v>
      </c>
      <c r="B230">
        <v>0</v>
      </c>
      <c r="C230">
        <v>0</v>
      </c>
      <c r="D230">
        <v>0</v>
      </c>
      <c r="E230">
        <v>0</v>
      </c>
    </row>
    <row r="231" spans="1:5" x14ac:dyDescent="0.25">
      <c r="A231">
        <v>0</v>
      </c>
      <c r="B231">
        <v>0</v>
      </c>
      <c r="C231">
        <v>0</v>
      </c>
      <c r="D231">
        <v>0</v>
      </c>
      <c r="E231">
        <v>0</v>
      </c>
    </row>
    <row r="232" spans="1:5" x14ac:dyDescent="0.25">
      <c r="A232">
        <v>0</v>
      </c>
      <c r="B232">
        <v>0</v>
      </c>
      <c r="C232">
        <v>0</v>
      </c>
      <c r="D232">
        <v>0</v>
      </c>
      <c r="E232">
        <v>0</v>
      </c>
    </row>
    <row r="233" spans="1:5" x14ac:dyDescent="0.25">
      <c r="A233">
        <v>0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>
        <v>0</v>
      </c>
      <c r="B234">
        <v>0</v>
      </c>
      <c r="C234">
        <v>0</v>
      </c>
      <c r="D234">
        <v>0</v>
      </c>
      <c r="E234">
        <v>0</v>
      </c>
    </row>
    <row r="235" spans="1:5" x14ac:dyDescent="0.25">
      <c r="A235">
        <v>0</v>
      </c>
      <c r="B235">
        <v>0</v>
      </c>
      <c r="C235">
        <v>0</v>
      </c>
      <c r="D235">
        <v>0</v>
      </c>
      <c r="E235">
        <v>0</v>
      </c>
    </row>
    <row r="236" spans="1:5" x14ac:dyDescent="0.25">
      <c r="A236">
        <v>0</v>
      </c>
      <c r="B236">
        <v>0</v>
      </c>
      <c r="C236">
        <v>0</v>
      </c>
      <c r="D236">
        <v>0</v>
      </c>
      <c r="E236">
        <v>0</v>
      </c>
    </row>
    <row r="237" spans="1:5" x14ac:dyDescent="0.25">
      <c r="A237">
        <v>0</v>
      </c>
      <c r="B237">
        <v>0</v>
      </c>
      <c r="C237">
        <v>0</v>
      </c>
      <c r="D237">
        <v>0</v>
      </c>
      <c r="E237">
        <v>0</v>
      </c>
    </row>
    <row r="238" spans="1:5" x14ac:dyDescent="0.25">
      <c r="A238">
        <v>0</v>
      </c>
      <c r="B238">
        <v>0</v>
      </c>
      <c r="C238">
        <v>0</v>
      </c>
      <c r="D238">
        <v>0</v>
      </c>
      <c r="E238">
        <v>0</v>
      </c>
    </row>
    <row r="239" spans="1:5" x14ac:dyDescent="0.25">
      <c r="A239">
        <v>0</v>
      </c>
      <c r="B239">
        <v>0</v>
      </c>
      <c r="C239">
        <v>0</v>
      </c>
      <c r="D239">
        <v>0</v>
      </c>
      <c r="E239">
        <v>0</v>
      </c>
    </row>
    <row r="240" spans="1:5" x14ac:dyDescent="0.25">
      <c r="A240">
        <v>0</v>
      </c>
      <c r="B240">
        <v>0</v>
      </c>
      <c r="C240">
        <v>0</v>
      </c>
      <c r="D240">
        <v>0</v>
      </c>
      <c r="E240">
        <v>0</v>
      </c>
    </row>
    <row r="241" spans="1:5" x14ac:dyDescent="0.25">
      <c r="A241">
        <v>0</v>
      </c>
      <c r="B241">
        <v>0</v>
      </c>
      <c r="C241">
        <v>0</v>
      </c>
      <c r="D241">
        <v>0</v>
      </c>
      <c r="E241">
        <v>0</v>
      </c>
    </row>
    <row r="242" spans="1:5" x14ac:dyDescent="0.25">
      <c r="A242">
        <v>0</v>
      </c>
      <c r="B242">
        <v>0</v>
      </c>
      <c r="C242">
        <v>0</v>
      </c>
      <c r="D242">
        <v>0</v>
      </c>
      <c r="E242">
        <v>0</v>
      </c>
    </row>
    <row r="243" spans="1:5" x14ac:dyDescent="0.25">
      <c r="A243">
        <v>0</v>
      </c>
      <c r="B243">
        <v>0</v>
      </c>
      <c r="C243">
        <v>0</v>
      </c>
      <c r="D243">
        <v>0</v>
      </c>
      <c r="E243">
        <v>0</v>
      </c>
    </row>
    <row r="244" spans="1:5" x14ac:dyDescent="0.25">
      <c r="A244">
        <v>0</v>
      </c>
      <c r="B244">
        <v>0</v>
      </c>
      <c r="C244">
        <v>0</v>
      </c>
      <c r="D244">
        <v>0</v>
      </c>
      <c r="E244">
        <v>0</v>
      </c>
    </row>
    <row r="245" spans="1:5" x14ac:dyDescent="0.25">
      <c r="A245">
        <v>0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>
        <v>0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>
        <v>0</v>
      </c>
      <c r="B247">
        <v>0</v>
      </c>
      <c r="C247">
        <v>0</v>
      </c>
      <c r="D247">
        <v>0</v>
      </c>
      <c r="E247">
        <v>0</v>
      </c>
    </row>
    <row r="248" spans="1:5" x14ac:dyDescent="0.25">
      <c r="A248">
        <v>0</v>
      </c>
      <c r="B248">
        <v>0</v>
      </c>
      <c r="C248">
        <v>0</v>
      </c>
      <c r="D248">
        <v>0</v>
      </c>
      <c r="E248">
        <v>0</v>
      </c>
    </row>
    <row r="249" spans="1:5" x14ac:dyDescent="0.25">
      <c r="A249">
        <v>0</v>
      </c>
      <c r="B249">
        <v>0</v>
      </c>
      <c r="C249">
        <v>0</v>
      </c>
      <c r="D249">
        <v>0</v>
      </c>
      <c r="E249">
        <v>0</v>
      </c>
    </row>
    <row r="250" spans="1:5" x14ac:dyDescent="0.25">
      <c r="A250">
        <v>0</v>
      </c>
      <c r="B250">
        <v>0</v>
      </c>
      <c r="C250">
        <v>0</v>
      </c>
      <c r="D250">
        <v>0</v>
      </c>
      <c r="E250">
        <v>0</v>
      </c>
    </row>
    <row r="251" spans="1:5" x14ac:dyDescent="0.25">
      <c r="A251">
        <v>0</v>
      </c>
      <c r="B251">
        <v>0</v>
      </c>
      <c r="C251">
        <v>0</v>
      </c>
      <c r="D251">
        <v>0</v>
      </c>
      <c r="E251">
        <v>0</v>
      </c>
    </row>
    <row r="252" spans="1:5" x14ac:dyDescent="0.25">
      <c r="A252">
        <v>0</v>
      </c>
      <c r="B252">
        <v>0</v>
      </c>
      <c r="C252">
        <v>0</v>
      </c>
      <c r="D252">
        <v>0</v>
      </c>
      <c r="E252">
        <v>0</v>
      </c>
    </row>
    <row r="253" spans="1:5" x14ac:dyDescent="0.25">
      <c r="A253">
        <v>0</v>
      </c>
      <c r="B253">
        <v>0</v>
      </c>
      <c r="C253">
        <v>0</v>
      </c>
      <c r="D253">
        <v>0</v>
      </c>
      <c r="E253">
        <v>0</v>
      </c>
    </row>
    <row r="254" spans="1:5" x14ac:dyDescent="0.25">
      <c r="A254">
        <v>0</v>
      </c>
      <c r="B254">
        <v>0</v>
      </c>
      <c r="C254">
        <v>0</v>
      </c>
      <c r="D254">
        <v>0</v>
      </c>
      <c r="E254">
        <v>0</v>
      </c>
    </row>
    <row r="255" spans="1:5" x14ac:dyDescent="0.25">
      <c r="A255">
        <v>0</v>
      </c>
      <c r="B255">
        <v>0</v>
      </c>
      <c r="C255">
        <v>0</v>
      </c>
      <c r="D255">
        <v>0</v>
      </c>
      <c r="E255">
        <v>0</v>
      </c>
    </row>
    <row r="256" spans="1:5" x14ac:dyDescent="0.25">
      <c r="A256">
        <v>0</v>
      </c>
      <c r="B256">
        <v>0</v>
      </c>
      <c r="C256">
        <v>0</v>
      </c>
      <c r="D256">
        <v>0</v>
      </c>
      <c r="E256">
        <v>0</v>
      </c>
    </row>
    <row r="257" spans="1:5" x14ac:dyDescent="0.25">
      <c r="A257">
        <v>0</v>
      </c>
      <c r="B257">
        <v>0</v>
      </c>
      <c r="C257">
        <v>0</v>
      </c>
      <c r="D257">
        <v>0</v>
      </c>
      <c r="E257">
        <v>0</v>
      </c>
    </row>
    <row r="258" spans="1:5" x14ac:dyDescent="0.25">
      <c r="A258">
        <v>0</v>
      </c>
      <c r="B258">
        <v>0</v>
      </c>
      <c r="C258">
        <v>0</v>
      </c>
      <c r="D258">
        <v>0</v>
      </c>
      <c r="E258">
        <v>0</v>
      </c>
    </row>
    <row r="259" spans="1:5" x14ac:dyDescent="0.25">
      <c r="A259">
        <v>0</v>
      </c>
      <c r="B259">
        <v>0</v>
      </c>
      <c r="C259">
        <v>0</v>
      </c>
      <c r="D259">
        <v>0</v>
      </c>
      <c r="E259">
        <v>0</v>
      </c>
    </row>
    <row r="260" spans="1:5" x14ac:dyDescent="0.25">
      <c r="A260">
        <v>0</v>
      </c>
      <c r="B260">
        <v>0</v>
      </c>
      <c r="C260">
        <v>0</v>
      </c>
      <c r="D260">
        <v>0</v>
      </c>
      <c r="E260">
        <v>0</v>
      </c>
    </row>
    <row r="261" spans="1:5" x14ac:dyDescent="0.25">
      <c r="A261">
        <v>0</v>
      </c>
      <c r="B261">
        <v>0</v>
      </c>
      <c r="C261">
        <v>0</v>
      </c>
      <c r="D261">
        <v>0</v>
      </c>
      <c r="E261">
        <v>0</v>
      </c>
    </row>
    <row r="262" spans="1:5" x14ac:dyDescent="0.25">
      <c r="A262">
        <v>0</v>
      </c>
      <c r="B262">
        <v>0</v>
      </c>
      <c r="C262">
        <v>0</v>
      </c>
      <c r="D262">
        <v>0</v>
      </c>
      <c r="E262">
        <v>0</v>
      </c>
    </row>
    <row r="263" spans="1:5" x14ac:dyDescent="0.25">
      <c r="A263">
        <v>0</v>
      </c>
      <c r="B263">
        <v>0</v>
      </c>
      <c r="C263">
        <v>0</v>
      </c>
      <c r="D263">
        <v>0</v>
      </c>
      <c r="E263">
        <v>0</v>
      </c>
    </row>
    <row r="264" spans="1:5" x14ac:dyDescent="0.25">
      <c r="A264">
        <v>0</v>
      </c>
      <c r="B264">
        <v>0</v>
      </c>
      <c r="C264">
        <v>0</v>
      </c>
      <c r="D264">
        <v>0</v>
      </c>
      <c r="E264">
        <v>0</v>
      </c>
    </row>
    <row r="265" spans="1:5" x14ac:dyDescent="0.25">
      <c r="A265">
        <v>0</v>
      </c>
      <c r="B265">
        <v>0</v>
      </c>
      <c r="C265">
        <v>0</v>
      </c>
      <c r="D265">
        <v>0</v>
      </c>
      <c r="E265">
        <v>0</v>
      </c>
    </row>
    <row r="266" spans="1:5" x14ac:dyDescent="0.25">
      <c r="A266">
        <v>0</v>
      </c>
      <c r="B266">
        <v>0</v>
      </c>
      <c r="C266">
        <v>0</v>
      </c>
      <c r="D266">
        <v>0</v>
      </c>
      <c r="E266">
        <v>0</v>
      </c>
    </row>
    <row r="267" spans="1:5" x14ac:dyDescent="0.25">
      <c r="A267">
        <v>0</v>
      </c>
      <c r="B267">
        <v>0</v>
      </c>
      <c r="C267">
        <v>0</v>
      </c>
      <c r="D267">
        <v>0</v>
      </c>
      <c r="E267">
        <v>0</v>
      </c>
    </row>
    <row r="268" spans="1:5" x14ac:dyDescent="0.25">
      <c r="A268">
        <v>0</v>
      </c>
      <c r="B268">
        <v>0</v>
      </c>
      <c r="C268">
        <v>0</v>
      </c>
      <c r="D268">
        <v>0</v>
      </c>
      <c r="E268">
        <v>0</v>
      </c>
    </row>
    <row r="269" spans="1:5" x14ac:dyDescent="0.25">
      <c r="A269">
        <v>0</v>
      </c>
      <c r="B269">
        <v>0</v>
      </c>
      <c r="C269">
        <v>0</v>
      </c>
      <c r="D269">
        <v>0</v>
      </c>
      <c r="E269">
        <v>0</v>
      </c>
    </row>
    <row r="270" spans="1:5" x14ac:dyDescent="0.25">
      <c r="A270">
        <v>0</v>
      </c>
      <c r="B270">
        <v>0</v>
      </c>
      <c r="C270">
        <v>0</v>
      </c>
      <c r="D270">
        <v>0</v>
      </c>
      <c r="E270">
        <v>0</v>
      </c>
    </row>
    <row r="271" spans="1:5" x14ac:dyDescent="0.25">
      <c r="A271">
        <v>0</v>
      </c>
      <c r="B271">
        <v>0</v>
      </c>
      <c r="C271">
        <v>0</v>
      </c>
      <c r="D271">
        <v>0</v>
      </c>
      <c r="E271">
        <v>0</v>
      </c>
    </row>
    <row r="272" spans="1:5" x14ac:dyDescent="0.25">
      <c r="A272">
        <v>0</v>
      </c>
      <c r="B272">
        <v>0</v>
      </c>
      <c r="C272">
        <v>0</v>
      </c>
      <c r="D272">
        <v>0</v>
      </c>
      <c r="E272">
        <v>0</v>
      </c>
    </row>
    <row r="273" spans="1:5" x14ac:dyDescent="0.25">
      <c r="A273">
        <v>0</v>
      </c>
      <c r="B273">
        <v>0</v>
      </c>
      <c r="C273">
        <v>0</v>
      </c>
      <c r="D273">
        <v>0</v>
      </c>
      <c r="E273">
        <v>0</v>
      </c>
    </row>
    <row r="274" spans="1:5" x14ac:dyDescent="0.25">
      <c r="A274">
        <v>0</v>
      </c>
      <c r="B274">
        <v>0</v>
      </c>
      <c r="C274">
        <v>0</v>
      </c>
      <c r="D274">
        <v>0</v>
      </c>
      <c r="E274">
        <v>0</v>
      </c>
    </row>
    <row r="275" spans="1:5" x14ac:dyDescent="0.25">
      <c r="A275">
        <v>0</v>
      </c>
      <c r="B275">
        <v>0</v>
      </c>
      <c r="C275">
        <v>0</v>
      </c>
      <c r="D275">
        <v>0</v>
      </c>
      <c r="E275">
        <v>0</v>
      </c>
    </row>
    <row r="276" spans="1:5" x14ac:dyDescent="0.25">
      <c r="A276">
        <v>0</v>
      </c>
      <c r="B276">
        <v>0</v>
      </c>
      <c r="C276">
        <v>0</v>
      </c>
      <c r="D276">
        <v>0</v>
      </c>
      <c r="E276">
        <v>0</v>
      </c>
    </row>
    <row r="277" spans="1:5" x14ac:dyDescent="0.25">
      <c r="A277">
        <v>0</v>
      </c>
      <c r="B277">
        <v>0</v>
      </c>
      <c r="C277">
        <v>0</v>
      </c>
      <c r="D277">
        <v>0</v>
      </c>
      <c r="E277">
        <v>0</v>
      </c>
    </row>
    <row r="278" spans="1:5" x14ac:dyDescent="0.25">
      <c r="A278">
        <v>0</v>
      </c>
      <c r="B278">
        <v>0</v>
      </c>
      <c r="C278">
        <v>0</v>
      </c>
      <c r="D278">
        <v>0</v>
      </c>
      <c r="E278">
        <v>0</v>
      </c>
    </row>
    <row r="279" spans="1:5" x14ac:dyDescent="0.25">
      <c r="A279">
        <v>0</v>
      </c>
      <c r="B279">
        <v>0</v>
      </c>
      <c r="C279">
        <v>0</v>
      </c>
      <c r="D279">
        <v>0</v>
      </c>
      <c r="E279">
        <v>0</v>
      </c>
    </row>
    <row r="280" spans="1:5" x14ac:dyDescent="0.25">
      <c r="A280">
        <v>0</v>
      </c>
      <c r="B280">
        <v>0</v>
      </c>
      <c r="C280">
        <v>0</v>
      </c>
      <c r="D280">
        <v>0</v>
      </c>
      <c r="E280">
        <v>0</v>
      </c>
    </row>
    <row r="281" spans="1:5" x14ac:dyDescent="0.25">
      <c r="A281">
        <v>0</v>
      </c>
      <c r="B281">
        <v>0</v>
      </c>
      <c r="C281">
        <v>0</v>
      </c>
      <c r="D281">
        <v>0</v>
      </c>
      <c r="E281">
        <v>0</v>
      </c>
    </row>
    <row r="282" spans="1:5" x14ac:dyDescent="0.25">
      <c r="A282">
        <v>0</v>
      </c>
      <c r="B282">
        <v>0</v>
      </c>
      <c r="C282">
        <v>0</v>
      </c>
      <c r="D282">
        <v>0</v>
      </c>
      <c r="E282">
        <v>0</v>
      </c>
    </row>
    <row r="283" spans="1:5" x14ac:dyDescent="0.25">
      <c r="A283">
        <v>0</v>
      </c>
      <c r="B283">
        <v>0</v>
      </c>
      <c r="C283">
        <v>0</v>
      </c>
      <c r="D283">
        <v>0</v>
      </c>
      <c r="E283">
        <v>0</v>
      </c>
    </row>
    <row r="284" spans="1:5" x14ac:dyDescent="0.25">
      <c r="A284">
        <v>0</v>
      </c>
      <c r="B284">
        <v>0</v>
      </c>
      <c r="C284">
        <v>0</v>
      </c>
      <c r="D284">
        <v>0</v>
      </c>
      <c r="E284">
        <v>0</v>
      </c>
    </row>
    <row r="285" spans="1:5" x14ac:dyDescent="0.25">
      <c r="A285">
        <v>0</v>
      </c>
      <c r="B285">
        <v>0</v>
      </c>
      <c r="C285">
        <v>0</v>
      </c>
      <c r="D285">
        <v>0</v>
      </c>
      <c r="E285">
        <v>0</v>
      </c>
    </row>
    <row r="286" spans="1:5" x14ac:dyDescent="0.25">
      <c r="A286">
        <v>0</v>
      </c>
      <c r="B286">
        <v>0</v>
      </c>
      <c r="C286">
        <v>0</v>
      </c>
      <c r="D286">
        <v>0</v>
      </c>
      <c r="E286">
        <v>0</v>
      </c>
    </row>
    <row r="287" spans="1:5" x14ac:dyDescent="0.25">
      <c r="A287">
        <v>0</v>
      </c>
      <c r="B287">
        <v>0</v>
      </c>
      <c r="C287">
        <v>0</v>
      </c>
      <c r="D287">
        <v>0</v>
      </c>
      <c r="E287">
        <v>0</v>
      </c>
    </row>
    <row r="288" spans="1:5" x14ac:dyDescent="0.25">
      <c r="A288">
        <v>0</v>
      </c>
      <c r="B288">
        <v>0</v>
      </c>
      <c r="C288">
        <v>0</v>
      </c>
      <c r="D288">
        <v>0</v>
      </c>
      <c r="E288">
        <v>0</v>
      </c>
    </row>
    <row r="289" spans="1:5" x14ac:dyDescent="0.25">
      <c r="A289">
        <v>0</v>
      </c>
      <c r="B289">
        <v>0</v>
      </c>
      <c r="C289">
        <v>0</v>
      </c>
      <c r="D289">
        <v>0</v>
      </c>
      <c r="E289">
        <v>0</v>
      </c>
    </row>
    <row r="290" spans="1:5" x14ac:dyDescent="0.25">
      <c r="A290">
        <v>0</v>
      </c>
      <c r="B290">
        <v>0</v>
      </c>
      <c r="C290">
        <v>0</v>
      </c>
      <c r="D290">
        <v>0</v>
      </c>
      <c r="E290">
        <v>0</v>
      </c>
    </row>
    <row r="291" spans="1:5" x14ac:dyDescent="0.25">
      <c r="A291">
        <v>0</v>
      </c>
      <c r="B291">
        <v>0</v>
      </c>
      <c r="C291">
        <v>0</v>
      </c>
      <c r="D291">
        <v>0</v>
      </c>
      <c r="E291">
        <v>0</v>
      </c>
    </row>
    <row r="292" spans="1:5" x14ac:dyDescent="0.25">
      <c r="A292">
        <v>0</v>
      </c>
      <c r="B292">
        <v>0</v>
      </c>
      <c r="C292">
        <v>0</v>
      </c>
      <c r="D292">
        <v>0</v>
      </c>
      <c r="E292">
        <v>0</v>
      </c>
    </row>
    <row r="293" spans="1:5" x14ac:dyDescent="0.25">
      <c r="A293">
        <v>0</v>
      </c>
      <c r="B293">
        <v>0</v>
      </c>
      <c r="C293">
        <v>0</v>
      </c>
      <c r="D293">
        <v>0</v>
      </c>
      <c r="E293">
        <v>0</v>
      </c>
    </row>
    <row r="294" spans="1:5" x14ac:dyDescent="0.25">
      <c r="A294">
        <v>0</v>
      </c>
      <c r="B294">
        <v>0</v>
      </c>
      <c r="C294">
        <v>0</v>
      </c>
      <c r="D294">
        <v>0</v>
      </c>
      <c r="E294">
        <v>0</v>
      </c>
    </row>
    <row r="295" spans="1:5" x14ac:dyDescent="0.25">
      <c r="A295">
        <v>0</v>
      </c>
      <c r="B295">
        <v>0</v>
      </c>
      <c r="C295">
        <v>0</v>
      </c>
      <c r="D295">
        <v>0</v>
      </c>
      <c r="E295">
        <v>0</v>
      </c>
    </row>
    <row r="296" spans="1:5" x14ac:dyDescent="0.25">
      <c r="A296">
        <v>0</v>
      </c>
      <c r="B296">
        <v>0</v>
      </c>
      <c r="C296">
        <v>0</v>
      </c>
      <c r="D296">
        <v>0</v>
      </c>
      <c r="E296">
        <v>0</v>
      </c>
    </row>
    <row r="297" spans="1:5" x14ac:dyDescent="0.25">
      <c r="A297">
        <v>0</v>
      </c>
      <c r="B297">
        <v>0</v>
      </c>
      <c r="C297">
        <v>0</v>
      </c>
      <c r="D297">
        <v>0</v>
      </c>
      <c r="E297">
        <v>0</v>
      </c>
    </row>
    <row r="298" spans="1:5" x14ac:dyDescent="0.25">
      <c r="A298">
        <v>0</v>
      </c>
      <c r="B298">
        <v>0</v>
      </c>
      <c r="C298">
        <v>0</v>
      </c>
      <c r="D298">
        <v>0</v>
      </c>
      <c r="E298">
        <v>0</v>
      </c>
    </row>
    <row r="299" spans="1:5" x14ac:dyDescent="0.25">
      <c r="A299">
        <v>0</v>
      </c>
      <c r="B299">
        <v>0</v>
      </c>
      <c r="C299">
        <v>0</v>
      </c>
      <c r="D299">
        <v>0</v>
      </c>
      <c r="E299">
        <v>0</v>
      </c>
    </row>
    <row r="300" spans="1:5" x14ac:dyDescent="0.25">
      <c r="A300">
        <v>0</v>
      </c>
      <c r="B300">
        <v>0</v>
      </c>
      <c r="C300">
        <v>0</v>
      </c>
      <c r="D300">
        <v>0</v>
      </c>
      <c r="E300">
        <v>0</v>
      </c>
    </row>
    <row r="301" spans="1:5" x14ac:dyDescent="0.25">
      <c r="A301">
        <v>0</v>
      </c>
      <c r="B301">
        <v>0</v>
      </c>
      <c r="C301">
        <v>0</v>
      </c>
      <c r="D301">
        <v>0</v>
      </c>
      <c r="E301">
        <v>0</v>
      </c>
    </row>
    <row r="302" spans="1:5" x14ac:dyDescent="0.25">
      <c r="A302">
        <v>0</v>
      </c>
      <c r="B302">
        <v>0</v>
      </c>
      <c r="C302">
        <v>0</v>
      </c>
      <c r="D302">
        <v>0</v>
      </c>
      <c r="E302">
        <v>0</v>
      </c>
    </row>
    <row r="303" spans="1:5" x14ac:dyDescent="0.25">
      <c r="A303">
        <v>0</v>
      </c>
      <c r="B303">
        <v>0</v>
      </c>
      <c r="C303">
        <v>0</v>
      </c>
      <c r="D303">
        <v>0</v>
      </c>
      <c r="E303">
        <v>0</v>
      </c>
    </row>
    <row r="304" spans="1:5" x14ac:dyDescent="0.25">
      <c r="A304">
        <v>0</v>
      </c>
      <c r="B304">
        <v>0</v>
      </c>
      <c r="C304">
        <v>0</v>
      </c>
      <c r="D304">
        <v>0</v>
      </c>
      <c r="E304">
        <v>0</v>
      </c>
    </row>
    <row r="305" spans="1:5" x14ac:dyDescent="0.25">
      <c r="A305">
        <v>0</v>
      </c>
      <c r="B305">
        <v>0</v>
      </c>
      <c r="C305">
        <v>0</v>
      </c>
      <c r="D305">
        <v>0</v>
      </c>
      <c r="E305">
        <v>0</v>
      </c>
    </row>
    <row r="306" spans="1:5" x14ac:dyDescent="0.25">
      <c r="A306">
        <v>0</v>
      </c>
      <c r="B306">
        <v>0</v>
      </c>
      <c r="C306">
        <v>0</v>
      </c>
      <c r="D306">
        <v>0</v>
      </c>
      <c r="E306">
        <v>0</v>
      </c>
    </row>
    <row r="307" spans="1:5" x14ac:dyDescent="0.25">
      <c r="A307">
        <v>0</v>
      </c>
      <c r="B307">
        <v>0</v>
      </c>
      <c r="C307">
        <v>0</v>
      </c>
      <c r="D307">
        <v>0</v>
      </c>
      <c r="E307">
        <v>0</v>
      </c>
    </row>
    <row r="308" spans="1:5" x14ac:dyDescent="0.25">
      <c r="A308">
        <v>0</v>
      </c>
      <c r="B308">
        <v>0</v>
      </c>
      <c r="C308">
        <v>0</v>
      </c>
      <c r="D308">
        <v>0</v>
      </c>
      <c r="E308">
        <v>0</v>
      </c>
    </row>
    <row r="309" spans="1:5" x14ac:dyDescent="0.25">
      <c r="A309">
        <v>0</v>
      </c>
      <c r="B309">
        <v>0</v>
      </c>
      <c r="C309">
        <v>0</v>
      </c>
      <c r="D309">
        <v>0</v>
      </c>
      <c r="E309">
        <v>0</v>
      </c>
    </row>
    <row r="310" spans="1:5" x14ac:dyDescent="0.25">
      <c r="A310">
        <v>0</v>
      </c>
      <c r="B310">
        <v>0</v>
      </c>
      <c r="C310">
        <v>0</v>
      </c>
      <c r="D310">
        <v>0</v>
      </c>
      <c r="E310">
        <v>0</v>
      </c>
    </row>
    <row r="311" spans="1:5" x14ac:dyDescent="0.25">
      <c r="A311">
        <v>0</v>
      </c>
      <c r="B311">
        <v>0</v>
      </c>
      <c r="C311">
        <v>0</v>
      </c>
      <c r="D311">
        <v>0</v>
      </c>
      <c r="E311">
        <v>0</v>
      </c>
    </row>
    <row r="312" spans="1:5" x14ac:dyDescent="0.25">
      <c r="A312">
        <v>0</v>
      </c>
      <c r="B312">
        <v>0</v>
      </c>
      <c r="C312">
        <v>0</v>
      </c>
      <c r="D312">
        <v>0</v>
      </c>
      <c r="E312">
        <v>0</v>
      </c>
    </row>
    <row r="313" spans="1:5" x14ac:dyDescent="0.25">
      <c r="A313">
        <v>0</v>
      </c>
      <c r="B313">
        <v>0</v>
      </c>
      <c r="C313">
        <v>0</v>
      </c>
      <c r="D313">
        <v>0</v>
      </c>
      <c r="E313">
        <v>0</v>
      </c>
    </row>
    <row r="314" spans="1:5" x14ac:dyDescent="0.25">
      <c r="A314">
        <v>0</v>
      </c>
      <c r="B314">
        <v>0</v>
      </c>
      <c r="C314">
        <v>0</v>
      </c>
      <c r="D314">
        <v>0</v>
      </c>
      <c r="E314">
        <v>0</v>
      </c>
    </row>
    <row r="315" spans="1:5" x14ac:dyDescent="0.25">
      <c r="A315">
        <v>0</v>
      </c>
      <c r="B315">
        <v>0</v>
      </c>
      <c r="C315">
        <v>0</v>
      </c>
      <c r="D315">
        <v>0</v>
      </c>
      <c r="E315">
        <v>0</v>
      </c>
    </row>
    <row r="316" spans="1:5" x14ac:dyDescent="0.25">
      <c r="A316">
        <v>0</v>
      </c>
      <c r="B316">
        <v>0</v>
      </c>
      <c r="C316">
        <v>0</v>
      </c>
      <c r="D316">
        <v>0</v>
      </c>
      <c r="E316">
        <v>0</v>
      </c>
    </row>
    <row r="317" spans="1:5" x14ac:dyDescent="0.25">
      <c r="A317">
        <v>0</v>
      </c>
      <c r="B317">
        <v>0</v>
      </c>
      <c r="C317">
        <v>0</v>
      </c>
      <c r="D317">
        <v>0</v>
      </c>
      <c r="E317">
        <v>0</v>
      </c>
    </row>
    <row r="318" spans="1:5" x14ac:dyDescent="0.25">
      <c r="A318">
        <v>0</v>
      </c>
      <c r="B318">
        <v>0</v>
      </c>
      <c r="C318">
        <v>0</v>
      </c>
      <c r="D318">
        <v>0</v>
      </c>
      <c r="E318">
        <v>0</v>
      </c>
    </row>
    <row r="319" spans="1:5" x14ac:dyDescent="0.25">
      <c r="A319">
        <v>0</v>
      </c>
      <c r="B319">
        <v>0</v>
      </c>
      <c r="C319">
        <v>0</v>
      </c>
      <c r="D319">
        <v>0</v>
      </c>
      <c r="E319">
        <v>0</v>
      </c>
    </row>
    <row r="320" spans="1:5" x14ac:dyDescent="0.25">
      <c r="A320">
        <v>0</v>
      </c>
      <c r="B320">
        <v>0</v>
      </c>
      <c r="C320">
        <v>0</v>
      </c>
      <c r="D320">
        <v>0</v>
      </c>
      <c r="E320">
        <v>0</v>
      </c>
    </row>
    <row r="321" spans="1:5" x14ac:dyDescent="0.25">
      <c r="A321">
        <v>0</v>
      </c>
      <c r="B321">
        <v>0</v>
      </c>
      <c r="C321">
        <v>0</v>
      </c>
      <c r="D321">
        <v>0</v>
      </c>
      <c r="E321">
        <v>0</v>
      </c>
    </row>
    <row r="322" spans="1:5" x14ac:dyDescent="0.25">
      <c r="A322">
        <v>0</v>
      </c>
      <c r="B322">
        <v>0</v>
      </c>
      <c r="C322">
        <v>0</v>
      </c>
      <c r="D322">
        <v>0</v>
      </c>
      <c r="E322">
        <v>0</v>
      </c>
    </row>
    <row r="323" spans="1:5" x14ac:dyDescent="0.25">
      <c r="A323">
        <v>0</v>
      </c>
      <c r="B323">
        <v>0</v>
      </c>
      <c r="C323">
        <v>0</v>
      </c>
      <c r="D323">
        <v>0</v>
      </c>
      <c r="E323">
        <v>0</v>
      </c>
    </row>
    <row r="324" spans="1:5" x14ac:dyDescent="0.25">
      <c r="A324">
        <v>0</v>
      </c>
      <c r="B324">
        <v>0</v>
      </c>
      <c r="C324">
        <v>0</v>
      </c>
      <c r="D324">
        <v>0</v>
      </c>
      <c r="E324">
        <v>0</v>
      </c>
    </row>
    <row r="325" spans="1:5" x14ac:dyDescent="0.25">
      <c r="A325">
        <v>0</v>
      </c>
      <c r="B325">
        <v>0</v>
      </c>
      <c r="C325">
        <v>0</v>
      </c>
      <c r="D325">
        <v>0</v>
      </c>
      <c r="E325">
        <v>0</v>
      </c>
    </row>
    <row r="326" spans="1:5" x14ac:dyDescent="0.25">
      <c r="A326">
        <v>0</v>
      </c>
      <c r="B326">
        <v>0</v>
      </c>
      <c r="C326">
        <v>0</v>
      </c>
      <c r="D326">
        <v>0</v>
      </c>
      <c r="E326">
        <v>0</v>
      </c>
    </row>
    <row r="327" spans="1:5" x14ac:dyDescent="0.25">
      <c r="A327">
        <v>0</v>
      </c>
      <c r="B327">
        <v>0</v>
      </c>
      <c r="C327">
        <v>0</v>
      </c>
      <c r="D327">
        <v>0</v>
      </c>
      <c r="E327">
        <v>0</v>
      </c>
    </row>
    <row r="328" spans="1:5" x14ac:dyDescent="0.25">
      <c r="A328">
        <v>0</v>
      </c>
      <c r="B328">
        <v>0</v>
      </c>
      <c r="C328">
        <v>0</v>
      </c>
      <c r="D328">
        <v>0</v>
      </c>
      <c r="E328">
        <v>0</v>
      </c>
    </row>
    <row r="329" spans="1:5" x14ac:dyDescent="0.25">
      <c r="A329">
        <v>0</v>
      </c>
      <c r="B329">
        <v>0</v>
      </c>
      <c r="C329">
        <v>0</v>
      </c>
      <c r="D329">
        <v>0</v>
      </c>
      <c r="E329">
        <v>0</v>
      </c>
    </row>
    <row r="330" spans="1:5" x14ac:dyDescent="0.25">
      <c r="A330">
        <v>0</v>
      </c>
      <c r="B330">
        <v>0</v>
      </c>
      <c r="C330">
        <v>0</v>
      </c>
      <c r="D330">
        <v>0</v>
      </c>
      <c r="E330">
        <v>0</v>
      </c>
    </row>
    <row r="331" spans="1:5" x14ac:dyDescent="0.25">
      <c r="A331">
        <v>0</v>
      </c>
      <c r="B331">
        <v>0</v>
      </c>
      <c r="C331">
        <v>0</v>
      </c>
      <c r="D331">
        <v>0</v>
      </c>
      <c r="E331">
        <v>0</v>
      </c>
    </row>
    <row r="332" spans="1:5" x14ac:dyDescent="0.25">
      <c r="A332">
        <v>0</v>
      </c>
      <c r="B332">
        <v>0</v>
      </c>
      <c r="C332">
        <v>0</v>
      </c>
      <c r="D332">
        <v>0</v>
      </c>
      <c r="E332">
        <v>0</v>
      </c>
    </row>
    <row r="333" spans="1:5" x14ac:dyDescent="0.25">
      <c r="A333">
        <v>0</v>
      </c>
      <c r="B333">
        <v>0</v>
      </c>
      <c r="C333">
        <v>0</v>
      </c>
      <c r="D333">
        <v>0</v>
      </c>
      <c r="E333">
        <v>0</v>
      </c>
    </row>
    <row r="334" spans="1:5" x14ac:dyDescent="0.25">
      <c r="A334">
        <v>0</v>
      </c>
      <c r="B334">
        <v>0</v>
      </c>
      <c r="C334">
        <v>0</v>
      </c>
      <c r="D334">
        <v>0</v>
      </c>
      <c r="E334">
        <v>0</v>
      </c>
    </row>
    <row r="335" spans="1:5" x14ac:dyDescent="0.25">
      <c r="A335">
        <v>0</v>
      </c>
      <c r="B335">
        <v>0</v>
      </c>
      <c r="C335">
        <v>0</v>
      </c>
      <c r="D335">
        <v>0</v>
      </c>
      <c r="E335">
        <v>0</v>
      </c>
    </row>
    <row r="336" spans="1:5" x14ac:dyDescent="0.25">
      <c r="A336">
        <v>0</v>
      </c>
      <c r="B336">
        <v>0</v>
      </c>
      <c r="C336">
        <v>0</v>
      </c>
      <c r="D336">
        <v>0</v>
      </c>
      <c r="E336">
        <v>0</v>
      </c>
    </row>
    <row r="337" spans="1:5" x14ac:dyDescent="0.25">
      <c r="A337">
        <v>0</v>
      </c>
      <c r="B337">
        <v>0</v>
      </c>
      <c r="C337">
        <v>0</v>
      </c>
      <c r="D337">
        <v>0</v>
      </c>
      <c r="E337">
        <v>0</v>
      </c>
    </row>
    <row r="338" spans="1:5" x14ac:dyDescent="0.25">
      <c r="A338">
        <v>0</v>
      </c>
      <c r="B338">
        <v>0</v>
      </c>
      <c r="C338">
        <v>0</v>
      </c>
      <c r="D338">
        <v>0</v>
      </c>
      <c r="E338">
        <v>0</v>
      </c>
    </row>
    <row r="339" spans="1:5" x14ac:dyDescent="0.25">
      <c r="A339">
        <v>0</v>
      </c>
      <c r="B339">
        <v>0</v>
      </c>
      <c r="C339">
        <v>0</v>
      </c>
      <c r="D339">
        <v>0</v>
      </c>
      <c r="E339">
        <v>0</v>
      </c>
    </row>
    <row r="340" spans="1:5" x14ac:dyDescent="0.25">
      <c r="A340">
        <v>0</v>
      </c>
      <c r="B340">
        <v>0</v>
      </c>
      <c r="C340">
        <v>0</v>
      </c>
      <c r="D340">
        <v>0</v>
      </c>
      <c r="E340">
        <v>0</v>
      </c>
    </row>
    <row r="341" spans="1:5" x14ac:dyDescent="0.25">
      <c r="A341">
        <v>0</v>
      </c>
      <c r="B341">
        <v>0</v>
      </c>
      <c r="C341">
        <v>0</v>
      </c>
      <c r="D341">
        <v>0</v>
      </c>
      <c r="E341">
        <v>0</v>
      </c>
    </row>
    <row r="342" spans="1:5" x14ac:dyDescent="0.25">
      <c r="A342">
        <v>0</v>
      </c>
      <c r="B342">
        <v>0</v>
      </c>
      <c r="C342">
        <v>0</v>
      </c>
      <c r="D342">
        <v>0</v>
      </c>
      <c r="E342">
        <v>0</v>
      </c>
    </row>
    <row r="343" spans="1:5" x14ac:dyDescent="0.25">
      <c r="A343">
        <v>0</v>
      </c>
      <c r="B343">
        <v>0</v>
      </c>
      <c r="C343">
        <v>0</v>
      </c>
      <c r="D343">
        <v>0</v>
      </c>
      <c r="E343">
        <v>0</v>
      </c>
    </row>
    <row r="344" spans="1:5" x14ac:dyDescent="0.25">
      <c r="A344">
        <v>0</v>
      </c>
      <c r="B344">
        <v>0</v>
      </c>
      <c r="C344">
        <v>0</v>
      </c>
      <c r="D344">
        <v>0</v>
      </c>
      <c r="E344">
        <v>0</v>
      </c>
    </row>
    <row r="345" spans="1:5" x14ac:dyDescent="0.25">
      <c r="A345">
        <v>0</v>
      </c>
      <c r="B345">
        <v>0</v>
      </c>
      <c r="C345">
        <v>0</v>
      </c>
      <c r="D345">
        <v>0</v>
      </c>
      <c r="E345">
        <v>0</v>
      </c>
    </row>
    <row r="346" spans="1:5" x14ac:dyDescent="0.25">
      <c r="A346">
        <v>0</v>
      </c>
      <c r="B346">
        <v>0</v>
      </c>
      <c r="C346">
        <v>0</v>
      </c>
      <c r="D346">
        <v>0</v>
      </c>
      <c r="E346">
        <v>0</v>
      </c>
    </row>
    <row r="347" spans="1:5" x14ac:dyDescent="0.25">
      <c r="A347">
        <v>0</v>
      </c>
      <c r="B347">
        <v>0</v>
      </c>
      <c r="C347">
        <v>0</v>
      </c>
      <c r="D347">
        <v>0</v>
      </c>
      <c r="E347">
        <v>0</v>
      </c>
    </row>
    <row r="348" spans="1:5" x14ac:dyDescent="0.25">
      <c r="A348">
        <v>0</v>
      </c>
      <c r="B348">
        <v>0</v>
      </c>
      <c r="C348">
        <v>0</v>
      </c>
      <c r="D348">
        <v>0</v>
      </c>
      <c r="E348">
        <v>0</v>
      </c>
    </row>
    <row r="349" spans="1:5" x14ac:dyDescent="0.25">
      <c r="A349">
        <v>0</v>
      </c>
      <c r="B349">
        <v>0</v>
      </c>
      <c r="C349">
        <v>0</v>
      </c>
      <c r="D349">
        <v>0</v>
      </c>
      <c r="E349">
        <v>0</v>
      </c>
    </row>
    <row r="350" spans="1:5" x14ac:dyDescent="0.25">
      <c r="A350">
        <v>0</v>
      </c>
      <c r="B350">
        <v>0</v>
      </c>
      <c r="C350">
        <v>0</v>
      </c>
      <c r="D350">
        <v>0</v>
      </c>
      <c r="E350">
        <v>0</v>
      </c>
    </row>
    <row r="351" spans="1:5" x14ac:dyDescent="0.25">
      <c r="A351">
        <v>0</v>
      </c>
      <c r="B351">
        <v>0</v>
      </c>
      <c r="C351">
        <v>0</v>
      </c>
      <c r="D351">
        <v>0</v>
      </c>
      <c r="E351">
        <v>0</v>
      </c>
    </row>
    <row r="352" spans="1:5" x14ac:dyDescent="0.25">
      <c r="A352">
        <v>0</v>
      </c>
      <c r="B352">
        <v>0</v>
      </c>
      <c r="C352">
        <v>0</v>
      </c>
      <c r="D352">
        <v>0</v>
      </c>
      <c r="E352">
        <v>0</v>
      </c>
    </row>
    <row r="353" spans="1:5" x14ac:dyDescent="0.25">
      <c r="A353">
        <v>0</v>
      </c>
      <c r="B353">
        <v>0</v>
      </c>
      <c r="C353">
        <v>0</v>
      </c>
      <c r="D353">
        <v>0</v>
      </c>
      <c r="E353">
        <v>0</v>
      </c>
    </row>
    <row r="354" spans="1:5" x14ac:dyDescent="0.25">
      <c r="A354">
        <v>0</v>
      </c>
      <c r="B354">
        <v>0</v>
      </c>
      <c r="C354">
        <v>0</v>
      </c>
      <c r="D354">
        <v>0</v>
      </c>
      <c r="E354">
        <v>0</v>
      </c>
    </row>
    <row r="355" spans="1:5" x14ac:dyDescent="0.25">
      <c r="A355">
        <v>0</v>
      </c>
      <c r="B355">
        <v>0</v>
      </c>
      <c r="C355">
        <v>0</v>
      </c>
      <c r="D355">
        <v>0</v>
      </c>
      <c r="E355">
        <v>0</v>
      </c>
    </row>
    <row r="356" spans="1:5" x14ac:dyDescent="0.25">
      <c r="A356">
        <v>0</v>
      </c>
      <c r="B356">
        <v>0</v>
      </c>
      <c r="C356">
        <v>0</v>
      </c>
      <c r="D356">
        <v>0</v>
      </c>
      <c r="E356">
        <v>0</v>
      </c>
    </row>
    <row r="357" spans="1:5" x14ac:dyDescent="0.25">
      <c r="A357">
        <v>0</v>
      </c>
      <c r="B357">
        <v>0</v>
      </c>
      <c r="C357">
        <v>0</v>
      </c>
      <c r="D357">
        <v>0</v>
      </c>
      <c r="E357">
        <v>0</v>
      </c>
    </row>
    <row r="358" spans="1:5" x14ac:dyDescent="0.25">
      <c r="A358">
        <v>0</v>
      </c>
      <c r="B358">
        <v>0</v>
      </c>
      <c r="C358">
        <v>0</v>
      </c>
      <c r="D358">
        <v>0</v>
      </c>
      <c r="E358">
        <v>0</v>
      </c>
    </row>
    <row r="359" spans="1:5" x14ac:dyDescent="0.25">
      <c r="A359">
        <v>0</v>
      </c>
      <c r="B359">
        <v>0</v>
      </c>
      <c r="C359">
        <v>0</v>
      </c>
      <c r="D359">
        <v>0</v>
      </c>
      <c r="E359">
        <v>0</v>
      </c>
    </row>
    <row r="360" spans="1:5" x14ac:dyDescent="0.25">
      <c r="A360">
        <v>0</v>
      </c>
      <c r="B360">
        <v>0</v>
      </c>
      <c r="C360">
        <v>0</v>
      </c>
      <c r="D360">
        <v>0</v>
      </c>
      <c r="E360">
        <v>0</v>
      </c>
    </row>
    <row r="361" spans="1:5" x14ac:dyDescent="0.25">
      <c r="A361">
        <v>0</v>
      </c>
      <c r="B361">
        <v>0</v>
      </c>
      <c r="C361">
        <v>0</v>
      </c>
      <c r="D361">
        <v>0</v>
      </c>
      <c r="E361">
        <v>0</v>
      </c>
    </row>
    <row r="362" spans="1:5" x14ac:dyDescent="0.25">
      <c r="A362">
        <v>0</v>
      </c>
      <c r="B362">
        <v>0</v>
      </c>
      <c r="C362">
        <v>0</v>
      </c>
      <c r="D362">
        <v>0</v>
      </c>
      <c r="E362">
        <v>0</v>
      </c>
    </row>
    <row r="363" spans="1:5" x14ac:dyDescent="0.25">
      <c r="A363">
        <v>0</v>
      </c>
      <c r="B363">
        <v>0</v>
      </c>
      <c r="C363">
        <v>0</v>
      </c>
      <c r="D363">
        <v>0</v>
      </c>
      <c r="E363">
        <v>0</v>
      </c>
    </row>
    <row r="364" spans="1:5" x14ac:dyDescent="0.25">
      <c r="A364">
        <v>0</v>
      </c>
      <c r="B364">
        <v>0</v>
      </c>
      <c r="C364">
        <v>0</v>
      </c>
      <c r="D364">
        <v>0</v>
      </c>
      <c r="E364">
        <v>0</v>
      </c>
    </row>
    <row r="365" spans="1:5" x14ac:dyDescent="0.25">
      <c r="A365">
        <v>0</v>
      </c>
      <c r="B365">
        <v>0</v>
      </c>
      <c r="C365">
        <v>0</v>
      </c>
      <c r="D365">
        <v>0</v>
      </c>
      <c r="E365">
        <v>0</v>
      </c>
    </row>
    <row r="366" spans="1:5" x14ac:dyDescent="0.25">
      <c r="A366">
        <v>0</v>
      </c>
      <c r="B366">
        <v>0</v>
      </c>
      <c r="C366">
        <v>0</v>
      </c>
      <c r="D366">
        <v>0</v>
      </c>
      <c r="E366">
        <v>0</v>
      </c>
    </row>
    <row r="367" spans="1:5" x14ac:dyDescent="0.25">
      <c r="A367">
        <v>0</v>
      </c>
      <c r="B367">
        <v>0</v>
      </c>
      <c r="C367">
        <v>0</v>
      </c>
      <c r="D367">
        <v>0</v>
      </c>
      <c r="E367">
        <v>0</v>
      </c>
    </row>
    <row r="368" spans="1:5" x14ac:dyDescent="0.25">
      <c r="A368">
        <v>0</v>
      </c>
      <c r="B368">
        <v>0</v>
      </c>
      <c r="C368">
        <v>0</v>
      </c>
      <c r="D368">
        <v>0</v>
      </c>
      <c r="E368">
        <v>0</v>
      </c>
    </row>
    <row r="369" spans="1:5" x14ac:dyDescent="0.25">
      <c r="A369">
        <v>0</v>
      </c>
      <c r="B369">
        <v>0</v>
      </c>
      <c r="C369">
        <v>0</v>
      </c>
      <c r="D369">
        <v>0</v>
      </c>
      <c r="E369">
        <v>0</v>
      </c>
    </row>
    <row r="370" spans="1:5" x14ac:dyDescent="0.25">
      <c r="A370">
        <v>0</v>
      </c>
      <c r="B370">
        <v>0</v>
      </c>
      <c r="C370">
        <v>0</v>
      </c>
      <c r="D370">
        <v>0</v>
      </c>
      <c r="E370">
        <v>0</v>
      </c>
    </row>
    <row r="371" spans="1:5" x14ac:dyDescent="0.25">
      <c r="A371">
        <v>0</v>
      </c>
      <c r="B371">
        <v>0</v>
      </c>
      <c r="C371">
        <v>0</v>
      </c>
      <c r="D371">
        <v>0</v>
      </c>
      <c r="E371">
        <v>0</v>
      </c>
    </row>
    <row r="372" spans="1:5" x14ac:dyDescent="0.25">
      <c r="A372">
        <v>0</v>
      </c>
      <c r="B372">
        <v>0</v>
      </c>
      <c r="C372">
        <v>0</v>
      </c>
      <c r="D372">
        <v>0</v>
      </c>
      <c r="E372">
        <v>0</v>
      </c>
    </row>
    <row r="373" spans="1:5" x14ac:dyDescent="0.25">
      <c r="A373">
        <v>0</v>
      </c>
      <c r="B373">
        <v>0</v>
      </c>
      <c r="C373">
        <v>0</v>
      </c>
      <c r="D373">
        <v>0</v>
      </c>
      <c r="E373">
        <v>0</v>
      </c>
    </row>
    <row r="374" spans="1:5" x14ac:dyDescent="0.25">
      <c r="A374">
        <v>0</v>
      </c>
      <c r="B374">
        <v>0</v>
      </c>
      <c r="C374">
        <v>0</v>
      </c>
      <c r="D374">
        <v>0</v>
      </c>
      <c r="E374">
        <v>0</v>
      </c>
    </row>
    <row r="375" spans="1:5" x14ac:dyDescent="0.25">
      <c r="A375">
        <v>0</v>
      </c>
      <c r="B375">
        <v>0</v>
      </c>
      <c r="C375">
        <v>0</v>
      </c>
      <c r="D375">
        <v>0</v>
      </c>
      <c r="E375">
        <v>0</v>
      </c>
    </row>
    <row r="376" spans="1:5" x14ac:dyDescent="0.25">
      <c r="A376">
        <v>0</v>
      </c>
      <c r="B376">
        <v>0</v>
      </c>
      <c r="C376">
        <v>0</v>
      </c>
      <c r="D376">
        <v>0</v>
      </c>
      <c r="E376">
        <v>0</v>
      </c>
    </row>
    <row r="377" spans="1:5" x14ac:dyDescent="0.25">
      <c r="A377">
        <v>0</v>
      </c>
      <c r="B377">
        <v>0</v>
      </c>
      <c r="C377">
        <v>0</v>
      </c>
      <c r="D377">
        <v>0</v>
      </c>
      <c r="E377">
        <v>0</v>
      </c>
    </row>
    <row r="378" spans="1:5" x14ac:dyDescent="0.25">
      <c r="A378">
        <v>0</v>
      </c>
      <c r="B378">
        <v>0</v>
      </c>
      <c r="C378">
        <v>0</v>
      </c>
      <c r="D378">
        <v>0</v>
      </c>
      <c r="E378">
        <v>0</v>
      </c>
    </row>
    <row r="379" spans="1:5" x14ac:dyDescent="0.25">
      <c r="A379">
        <v>0</v>
      </c>
      <c r="B379">
        <v>0</v>
      </c>
      <c r="C379">
        <v>0</v>
      </c>
      <c r="D379">
        <v>0</v>
      </c>
      <c r="E379">
        <v>0</v>
      </c>
    </row>
    <row r="380" spans="1:5" x14ac:dyDescent="0.25">
      <c r="A380">
        <v>0</v>
      </c>
      <c r="B380">
        <v>0</v>
      </c>
      <c r="C380">
        <v>0</v>
      </c>
      <c r="D380">
        <v>0</v>
      </c>
      <c r="E380">
        <v>0</v>
      </c>
    </row>
    <row r="381" spans="1:5" x14ac:dyDescent="0.25">
      <c r="A381">
        <v>0</v>
      </c>
      <c r="B381">
        <v>0</v>
      </c>
      <c r="C381">
        <v>0</v>
      </c>
      <c r="D381">
        <v>0</v>
      </c>
      <c r="E381">
        <v>0</v>
      </c>
    </row>
    <row r="382" spans="1:5" x14ac:dyDescent="0.25">
      <c r="A382">
        <v>0</v>
      </c>
      <c r="B382">
        <v>0</v>
      </c>
      <c r="C382">
        <v>0</v>
      </c>
      <c r="D382">
        <v>0</v>
      </c>
      <c r="E382">
        <v>0</v>
      </c>
    </row>
    <row r="383" spans="1:5" x14ac:dyDescent="0.25">
      <c r="A383">
        <v>0</v>
      </c>
      <c r="B383">
        <v>0</v>
      </c>
      <c r="C383">
        <v>0</v>
      </c>
      <c r="D383">
        <v>0</v>
      </c>
      <c r="E383">
        <v>0</v>
      </c>
    </row>
    <row r="384" spans="1:5" x14ac:dyDescent="0.25">
      <c r="A384">
        <v>0</v>
      </c>
      <c r="B384">
        <v>0</v>
      </c>
      <c r="C384">
        <v>0</v>
      </c>
      <c r="D384">
        <v>0</v>
      </c>
      <c r="E384">
        <v>0</v>
      </c>
    </row>
    <row r="385" spans="1:5" x14ac:dyDescent="0.25">
      <c r="A385">
        <v>0</v>
      </c>
      <c r="B385">
        <v>0</v>
      </c>
      <c r="C385">
        <v>0</v>
      </c>
      <c r="D385">
        <v>0</v>
      </c>
      <c r="E385">
        <v>0</v>
      </c>
    </row>
    <row r="386" spans="1:5" x14ac:dyDescent="0.25">
      <c r="A386">
        <v>0</v>
      </c>
      <c r="B386">
        <v>0</v>
      </c>
      <c r="C386">
        <v>0</v>
      </c>
      <c r="D386">
        <v>0</v>
      </c>
      <c r="E386">
        <v>0</v>
      </c>
    </row>
    <row r="387" spans="1:5" x14ac:dyDescent="0.25">
      <c r="A387">
        <v>0</v>
      </c>
      <c r="B387">
        <v>0</v>
      </c>
      <c r="C387">
        <v>0</v>
      </c>
      <c r="D387">
        <v>0</v>
      </c>
      <c r="E387">
        <v>0</v>
      </c>
    </row>
    <row r="388" spans="1:5" x14ac:dyDescent="0.25">
      <c r="A388">
        <v>0</v>
      </c>
      <c r="B388">
        <v>0</v>
      </c>
      <c r="C388">
        <v>0</v>
      </c>
      <c r="D388">
        <v>0</v>
      </c>
      <c r="E388">
        <v>0</v>
      </c>
    </row>
    <row r="389" spans="1:5" x14ac:dyDescent="0.25">
      <c r="A389">
        <v>0</v>
      </c>
      <c r="B389">
        <v>0</v>
      </c>
      <c r="C389">
        <v>0</v>
      </c>
      <c r="D389">
        <v>0</v>
      </c>
      <c r="E389">
        <v>0</v>
      </c>
    </row>
    <row r="390" spans="1:5" x14ac:dyDescent="0.25">
      <c r="A390">
        <v>0</v>
      </c>
      <c r="B390">
        <v>0</v>
      </c>
      <c r="C390">
        <v>0</v>
      </c>
      <c r="D390">
        <v>0</v>
      </c>
      <c r="E390">
        <v>0</v>
      </c>
    </row>
    <row r="391" spans="1:5" x14ac:dyDescent="0.25">
      <c r="A391">
        <v>0</v>
      </c>
      <c r="B391">
        <v>0</v>
      </c>
      <c r="C391">
        <v>0</v>
      </c>
      <c r="D391">
        <v>0</v>
      </c>
      <c r="E391">
        <v>0</v>
      </c>
    </row>
    <row r="392" spans="1:5" x14ac:dyDescent="0.25">
      <c r="A392">
        <v>0</v>
      </c>
      <c r="B392">
        <v>0</v>
      </c>
      <c r="C392">
        <v>0</v>
      </c>
      <c r="D392">
        <v>0</v>
      </c>
      <c r="E392">
        <v>0</v>
      </c>
    </row>
    <row r="393" spans="1:5" x14ac:dyDescent="0.25">
      <c r="A393">
        <v>0</v>
      </c>
      <c r="B393">
        <v>0</v>
      </c>
      <c r="C393">
        <v>0</v>
      </c>
      <c r="D393">
        <v>0</v>
      </c>
      <c r="E393">
        <v>0</v>
      </c>
    </row>
    <row r="394" spans="1:5" x14ac:dyDescent="0.25">
      <c r="A394">
        <v>0</v>
      </c>
      <c r="B394">
        <v>0</v>
      </c>
      <c r="C394">
        <v>0</v>
      </c>
      <c r="D394">
        <v>0</v>
      </c>
      <c r="E394">
        <v>0</v>
      </c>
    </row>
    <row r="395" spans="1:5" x14ac:dyDescent="0.25">
      <c r="A395">
        <v>0</v>
      </c>
      <c r="B395">
        <v>0</v>
      </c>
      <c r="C395">
        <v>0</v>
      </c>
      <c r="D395">
        <v>0</v>
      </c>
      <c r="E395">
        <v>0</v>
      </c>
    </row>
    <row r="396" spans="1:5" x14ac:dyDescent="0.25">
      <c r="A396">
        <v>0</v>
      </c>
      <c r="B396">
        <v>0</v>
      </c>
      <c r="C396">
        <v>0</v>
      </c>
      <c r="D396">
        <v>0</v>
      </c>
      <c r="E396">
        <v>0</v>
      </c>
    </row>
    <row r="397" spans="1:5" x14ac:dyDescent="0.25">
      <c r="A397">
        <v>0</v>
      </c>
      <c r="B397">
        <v>0</v>
      </c>
      <c r="C397">
        <v>0</v>
      </c>
      <c r="D397">
        <v>0</v>
      </c>
      <c r="E397">
        <v>0</v>
      </c>
    </row>
    <row r="398" spans="1:5" x14ac:dyDescent="0.25">
      <c r="A398">
        <v>0</v>
      </c>
      <c r="B398">
        <v>0</v>
      </c>
      <c r="C398">
        <v>0</v>
      </c>
      <c r="D398">
        <v>0</v>
      </c>
      <c r="E398">
        <v>0</v>
      </c>
    </row>
    <row r="399" spans="1:5" x14ac:dyDescent="0.25">
      <c r="A399">
        <v>0</v>
      </c>
      <c r="B399">
        <v>0</v>
      </c>
      <c r="C399">
        <v>0</v>
      </c>
      <c r="D399">
        <v>0</v>
      </c>
      <c r="E399">
        <v>0</v>
      </c>
    </row>
    <row r="400" spans="1:5" x14ac:dyDescent="0.25">
      <c r="A400">
        <v>0</v>
      </c>
      <c r="B400">
        <v>0</v>
      </c>
      <c r="C400">
        <v>0</v>
      </c>
      <c r="D400">
        <v>0</v>
      </c>
      <c r="E400">
        <v>0</v>
      </c>
    </row>
    <row r="401" spans="1:5" x14ac:dyDescent="0.25">
      <c r="A401">
        <v>0</v>
      </c>
      <c r="B401">
        <v>0</v>
      </c>
      <c r="C401">
        <v>0</v>
      </c>
      <c r="D401">
        <v>0</v>
      </c>
      <c r="E401">
        <v>0</v>
      </c>
    </row>
    <row r="402" spans="1:5" x14ac:dyDescent="0.25">
      <c r="A402">
        <v>0</v>
      </c>
      <c r="B402">
        <v>0</v>
      </c>
      <c r="C402">
        <v>0</v>
      </c>
      <c r="D402">
        <v>0</v>
      </c>
      <c r="E402">
        <v>0</v>
      </c>
    </row>
    <row r="403" spans="1:5" x14ac:dyDescent="0.25">
      <c r="A403">
        <v>0</v>
      </c>
      <c r="B403">
        <v>0</v>
      </c>
      <c r="C403">
        <v>0</v>
      </c>
      <c r="D403">
        <v>0</v>
      </c>
      <c r="E403">
        <v>0</v>
      </c>
    </row>
    <row r="404" spans="1:5" x14ac:dyDescent="0.25">
      <c r="A404">
        <v>0</v>
      </c>
      <c r="B404">
        <v>0</v>
      </c>
      <c r="C404">
        <v>0</v>
      </c>
      <c r="D404">
        <v>0</v>
      </c>
      <c r="E404">
        <v>0</v>
      </c>
    </row>
    <row r="405" spans="1:5" x14ac:dyDescent="0.25">
      <c r="A405">
        <v>0</v>
      </c>
      <c r="B405">
        <v>0</v>
      </c>
      <c r="C405">
        <v>0</v>
      </c>
      <c r="D405">
        <v>0</v>
      </c>
      <c r="E405">
        <v>0</v>
      </c>
    </row>
    <row r="406" spans="1:5" x14ac:dyDescent="0.25">
      <c r="A406">
        <v>0</v>
      </c>
      <c r="B406">
        <v>0</v>
      </c>
      <c r="C406">
        <v>0</v>
      </c>
      <c r="D406">
        <v>0</v>
      </c>
      <c r="E406">
        <v>0</v>
      </c>
    </row>
    <row r="407" spans="1:5" x14ac:dyDescent="0.25">
      <c r="A407">
        <v>0</v>
      </c>
      <c r="B407">
        <v>0</v>
      </c>
      <c r="C407">
        <v>0</v>
      </c>
      <c r="D407">
        <v>0</v>
      </c>
      <c r="E407">
        <v>0</v>
      </c>
    </row>
    <row r="408" spans="1:5" x14ac:dyDescent="0.25">
      <c r="A408">
        <v>0</v>
      </c>
      <c r="B408">
        <v>0</v>
      </c>
      <c r="C408">
        <v>0</v>
      </c>
      <c r="D408">
        <v>0</v>
      </c>
      <c r="E408">
        <v>0</v>
      </c>
    </row>
    <row r="409" spans="1:5" x14ac:dyDescent="0.25">
      <c r="A409">
        <v>0</v>
      </c>
      <c r="B409">
        <v>0</v>
      </c>
      <c r="C409">
        <v>0</v>
      </c>
      <c r="D409">
        <v>0</v>
      </c>
      <c r="E409">
        <v>0</v>
      </c>
    </row>
    <row r="410" spans="1:5" x14ac:dyDescent="0.25">
      <c r="A410">
        <v>0</v>
      </c>
      <c r="B410">
        <v>0</v>
      </c>
      <c r="C410">
        <v>0</v>
      </c>
      <c r="D410">
        <v>0</v>
      </c>
      <c r="E410">
        <v>0</v>
      </c>
    </row>
    <row r="411" spans="1:5" x14ac:dyDescent="0.25">
      <c r="A411">
        <v>0</v>
      </c>
      <c r="B411">
        <v>0</v>
      </c>
      <c r="C411">
        <v>0</v>
      </c>
      <c r="D411">
        <v>0</v>
      </c>
      <c r="E411">
        <v>0</v>
      </c>
    </row>
    <row r="412" spans="1:5" x14ac:dyDescent="0.25">
      <c r="A412">
        <v>0</v>
      </c>
      <c r="B412">
        <v>0</v>
      </c>
      <c r="C412">
        <v>0</v>
      </c>
      <c r="D412">
        <v>0</v>
      </c>
      <c r="E412">
        <v>0</v>
      </c>
    </row>
    <row r="413" spans="1:5" x14ac:dyDescent="0.25">
      <c r="A413">
        <v>0</v>
      </c>
      <c r="B413">
        <v>0</v>
      </c>
      <c r="C413">
        <v>0</v>
      </c>
      <c r="D413">
        <v>0</v>
      </c>
      <c r="E413">
        <v>0</v>
      </c>
    </row>
    <row r="414" spans="1:5" x14ac:dyDescent="0.25">
      <c r="A414">
        <v>0</v>
      </c>
      <c r="B414">
        <v>0</v>
      </c>
      <c r="C414">
        <v>0</v>
      </c>
      <c r="D414">
        <v>0</v>
      </c>
      <c r="E414">
        <v>0</v>
      </c>
    </row>
    <row r="415" spans="1:5" x14ac:dyDescent="0.25">
      <c r="A415">
        <v>0</v>
      </c>
      <c r="B415">
        <v>0</v>
      </c>
      <c r="C415">
        <v>0</v>
      </c>
      <c r="D415">
        <v>0</v>
      </c>
      <c r="E415">
        <v>0</v>
      </c>
    </row>
    <row r="416" spans="1:5" x14ac:dyDescent="0.25">
      <c r="A416">
        <v>0</v>
      </c>
      <c r="B416">
        <v>0</v>
      </c>
      <c r="C416">
        <v>0</v>
      </c>
      <c r="D416">
        <v>0</v>
      </c>
      <c r="E416">
        <v>0</v>
      </c>
    </row>
    <row r="417" spans="1:5" x14ac:dyDescent="0.25">
      <c r="A417">
        <v>0</v>
      </c>
      <c r="B417">
        <v>0</v>
      </c>
      <c r="C417">
        <v>0</v>
      </c>
      <c r="D417">
        <v>0</v>
      </c>
      <c r="E417">
        <v>0</v>
      </c>
    </row>
    <row r="418" spans="1:5" x14ac:dyDescent="0.25">
      <c r="A418">
        <v>0</v>
      </c>
      <c r="B418">
        <v>0</v>
      </c>
      <c r="C418">
        <v>0</v>
      </c>
      <c r="D418">
        <v>0</v>
      </c>
      <c r="E418">
        <v>0</v>
      </c>
    </row>
    <row r="419" spans="1:5" x14ac:dyDescent="0.25">
      <c r="A419">
        <v>0</v>
      </c>
      <c r="B419">
        <v>0</v>
      </c>
      <c r="C419">
        <v>0</v>
      </c>
      <c r="D419">
        <v>0</v>
      </c>
      <c r="E419">
        <v>0</v>
      </c>
    </row>
    <row r="420" spans="1:5" x14ac:dyDescent="0.25">
      <c r="A420">
        <v>0</v>
      </c>
      <c r="B420">
        <v>0</v>
      </c>
      <c r="C420">
        <v>0</v>
      </c>
      <c r="D420">
        <v>0</v>
      </c>
      <c r="E420">
        <v>0</v>
      </c>
    </row>
    <row r="421" spans="1:5" x14ac:dyDescent="0.25">
      <c r="A421">
        <v>0</v>
      </c>
      <c r="B421">
        <v>0</v>
      </c>
      <c r="C421">
        <v>0</v>
      </c>
      <c r="D421">
        <v>0</v>
      </c>
      <c r="E421">
        <v>0</v>
      </c>
    </row>
    <row r="422" spans="1:5" x14ac:dyDescent="0.25">
      <c r="A422">
        <v>0</v>
      </c>
      <c r="B422">
        <v>0</v>
      </c>
      <c r="C422">
        <v>0</v>
      </c>
      <c r="D422">
        <v>0</v>
      </c>
      <c r="E422">
        <v>0</v>
      </c>
    </row>
    <row r="423" spans="1:5" x14ac:dyDescent="0.25">
      <c r="A423">
        <v>0</v>
      </c>
      <c r="B423">
        <v>0</v>
      </c>
      <c r="C423">
        <v>0</v>
      </c>
      <c r="D423">
        <v>0</v>
      </c>
      <c r="E423">
        <v>0</v>
      </c>
    </row>
    <row r="424" spans="1:5" x14ac:dyDescent="0.25">
      <c r="A424">
        <v>0</v>
      </c>
      <c r="B424">
        <v>0</v>
      </c>
      <c r="C424">
        <v>0</v>
      </c>
      <c r="D424">
        <v>0</v>
      </c>
      <c r="E424">
        <v>0</v>
      </c>
    </row>
    <row r="425" spans="1:5" x14ac:dyDescent="0.25">
      <c r="A425">
        <v>0</v>
      </c>
      <c r="B425">
        <v>0</v>
      </c>
      <c r="C425">
        <v>0</v>
      </c>
      <c r="D425">
        <v>0</v>
      </c>
      <c r="E425">
        <v>0</v>
      </c>
    </row>
    <row r="426" spans="1:5" x14ac:dyDescent="0.25">
      <c r="A426">
        <v>0</v>
      </c>
      <c r="B426">
        <v>0</v>
      </c>
      <c r="C426">
        <v>0</v>
      </c>
      <c r="D426">
        <v>0</v>
      </c>
      <c r="E426">
        <v>0</v>
      </c>
    </row>
    <row r="427" spans="1:5" x14ac:dyDescent="0.25">
      <c r="A427">
        <v>0</v>
      </c>
      <c r="B427">
        <v>0</v>
      </c>
      <c r="C427">
        <v>0</v>
      </c>
      <c r="D427">
        <v>0</v>
      </c>
      <c r="E427">
        <v>0</v>
      </c>
    </row>
    <row r="428" spans="1:5" x14ac:dyDescent="0.25">
      <c r="A428">
        <v>0</v>
      </c>
      <c r="B428">
        <v>0</v>
      </c>
      <c r="C428">
        <v>0</v>
      </c>
      <c r="D428">
        <v>0</v>
      </c>
      <c r="E428">
        <v>0</v>
      </c>
    </row>
    <row r="429" spans="1:5" x14ac:dyDescent="0.25">
      <c r="A429">
        <v>0</v>
      </c>
      <c r="B429">
        <v>0</v>
      </c>
      <c r="C429">
        <v>0</v>
      </c>
      <c r="D429">
        <v>0</v>
      </c>
      <c r="E429">
        <v>0</v>
      </c>
    </row>
    <row r="430" spans="1:5" x14ac:dyDescent="0.25">
      <c r="A430">
        <v>0</v>
      </c>
      <c r="B430">
        <v>0</v>
      </c>
      <c r="C430">
        <v>0</v>
      </c>
      <c r="D430">
        <v>0</v>
      </c>
      <c r="E430">
        <v>0</v>
      </c>
    </row>
    <row r="431" spans="1:5" x14ac:dyDescent="0.25">
      <c r="A431">
        <v>0</v>
      </c>
      <c r="B431">
        <v>0</v>
      </c>
      <c r="C431">
        <v>0</v>
      </c>
      <c r="D431">
        <v>0</v>
      </c>
      <c r="E431">
        <v>0</v>
      </c>
    </row>
    <row r="432" spans="1:5" x14ac:dyDescent="0.25">
      <c r="A432">
        <v>0</v>
      </c>
      <c r="B432">
        <v>0</v>
      </c>
      <c r="C432">
        <v>0</v>
      </c>
      <c r="D432">
        <v>0</v>
      </c>
      <c r="E432">
        <v>0</v>
      </c>
    </row>
    <row r="433" spans="1:5" x14ac:dyDescent="0.25">
      <c r="A433">
        <v>0</v>
      </c>
      <c r="B433">
        <v>0</v>
      </c>
      <c r="C433">
        <v>0</v>
      </c>
      <c r="D433">
        <v>0</v>
      </c>
      <c r="E433">
        <v>0</v>
      </c>
    </row>
    <row r="434" spans="1:5" x14ac:dyDescent="0.25">
      <c r="A434">
        <v>0</v>
      </c>
      <c r="B434">
        <v>0</v>
      </c>
      <c r="C434">
        <v>0</v>
      </c>
      <c r="D434">
        <v>0</v>
      </c>
      <c r="E434">
        <v>0</v>
      </c>
    </row>
    <row r="435" spans="1:5" x14ac:dyDescent="0.25">
      <c r="A435">
        <v>0</v>
      </c>
      <c r="B435">
        <v>0</v>
      </c>
      <c r="C435">
        <v>0</v>
      </c>
      <c r="D435">
        <v>0</v>
      </c>
      <c r="E435">
        <v>0</v>
      </c>
    </row>
    <row r="436" spans="1:5" x14ac:dyDescent="0.25">
      <c r="A436">
        <v>0</v>
      </c>
      <c r="B436">
        <v>0</v>
      </c>
      <c r="C436">
        <v>0</v>
      </c>
      <c r="D436">
        <v>0</v>
      </c>
      <c r="E436">
        <v>0</v>
      </c>
    </row>
    <row r="437" spans="1:5" x14ac:dyDescent="0.25">
      <c r="A437">
        <v>0</v>
      </c>
      <c r="B437">
        <v>0</v>
      </c>
      <c r="C437">
        <v>0</v>
      </c>
      <c r="D437">
        <v>0</v>
      </c>
      <c r="E437">
        <v>0</v>
      </c>
    </row>
    <row r="438" spans="1:5" x14ac:dyDescent="0.25">
      <c r="A438">
        <v>0</v>
      </c>
      <c r="B438">
        <v>0</v>
      </c>
      <c r="C438">
        <v>0</v>
      </c>
      <c r="D438">
        <v>0</v>
      </c>
      <c r="E438">
        <v>0</v>
      </c>
    </row>
    <row r="439" spans="1:5" x14ac:dyDescent="0.25">
      <c r="A439">
        <v>0</v>
      </c>
      <c r="B439">
        <v>0</v>
      </c>
      <c r="C439">
        <v>0</v>
      </c>
      <c r="D439">
        <v>0</v>
      </c>
      <c r="E439">
        <v>0</v>
      </c>
    </row>
    <row r="440" spans="1:5" x14ac:dyDescent="0.25">
      <c r="A440">
        <v>0</v>
      </c>
      <c r="B440">
        <v>0</v>
      </c>
      <c r="C440">
        <v>0</v>
      </c>
      <c r="D440">
        <v>0</v>
      </c>
      <c r="E440">
        <v>0</v>
      </c>
    </row>
    <row r="441" spans="1:5" x14ac:dyDescent="0.25">
      <c r="A441">
        <v>0</v>
      </c>
      <c r="B441">
        <v>0</v>
      </c>
      <c r="C441">
        <v>0</v>
      </c>
      <c r="D441">
        <v>0</v>
      </c>
      <c r="E441">
        <v>0</v>
      </c>
    </row>
    <row r="442" spans="1:5" x14ac:dyDescent="0.25">
      <c r="A442">
        <v>0</v>
      </c>
      <c r="B442">
        <v>0</v>
      </c>
      <c r="C442">
        <v>0</v>
      </c>
      <c r="D442">
        <v>0</v>
      </c>
      <c r="E442">
        <v>0</v>
      </c>
    </row>
    <row r="443" spans="1:5" x14ac:dyDescent="0.25">
      <c r="A443">
        <v>0</v>
      </c>
      <c r="B443">
        <v>0</v>
      </c>
      <c r="C443">
        <v>0</v>
      </c>
      <c r="D443">
        <v>0</v>
      </c>
      <c r="E443">
        <v>0</v>
      </c>
    </row>
    <row r="444" spans="1:5" x14ac:dyDescent="0.25">
      <c r="A444">
        <v>0</v>
      </c>
      <c r="B444">
        <v>0</v>
      </c>
      <c r="C444">
        <v>0</v>
      </c>
      <c r="D444">
        <v>0</v>
      </c>
      <c r="E444">
        <v>0</v>
      </c>
    </row>
    <row r="445" spans="1:5" x14ac:dyDescent="0.25">
      <c r="A445">
        <v>0</v>
      </c>
      <c r="B445">
        <v>0</v>
      </c>
      <c r="C445">
        <v>0</v>
      </c>
      <c r="D445">
        <v>0</v>
      </c>
      <c r="E445">
        <v>0</v>
      </c>
    </row>
    <row r="446" spans="1:5" x14ac:dyDescent="0.25">
      <c r="A446">
        <v>0</v>
      </c>
      <c r="B446">
        <v>0</v>
      </c>
      <c r="C446">
        <v>0</v>
      </c>
      <c r="D446">
        <v>0</v>
      </c>
      <c r="E446">
        <v>0</v>
      </c>
    </row>
    <row r="447" spans="1:5" x14ac:dyDescent="0.25">
      <c r="A447">
        <v>0</v>
      </c>
      <c r="B447">
        <v>0</v>
      </c>
      <c r="C447">
        <v>0</v>
      </c>
      <c r="D447">
        <v>0</v>
      </c>
      <c r="E447">
        <v>0</v>
      </c>
    </row>
    <row r="448" spans="1:5" x14ac:dyDescent="0.25">
      <c r="A448">
        <v>0</v>
      </c>
      <c r="B448">
        <v>0</v>
      </c>
      <c r="C448">
        <v>0</v>
      </c>
      <c r="D448">
        <v>0</v>
      </c>
      <c r="E448">
        <v>0</v>
      </c>
    </row>
    <row r="449" spans="1:5" x14ac:dyDescent="0.25">
      <c r="A449">
        <v>0</v>
      </c>
      <c r="B449">
        <v>0</v>
      </c>
      <c r="C449">
        <v>0</v>
      </c>
      <c r="D449">
        <v>0</v>
      </c>
      <c r="E449">
        <v>0</v>
      </c>
    </row>
    <row r="450" spans="1:5" x14ac:dyDescent="0.25">
      <c r="A450">
        <v>0</v>
      </c>
      <c r="B450">
        <v>0</v>
      </c>
      <c r="C450">
        <v>0</v>
      </c>
      <c r="D450">
        <v>0</v>
      </c>
      <c r="E450">
        <v>0</v>
      </c>
    </row>
    <row r="451" spans="1:5" x14ac:dyDescent="0.25">
      <c r="A451">
        <v>0</v>
      </c>
      <c r="B451">
        <v>0</v>
      </c>
      <c r="C451">
        <v>0</v>
      </c>
      <c r="D451">
        <v>0</v>
      </c>
      <c r="E451">
        <v>0</v>
      </c>
    </row>
    <row r="452" spans="1:5" x14ac:dyDescent="0.25">
      <c r="A452">
        <v>0</v>
      </c>
      <c r="B452">
        <v>0</v>
      </c>
      <c r="C452">
        <v>0</v>
      </c>
      <c r="D452">
        <v>0</v>
      </c>
      <c r="E452">
        <v>0</v>
      </c>
    </row>
    <row r="453" spans="1:5" x14ac:dyDescent="0.25">
      <c r="A453">
        <v>0</v>
      </c>
      <c r="B453">
        <v>0</v>
      </c>
      <c r="C453">
        <v>0</v>
      </c>
      <c r="D453">
        <v>0</v>
      </c>
      <c r="E453">
        <v>0</v>
      </c>
    </row>
    <row r="454" spans="1:5" x14ac:dyDescent="0.25">
      <c r="A454">
        <v>0</v>
      </c>
      <c r="B454">
        <v>0</v>
      </c>
      <c r="C454">
        <v>0</v>
      </c>
      <c r="D454">
        <v>0</v>
      </c>
      <c r="E454">
        <v>0</v>
      </c>
    </row>
    <row r="455" spans="1:5" x14ac:dyDescent="0.25">
      <c r="A455">
        <v>0</v>
      </c>
      <c r="B455">
        <v>0</v>
      </c>
      <c r="C455">
        <v>0</v>
      </c>
      <c r="D455">
        <v>0</v>
      </c>
      <c r="E455">
        <v>0</v>
      </c>
    </row>
    <row r="456" spans="1:5" x14ac:dyDescent="0.25">
      <c r="A456">
        <v>0</v>
      </c>
      <c r="B456">
        <v>0</v>
      </c>
      <c r="C456">
        <v>0</v>
      </c>
      <c r="D456">
        <v>0</v>
      </c>
      <c r="E456">
        <v>0</v>
      </c>
    </row>
    <row r="457" spans="1:5" x14ac:dyDescent="0.25">
      <c r="A457">
        <v>0</v>
      </c>
      <c r="B457">
        <v>0</v>
      </c>
      <c r="C457">
        <v>0</v>
      </c>
      <c r="D457">
        <v>0</v>
      </c>
      <c r="E457">
        <v>0</v>
      </c>
    </row>
    <row r="458" spans="1:5" x14ac:dyDescent="0.25">
      <c r="A458">
        <v>0</v>
      </c>
      <c r="B458">
        <v>0</v>
      </c>
      <c r="C458">
        <v>0</v>
      </c>
      <c r="D458">
        <v>0</v>
      </c>
      <c r="E458">
        <v>0</v>
      </c>
    </row>
    <row r="459" spans="1:5" x14ac:dyDescent="0.25">
      <c r="A459">
        <v>0</v>
      </c>
      <c r="B459">
        <v>0</v>
      </c>
      <c r="C459">
        <v>0</v>
      </c>
      <c r="D459">
        <v>0</v>
      </c>
      <c r="E459">
        <v>0</v>
      </c>
    </row>
    <row r="460" spans="1:5" x14ac:dyDescent="0.25">
      <c r="A460">
        <v>0</v>
      </c>
      <c r="B460">
        <v>0</v>
      </c>
      <c r="C460">
        <v>0</v>
      </c>
      <c r="D460">
        <v>0</v>
      </c>
      <c r="E460">
        <v>0</v>
      </c>
    </row>
    <row r="461" spans="1:5" x14ac:dyDescent="0.25">
      <c r="A461">
        <v>0</v>
      </c>
      <c r="B461">
        <v>0</v>
      </c>
      <c r="C461">
        <v>0</v>
      </c>
      <c r="D461">
        <v>0</v>
      </c>
      <c r="E461">
        <v>0</v>
      </c>
    </row>
    <row r="462" spans="1:5" x14ac:dyDescent="0.25">
      <c r="A462">
        <v>0</v>
      </c>
      <c r="B462">
        <v>0</v>
      </c>
      <c r="C462">
        <v>0</v>
      </c>
      <c r="D462">
        <v>0</v>
      </c>
      <c r="E462">
        <v>0</v>
      </c>
    </row>
    <row r="463" spans="1:5" x14ac:dyDescent="0.25">
      <c r="A463">
        <v>0</v>
      </c>
      <c r="B463">
        <v>0</v>
      </c>
      <c r="C463">
        <v>0</v>
      </c>
      <c r="D463">
        <v>0</v>
      </c>
      <c r="E463">
        <v>0</v>
      </c>
    </row>
    <row r="464" spans="1:5" x14ac:dyDescent="0.25">
      <c r="A464">
        <v>0</v>
      </c>
      <c r="B464">
        <v>0</v>
      </c>
      <c r="C464">
        <v>0</v>
      </c>
      <c r="D464">
        <v>0</v>
      </c>
      <c r="E464">
        <v>0</v>
      </c>
    </row>
    <row r="465" spans="1:5" x14ac:dyDescent="0.25">
      <c r="A465">
        <v>0</v>
      </c>
      <c r="B465">
        <v>0</v>
      </c>
      <c r="C465">
        <v>0</v>
      </c>
      <c r="D465">
        <v>0</v>
      </c>
      <c r="E465">
        <v>0</v>
      </c>
    </row>
    <row r="466" spans="1:5" x14ac:dyDescent="0.25">
      <c r="A466">
        <v>0</v>
      </c>
      <c r="B466">
        <v>0</v>
      </c>
      <c r="C466">
        <v>0</v>
      </c>
      <c r="D466">
        <v>0</v>
      </c>
      <c r="E466">
        <v>0</v>
      </c>
    </row>
    <row r="467" spans="1:5" x14ac:dyDescent="0.25">
      <c r="A467">
        <v>0</v>
      </c>
      <c r="B467">
        <v>0</v>
      </c>
      <c r="C467">
        <v>0</v>
      </c>
      <c r="D467">
        <v>0</v>
      </c>
      <c r="E467">
        <v>0</v>
      </c>
    </row>
    <row r="468" spans="1:5" x14ac:dyDescent="0.25">
      <c r="A468">
        <v>0</v>
      </c>
      <c r="B468">
        <v>0</v>
      </c>
      <c r="C468">
        <v>0</v>
      </c>
      <c r="D468">
        <v>0</v>
      </c>
      <c r="E468">
        <v>0</v>
      </c>
    </row>
    <row r="469" spans="1:5" x14ac:dyDescent="0.25">
      <c r="A469">
        <v>0</v>
      </c>
      <c r="B469">
        <v>0</v>
      </c>
      <c r="C469">
        <v>0</v>
      </c>
      <c r="D469">
        <v>0</v>
      </c>
      <c r="E469">
        <v>0</v>
      </c>
    </row>
    <row r="470" spans="1:5" x14ac:dyDescent="0.25">
      <c r="A470">
        <v>0</v>
      </c>
      <c r="B470">
        <v>0</v>
      </c>
      <c r="C470">
        <v>0</v>
      </c>
      <c r="D470">
        <v>0</v>
      </c>
      <c r="E470">
        <v>0</v>
      </c>
    </row>
    <row r="471" spans="1:5" x14ac:dyDescent="0.25">
      <c r="A471">
        <v>0</v>
      </c>
      <c r="B471">
        <v>0</v>
      </c>
      <c r="C471">
        <v>0</v>
      </c>
      <c r="D471">
        <v>0</v>
      </c>
      <c r="E471">
        <v>0</v>
      </c>
    </row>
    <row r="472" spans="1:5" x14ac:dyDescent="0.25">
      <c r="A472">
        <v>0</v>
      </c>
      <c r="B472">
        <v>0</v>
      </c>
      <c r="C472">
        <v>0</v>
      </c>
      <c r="D472">
        <v>0</v>
      </c>
      <c r="E472">
        <v>0</v>
      </c>
    </row>
    <row r="473" spans="1:5" x14ac:dyDescent="0.25">
      <c r="A473">
        <v>0</v>
      </c>
      <c r="B473">
        <v>0</v>
      </c>
      <c r="C473">
        <v>0</v>
      </c>
      <c r="D473">
        <v>0</v>
      </c>
      <c r="E473">
        <v>0</v>
      </c>
    </row>
    <row r="474" spans="1:5" x14ac:dyDescent="0.25">
      <c r="A474">
        <v>0</v>
      </c>
      <c r="B474">
        <v>0</v>
      </c>
      <c r="C474">
        <v>0</v>
      </c>
      <c r="D474">
        <v>0</v>
      </c>
      <c r="E474">
        <v>0</v>
      </c>
    </row>
    <row r="475" spans="1:5" x14ac:dyDescent="0.25">
      <c r="A475">
        <v>0</v>
      </c>
      <c r="B475">
        <v>0</v>
      </c>
      <c r="C475">
        <v>0</v>
      </c>
      <c r="D475">
        <v>0</v>
      </c>
      <c r="E475">
        <v>0</v>
      </c>
    </row>
    <row r="476" spans="1:5" x14ac:dyDescent="0.25">
      <c r="A476">
        <v>0</v>
      </c>
      <c r="B476">
        <v>0</v>
      </c>
      <c r="C476">
        <v>0</v>
      </c>
      <c r="D476">
        <v>0</v>
      </c>
      <c r="E476">
        <v>0</v>
      </c>
    </row>
    <row r="477" spans="1:5" x14ac:dyDescent="0.25">
      <c r="A477">
        <v>0</v>
      </c>
      <c r="B477">
        <v>0</v>
      </c>
      <c r="C477">
        <v>0</v>
      </c>
      <c r="D477">
        <v>0</v>
      </c>
      <c r="E477">
        <v>0</v>
      </c>
    </row>
    <row r="478" spans="1:5" x14ac:dyDescent="0.25">
      <c r="A478">
        <v>0</v>
      </c>
      <c r="B478">
        <v>0</v>
      </c>
      <c r="C478">
        <v>0</v>
      </c>
      <c r="D478">
        <v>0</v>
      </c>
      <c r="E478">
        <v>0</v>
      </c>
    </row>
    <row r="479" spans="1:5" x14ac:dyDescent="0.25">
      <c r="A479">
        <v>0</v>
      </c>
      <c r="B479">
        <v>0</v>
      </c>
      <c r="C479">
        <v>0</v>
      </c>
      <c r="D479">
        <v>0</v>
      </c>
      <c r="E479">
        <v>0</v>
      </c>
    </row>
    <row r="480" spans="1:5" x14ac:dyDescent="0.25">
      <c r="A480">
        <v>0</v>
      </c>
      <c r="B480">
        <v>0</v>
      </c>
      <c r="C480">
        <v>0</v>
      </c>
      <c r="D480">
        <v>0</v>
      </c>
      <c r="E480">
        <v>0</v>
      </c>
    </row>
    <row r="481" spans="1:5" x14ac:dyDescent="0.25">
      <c r="A481">
        <v>0</v>
      </c>
      <c r="B481">
        <v>0</v>
      </c>
      <c r="C481">
        <v>0</v>
      </c>
      <c r="D481">
        <v>0</v>
      </c>
      <c r="E481">
        <v>0</v>
      </c>
    </row>
    <row r="482" spans="1:5" x14ac:dyDescent="0.25">
      <c r="A482">
        <v>0</v>
      </c>
      <c r="B482">
        <v>0</v>
      </c>
      <c r="C482">
        <v>0</v>
      </c>
      <c r="D482">
        <v>0</v>
      </c>
      <c r="E482">
        <v>0</v>
      </c>
    </row>
    <row r="483" spans="1:5" x14ac:dyDescent="0.25">
      <c r="A483">
        <v>0</v>
      </c>
      <c r="B483">
        <v>0</v>
      </c>
      <c r="C483">
        <v>0</v>
      </c>
      <c r="D483">
        <v>0</v>
      </c>
      <c r="E483">
        <v>0</v>
      </c>
    </row>
    <row r="484" spans="1:5" x14ac:dyDescent="0.25">
      <c r="A484">
        <v>0</v>
      </c>
      <c r="B484">
        <v>0</v>
      </c>
      <c r="C484">
        <v>0</v>
      </c>
      <c r="D484">
        <v>0</v>
      </c>
      <c r="E484">
        <v>0</v>
      </c>
    </row>
    <row r="485" spans="1:5" x14ac:dyDescent="0.25">
      <c r="A485">
        <v>0</v>
      </c>
      <c r="B485">
        <v>0</v>
      </c>
      <c r="C485">
        <v>0</v>
      </c>
      <c r="D485">
        <v>0</v>
      </c>
      <c r="E485">
        <v>0</v>
      </c>
    </row>
    <row r="486" spans="1:5" x14ac:dyDescent="0.25">
      <c r="A486">
        <v>0</v>
      </c>
      <c r="B486">
        <v>0</v>
      </c>
      <c r="C486">
        <v>0</v>
      </c>
      <c r="D486">
        <v>0</v>
      </c>
      <c r="E486">
        <v>0</v>
      </c>
    </row>
    <row r="487" spans="1:5" x14ac:dyDescent="0.25">
      <c r="A487">
        <v>0</v>
      </c>
      <c r="B487">
        <v>0</v>
      </c>
      <c r="C487">
        <v>0</v>
      </c>
      <c r="D487">
        <v>0</v>
      </c>
      <c r="E487">
        <v>0</v>
      </c>
    </row>
    <row r="488" spans="1:5" x14ac:dyDescent="0.25">
      <c r="A488">
        <v>0</v>
      </c>
      <c r="B488">
        <v>0</v>
      </c>
      <c r="C488">
        <v>0</v>
      </c>
      <c r="D488">
        <v>0</v>
      </c>
      <c r="E488">
        <v>0</v>
      </c>
    </row>
    <row r="489" spans="1:5" x14ac:dyDescent="0.25">
      <c r="A489">
        <v>0</v>
      </c>
      <c r="B489">
        <v>0</v>
      </c>
      <c r="C489">
        <v>0</v>
      </c>
      <c r="D489">
        <v>0</v>
      </c>
      <c r="E489">
        <v>0</v>
      </c>
    </row>
    <row r="490" spans="1:5" x14ac:dyDescent="0.25">
      <c r="A490">
        <v>0</v>
      </c>
      <c r="B490">
        <v>0</v>
      </c>
      <c r="C490">
        <v>0</v>
      </c>
      <c r="D490">
        <v>0</v>
      </c>
      <c r="E490">
        <v>0</v>
      </c>
    </row>
    <row r="491" spans="1:5" x14ac:dyDescent="0.25">
      <c r="A491">
        <v>0</v>
      </c>
      <c r="B491">
        <v>0</v>
      </c>
      <c r="C491">
        <v>0</v>
      </c>
      <c r="D491">
        <v>0</v>
      </c>
      <c r="E491">
        <v>0</v>
      </c>
    </row>
    <row r="492" spans="1:5" x14ac:dyDescent="0.25">
      <c r="A492">
        <v>0</v>
      </c>
      <c r="B492">
        <v>0</v>
      </c>
      <c r="C492">
        <v>0</v>
      </c>
      <c r="D492">
        <v>0</v>
      </c>
      <c r="E492">
        <v>0</v>
      </c>
    </row>
    <row r="493" spans="1:5" x14ac:dyDescent="0.25">
      <c r="A493">
        <v>0</v>
      </c>
      <c r="B493">
        <v>0</v>
      </c>
      <c r="C493">
        <v>0</v>
      </c>
      <c r="D493">
        <v>0</v>
      </c>
      <c r="E493">
        <v>0</v>
      </c>
    </row>
    <row r="494" spans="1:5" x14ac:dyDescent="0.25">
      <c r="A494">
        <v>0</v>
      </c>
      <c r="B494">
        <v>0</v>
      </c>
      <c r="C494">
        <v>0</v>
      </c>
      <c r="D494">
        <v>0</v>
      </c>
      <c r="E494">
        <v>0</v>
      </c>
    </row>
    <row r="495" spans="1:5" x14ac:dyDescent="0.25">
      <c r="A495">
        <v>0</v>
      </c>
      <c r="B495">
        <v>0</v>
      </c>
      <c r="C495">
        <v>0</v>
      </c>
      <c r="D495">
        <v>0</v>
      </c>
      <c r="E495">
        <v>0</v>
      </c>
    </row>
    <row r="496" spans="1:5" x14ac:dyDescent="0.25">
      <c r="A496">
        <v>0</v>
      </c>
      <c r="B496">
        <v>0</v>
      </c>
      <c r="C496">
        <v>0</v>
      </c>
      <c r="D496">
        <v>0</v>
      </c>
      <c r="E496">
        <v>0</v>
      </c>
    </row>
    <row r="497" spans="1:5" x14ac:dyDescent="0.25">
      <c r="A497">
        <v>0</v>
      </c>
      <c r="B497">
        <v>0</v>
      </c>
      <c r="C497">
        <v>0</v>
      </c>
      <c r="D497">
        <v>0</v>
      </c>
      <c r="E497">
        <v>0</v>
      </c>
    </row>
    <row r="498" spans="1:5" x14ac:dyDescent="0.25">
      <c r="A498">
        <v>0</v>
      </c>
      <c r="B498">
        <v>0</v>
      </c>
      <c r="C498">
        <v>0</v>
      </c>
      <c r="D498">
        <v>0</v>
      </c>
      <c r="E498">
        <v>0</v>
      </c>
    </row>
    <row r="499" spans="1:5" x14ac:dyDescent="0.25">
      <c r="A499">
        <v>0</v>
      </c>
      <c r="B499">
        <v>0</v>
      </c>
      <c r="C499">
        <v>0</v>
      </c>
      <c r="D499">
        <v>0</v>
      </c>
      <c r="E499">
        <v>0</v>
      </c>
    </row>
    <row r="500" spans="1:5" x14ac:dyDescent="0.25">
      <c r="A500">
        <v>0</v>
      </c>
      <c r="B500">
        <v>0</v>
      </c>
      <c r="C500">
        <v>0</v>
      </c>
      <c r="D500">
        <v>0</v>
      </c>
      <c r="E50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E500"/>
  <sheetViews>
    <sheetView workbookViewId="0">
      <selection activeCell="B23" sqref="B23"/>
    </sheetView>
  </sheetViews>
  <sheetFormatPr defaultColWidth="9.140625" defaultRowHeight="15" x14ac:dyDescent="0.25"/>
  <cols>
    <col min="1" max="2" width="46.7109375" style="37" bestFit="1" customWidth="1"/>
    <col min="3" max="3" width="7" style="37" bestFit="1" customWidth="1"/>
    <col min="4" max="4" width="12.42578125" style="37" bestFit="1" customWidth="1"/>
    <col min="5" max="5" width="7" style="37" bestFit="1" customWidth="1"/>
    <col min="6" max="11" width="9.140625" style="37" customWidth="1"/>
    <col min="12" max="16384" width="9.140625" style="37"/>
  </cols>
  <sheetData>
    <row r="1" spans="1:5" x14ac:dyDescent="0.25">
      <c r="A1" t="str">
        <f>'Specific Names Main'!A1</f>
        <v>Before Renaming</v>
      </c>
      <c r="B1" t="str">
        <f>'Specific Names Main'!B1</f>
        <v>After Renaming</v>
      </c>
      <c r="C1" t="str">
        <f>'Specific Names Main'!C1</f>
        <v>Code 1</v>
      </c>
      <c r="D1" t="str">
        <f>'Specific Names Main'!D1</f>
        <v>Code 2</v>
      </c>
      <c r="E1" t="str">
        <f>'Specific Names Main'!E1</f>
        <v>Code 3</v>
      </c>
    </row>
    <row r="2" spans="1:5" x14ac:dyDescent="0.25">
      <c r="A2" t="str">
        <f>'Specific Names Main'!A2</f>
        <v>Accounting Detailed Report</v>
      </c>
      <c r="B2" t="str">
        <f>'Specific Names Main'!B2</f>
        <v>Accounting Detailed Report</v>
      </c>
      <c r="C2">
        <f>'Specific Names Main'!C2</f>
        <v>0</v>
      </c>
      <c r="D2">
        <f>'Specific Names Main'!D2</f>
        <v>0</v>
      </c>
      <c r="E2">
        <f>'Specific Names Main'!E2</f>
        <v>0</v>
      </c>
    </row>
    <row r="3" spans="1:5" x14ac:dyDescent="0.25">
      <c r="A3" t="str">
        <f>'Specific Names Main'!A3</f>
        <v>Accounting Report</v>
      </c>
      <c r="B3" t="str">
        <f>'Specific Names Main'!B3</f>
        <v>Accounting Report</v>
      </c>
      <c r="C3">
        <f>'Specific Names Main'!C3</f>
        <v>0</v>
      </c>
      <c r="D3">
        <f>'Specific Names Main'!D3</f>
        <v>0</v>
      </c>
      <c r="E3">
        <f>'Specific Names Main'!E3</f>
        <v>0</v>
      </c>
    </row>
    <row r="4" spans="1:5" x14ac:dyDescent="0.25">
      <c r="A4" t="str">
        <f>'Specific Names Main'!A4</f>
        <v>Adjustment &amp; OCC Report</v>
      </c>
      <c r="B4" t="str">
        <f>'Specific Names Main'!B4</f>
        <v>Adjustment &amp; OCC Report</v>
      </c>
      <c r="C4" t="str">
        <f>'Specific Names Main'!C4</f>
        <v>12Q_</v>
      </c>
      <c r="D4">
        <f>'Specific Names Main'!D4</f>
        <v>0</v>
      </c>
      <c r="E4">
        <f>'Specific Names Main'!E4</f>
        <v>0</v>
      </c>
    </row>
    <row r="5" spans="1:5" x14ac:dyDescent="0.25">
      <c r="A5" t="str">
        <f>'Specific Names Main'!A5</f>
        <v>Adjustment GL Trans by BAN Report</v>
      </c>
      <c r="B5" t="str">
        <f>'Specific Names Main'!B5</f>
        <v>Adjustment Report</v>
      </c>
      <c r="C5" t="str">
        <f>'Specific Names Main'!C5</f>
        <v>12O_</v>
      </c>
      <c r="D5">
        <f>'Specific Names Main'!D5</f>
        <v>0</v>
      </c>
      <c r="E5">
        <f>'Specific Names Main'!E5</f>
        <v>0</v>
      </c>
    </row>
    <row r="6" spans="1:5" x14ac:dyDescent="0.25">
      <c r="A6" t="str">
        <f>'Specific Names Main'!A6</f>
        <v>Adjustment GL Trans by BAN Report - New</v>
      </c>
      <c r="B6" t="str">
        <f>'Specific Names Main'!B6</f>
        <v>Adjustment Report</v>
      </c>
      <c r="C6" t="str">
        <f>'Specific Names Main'!C6</f>
        <v>12O_</v>
      </c>
      <c r="D6">
        <f>'Specific Names Main'!D6</f>
        <v>0</v>
      </c>
      <c r="E6">
        <f>'Specific Names Main'!E6</f>
        <v>0</v>
      </c>
    </row>
    <row r="7" spans="1:5" x14ac:dyDescent="0.25">
      <c r="A7" t="str">
        <f>'Specific Names Main'!A7</f>
        <v>Adjustments GL Trans by BAN Report</v>
      </c>
      <c r="B7" t="str">
        <f>'Specific Names Main'!B7</f>
        <v>Adjustment Report</v>
      </c>
      <c r="C7" t="str">
        <f>'Specific Names Main'!C7</f>
        <v>12O_</v>
      </c>
      <c r="D7">
        <f>'Specific Names Main'!D7</f>
        <v>0</v>
      </c>
      <c r="E7">
        <f>'Specific Names Main'!E7</f>
        <v>0</v>
      </c>
    </row>
    <row r="8" spans="1:5" x14ac:dyDescent="0.25">
      <c r="A8" t="str">
        <f>'Specific Names Main'!A8</f>
        <v>Adjustments Not Posted Report</v>
      </c>
      <c r="B8" t="str">
        <f>'Specific Names Main'!B8</f>
        <v>Adjustments Not Posted Report</v>
      </c>
      <c r="C8" t="str">
        <f>'Specific Names Main'!C8</f>
        <v>9F_</v>
      </c>
      <c r="D8">
        <f>'Specific Names Main'!D8</f>
        <v>0</v>
      </c>
      <c r="E8">
        <f>'Specific Names Main'!E8</f>
        <v>0</v>
      </c>
    </row>
    <row r="9" spans="1:5" x14ac:dyDescent="0.25">
      <c r="A9" t="str">
        <f>'Specific Names Main'!A9</f>
        <v>Aged Trial Balance for Export</v>
      </c>
      <c r="B9" t="str">
        <f>'Specific Names Main'!B9</f>
        <v>Aged Trial Balance for Export Report</v>
      </c>
      <c r="C9">
        <f>'Specific Names Main'!C9</f>
        <v>0</v>
      </c>
      <c r="D9">
        <f>'Specific Names Main'!D9</f>
        <v>0</v>
      </c>
      <c r="E9">
        <f>'Specific Names Main'!E9</f>
        <v>0</v>
      </c>
    </row>
    <row r="10" spans="1:5" x14ac:dyDescent="0.25">
      <c r="A10" t="str">
        <f>'Specific Names Main'!A10</f>
        <v>Aged Trial Balance for Export - New</v>
      </c>
      <c r="B10" t="str">
        <f>'Specific Names Main'!B10</f>
        <v>Aged Trial Balance for Export Report</v>
      </c>
      <c r="C10">
        <f>'Specific Names Main'!C10</f>
        <v>0</v>
      </c>
      <c r="D10">
        <f>'Specific Names Main'!D10</f>
        <v>0</v>
      </c>
      <c r="E10">
        <f>'Specific Names Main'!E10</f>
        <v>0</v>
      </c>
    </row>
    <row r="11" spans="1:5" x14ac:dyDescent="0.25">
      <c r="A11" t="str">
        <f>'Specific Names Main'!A11</f>
        <v>Aged Trial Balance_for export</v>
      </c>
      <c r="B11" t="str">
        <f>'Specific Names Main'!B11</f>
        <v>Aged Trial Balance for Export Report</v>
      </c>
      <c r="C11">
        <f>'Specific Names Main'!C11</f>
        <v>0</v>
      </c>
      <c r="D11">
        <f>'Specific Names Main'!D11</f>
        <v>0</v>
      </c>
      <c r="E11">
        <f>'Specific Names Main'!E11</f>
        <v>0</v>
      </c>
    </row>
    <row r="12" spans="1:5" x14ac:dyDescent="0.25">
      <c r="A12" t="str">
        <f>'Specific Names Main'!A12</f>
        <v>Aged trial Balance</v>
      </c>
      <c r="B12" t="str">
        <f>'Specific Names Main'!B12</f>
        <v>Aged trial Balance Report</v>
      </c>
      <c r="C12">
        <f>'Specific Names Main'!C12</f>
        <v>0</v>
      </c>
      <c r="D12">
        <f>'Specific Names Main'!D12</f>
        <v>0</v>
      </c>
      <c r="E12">
        <f>'Specific Names Main'!E12</f>
        <v>0</v>
      </c>
    </row>
    <row r="13" spans="1:5" x14ac:dyDescent="0.25">
      <c r="A13" t="str">
        <f>'Specific Names Main'!A13</f>
        <v>Aged Trial Balance - New</v>
      </c>
      <c r="B13" t="str">
        <f>'Specific Names Main'!B13</f>
        <v>Aged trial Balance Report</v>
      </c>
      <c r="C13">
        <f>'Specific Names Main'!C13</f>
        <v>0</v>
      </c>
      <c r="D13">
        <f>'Specific Names Main'!D13</f>
        <v>0</v>
      </c>
      <c r="E13">
        <f>'Specific Names Main'!E13</f>
        <v>0</v>
      </c>
    </row>
    <row r="14" spans="1:5" x14ac:dyDescent="0.25">
      <c r="A14" t="str">
        <f>'Specific Names Main'!A14</f>
        <v>AUR History Stats</v>
      </c>
      <c r="B14" t="str">
        <f>'Specific Names Main'!B14</f>
        <v>AUR History Stats Report</v>
      </c>
      <c r="C14" t="str">
        <f>'Specific Names Main'!C14</f>
        <v>4A_</v>
      </c>
      <c r="D14">
        <f>'Specific Names Main'!D14</f>
        <v>0</v>
      </c>
      <c r="E14">
        <f>'Specific Names Main'!E14</f>
        <v>0</v>
      </c>
    </row>
    <row r="15" spans="1:5" x14ac:dyDescent="0.25">
      <c r="A15" t="str">
        <f>'Specific Names Main'!A15</f>
        <v>AUR History Stats Report</v>
      </c>
      <c r="B15" t="str">
        <f>'Specific Names Main'!B15</f>
        <v>AUR History Stats Report</v>
      </c>
      <c r="C15" t="str">
        <f>'Specific Names Main'!C15</f>
        <v>4A_</v>
      </c>
      <c r="D15">
        <f>'Specific Names Main'!D15</f>
        <v>0</v>
      </c>
      <c r="E15">
        <f>'Specific Names Main'!E15</f>
        <v>0</v>
      </c>
    </row>
    <row r="16" spans="1:5" x14ac:dyDescent="0.25">
      <c r="A16" t="str">
        <f>'Specific Names Main'!A16</f>
        <v>BAN List with Active Status and LPC Option</v>
      </c>
      <c r="B16" t="str">
        <f>'Specific Names Main'!B16</f>
        <v>BAN List with Active Status and LPC Option</v>
      </c>
      <c r="C16">
        <f>'Specific Names Main'!C16</f>
        <v>0</v>
      </c>
      <c r="D16">
        <f>'Specific Names Main'!D16</f>
        <v>0</v>
      </c>
      <c r="E16">
        <f>'Specific Names Main'!E16</f>
        <v>0</v>
      </c>
    </row>
    <row r="17" spans="1:5" x14ac:dyDescent="0.25">
      <c r="A17" t="str">
        <f>'Specific Names Main'!A17</f>
        <v>Bill By Period Report</v>
      </c>
      <c r="B17" t="str">
        <f>'Specific Names Main'!B17</f>
        <v>Bill By Period Report</v>
      </c>
      <c r="C17">
        <f>'Specific Names Main'!C17</f>
        <v>0</v>
      </c>
      <c r="D17">
        <f>'Specific Names Main'!D17</f>
        <v>0</v>
      </c>
      <c r="E17">
        <f>'Specific Names Main'!E17</f>
        <v>0</v>
      </c>
    </row>
    <row r="18" spans="1:5" x14ac:dyDescent="0.25">
      <c r="A18" t="str">
        <f>'Specific Names Main'!A18</f>
        <v>Bill Completion Check Report</v>
      </c>
      <c r="B18" t="str">
        <f>'Specific Names Main'!B18</f>
        <v>Bill Completion Check Report</v>
      </c>
      <c r="C18" t="str">
        <f>'Specific Names Main'!C18</f>
        <v>12A_</v>
      </c>
      <c r="D18">
        <f>'Specific Names Main'!D18</f>
        <v>0</v>
      </c>
      <c r="E18">
        <f>'Specific Names Main'!E18</f>
        <v>0</v>
      </c>
    </row>
    <row r="19" spans="1:5" x14ac:dyDescent="0.25">
      <c r="A19" t="str">
        <f>'Specific Names Main'!A19</f>
        <v>Billed by Period</v>
      </c>
      <c r="B19" t="str">
        <f>'Specific Names Main'!B19</f>
        <v>Bill By Period Report</v>
      </c>
      <c r="C19">
        <f>'Specific Names Main'!C19</f>
        <v>0</v>
      </c>
      <c r="D19">
        <f>'Specific Names Main'!D19</f>
        <v>0</v>
      </c>
      <c r="E19">
        <f>'Specific Names Main'!E19</f>
        <v>0</v>
      </c>
    </row>
    <row r="20" spans="1:5" x14ac:dyDescent="0.25">
      <c r="A20" t="str">
        <f>'Specific Names Main'!A20</f>
        <v>Billed by Period Report</v>
      </c>
      <c r="B20" t="str">
        <f>'Specific Names Main'!B20</f>
        <v>Bill By Period Report</v>
      </c>
      <c r="C20">
        <f>'Specific Names Main'!C20</f>
        <v>0</v>
      </c>
      <c r="D20">
        <f>'Specific Names Main'!D20</f>
        <v>0</v>
      </c>
      <c r="E20">
        <f>'Specific Names Main'!E20</f>
        <v>0</v>
      </c>
    </row>
    <row r="21" spans="1:5" x14ac:dyDescent="0.25">
      <c r="A21" t="str">
        <f>'Specific Names Main'!A21</f>
        <v>Billed by Period Report - New</v>
      </c>
      <c r="B21" t="str">
        <f>'Specific Names Main'!B21</f>
        <v>Bill By Period Report</v>
      </c>
      <c r="C21">
        <f>'Specific Names Main'!C21</f>
        <v>0</v>
      </c>
      <c r="D21">
        <f>'Specific Names Main'!D21</f>
        <v>0</v>
      </c>
      <c r="E21">
        <f>'Specific Names Main'!E21</f>
        <v>0</v>
      </c>
    </row>
    <row r="22" spans="1:5" x14ac:dyDescent="0.25">
      <c r="A22" t="str">
        <f>'Specific Names Main'!A22</f>
        <v>Billed Msg MOU Rev by BAN by EMR Jurisdiction</v>
      </c>
      <c r="B22" t="str">
        <f>'Specific Names Main'!B22</f>
        <v>Message MOU Revenue by BAN Report</v>
      </c>
      <c r="C22">
        <f>'Specific Names Main'!C22</f>
        <v>0</v>
      </c>
      <c r="D22">
        <f>'Specific Names Main'!D22</f>
        <v>0</v>
      </c>
      <c r="E22">
        <f>'Specific Names Main'!E22</f>
        <v>0</v>
      </c>
    </row>
    <row r="23" spans="1:5" x14ac:dyDescent="0.25">
      <c r="A23" t="str">
        <f>'Specific Names Main'!A23</f>
        <v>Billed Msg MOU Rev by CLLI by EMR Jurisdiction</v>
      </c>
      <c r="B23" t="str">
        <f>'Specific Names Main'!B23</f>
        <v>Message MOU Revenue by CLLI Report</v>
      </c>
      <c r="C23">
        <f>'Specific Names Main'!C23</f>
        <v>0</v>
      </c>
      <c r="D23">
        <f>'Specific Names Main'!D23</f>
        <v>0</v>
      </c>
      <c r="E23">
        <f>'Specific Names Main'!E23</f>
        <v>0</v>
      </c>
    </row>
    <row r="24" spans="1:5" x14ac:dyDescent="0.25">
      <c r="A24" t="str">
        <f>'Specific Names Main'!A24</f>
        <v>CLNT ly_invoice_balances_by_jur_cic</v>
      </c>
      <c r="B24" t="str">
        <f>'Specific Names Main'!B24</f>
        <v>Invoice Balance Report</v>
      </c>
      <c r="C24">
        <f>'Specific Names Main'!C24</f>
        <v>0</v>
      </c>
      <c r="D24">
        <f>'Specific Names Main'!D24</f>
        <v>0</v>
      </c>
      <c r="E24">
        <f>'Specific Names Main'!E24</f>
        <v>0</v>
      </c>
    </row>
    <row r="25" spans="1:5" x14ac:dyDescent="0.25">
      <c r="A25" t="str">
        <f>'Specific Names Main'!A25</f>
        <v>CLNT nt_ckt_billed_live_disco_v2</v>
      </c>
      <c r="B25" t="str">
        <f>'Specific Names Main'!B25</f>
        <v>Facility Circuit Charges Billed Disconnected</v>
      </c>
      <c r="C25">
        <f>'Specific Names Main'!C25</f>
        <v>0</v>
      </c>
      <c r="D25">
        <f>'Specific Names Main'!D25</f>
        <v>0</v>
      </c>
      <c r="E25">
        <f>'Specific Names Main'!E25</f>
        <v>0</v>
      </c>
    </row>
    <row r="26" spans="1:5" x14ac:dyDescent="0.25">
      <c r="A26" t="str">
        <f>'Specific Names Main'!A26</f>
        <v>Count of Invoices not zero Range</v>
      </c>
      <c r="B26" t="str">
        <f>'Specific Names Main'!B26</f>
        <v>Number Of Invoices</v>
      </c>
      <c r="C26" t="str">
        <f>'Specific Names Main'!C26</f>
        <v>21B_</v>
      </c>
      <c r="D26">
        <f>'Specific Names Main'!D26</f>
        <v>0</v>
      </c>
      <c r="E26">
        <f>'Specific Names Main'!E26</f>
        <v>0</v>
      </c>
    </row>
    <row r="27" spans="1:5" x14ac:dyDescent="0.25">
      <c r="A27" t="str">
        <f>'Specific Names Main'!A27</f>
        <v>Count Of Invoices not zero Range</v>
      </c>
      <c r="B27" t="str">
        <f>'Specific Names Main'!B27</f>
        <v>Number Of Invoices</v>
      </c>
      <c r="C27" t="str">
        <f>'Specific Names Main'!C27</f>
        <v>21B_</v>
      </c>
      <c r="D27">
        <f>'Specific Names Main'!D27</f>
        <v>0</v>
      </c>
      <c r="E27">
        <f>'Specific Names Main'!E27</f>
        <v>0</v>
      </c>
    </row>
    <row r="28" spans="1:5" x14ac:dyDescent="0.25">
      <c r="A28" t="str">
        <f>'Specific Names Main'!A28</f>
        <v>count_of_invoices_not_zero_range</v>
      </c>
      <c r="B28" t="str">
        <f>'Specific Names Main'!B28</f>
        <v>Number Of Invoices</v>
      </c>
      <c r="C28" t="str">
        <f>'Specific Names Main'!C28</f>
        <v>21B_</v>
      </c>
      <c r="D28">
        <f>'Specific Names Main'!D28</f>
        <v>0</v>
      </c>
      <c r="E28">
        <f>'Specific Names Main'!E28</f>
        <v>0</v>
      </c>
    </row>
    <row r="29" spans="1:5" x14ac:dyDescent="0.25">
      <c r="A29" t="str">
        <f>'Specific Names Main'!A29</f>
        <v>Deletions Under 5 Report</v>
      </c>
      <c r="B29" t="str">
        <f>'Specific Names Main'!B29</f>
        <v>Deletions Under 5 Report</v>
      </c>
      <c r="C29">
        <f>'Specific Names Main'!C29</f>
        <v>0</v>
      </c>
      <c r="D29">
        <f>'Specific Names Main'!D29</f>
        <v>0</v>
      </c>
      <c r="E29">
        <f>'Specific Names Main'!E29</f>
        <v>0</v>
      </c>
    </row>
    <row r="30" spans="1:5" x14ac:dyDescent="0.25">
      <c r="A30" t="str">
        <f>'Specific Names Main'!A30</f>
        <v>Deletions Under Report</v>
      </c>
      <c r="B30" t="str">
        <f>'Specific Names Main'!B30</f>
        <v>Deletions Under Report</v>
      </c>
      <c r="C30">
        <f>'Specific Names Main'!C30</f>
        <v>0</v>
      </c>
      <c r="D30">
        <f>'Specific Names Main'!D30</f>
        <v>0</v>
      </c>
      <c r="E30">
        <f>'Specific Names Main'!E30</f>
        <v>0</v>
      </c>
    </row>
    <row r="31" spans="1:5" x14ac:dyDescent="0.25">
      <c r="A31" t="str">
        <f>'Specific Names Main'!A31</f>
        <v>Detailed BAN Error Report</v>
      </c>
      <c r="B31" t="str">
        <f>'Specific Names Main'!B31</f>
        <v>Detailed BAN Error Report</v>
      </c>
      <c r="C31" t="str">
        <f>'Specific Names Main'!C31</f>
        <v>4F_</v>
      </c>
      <c r="D31">
        <f>'Specific Names Main'!D31</f>
        <v>0</v>
      </c>
      <c r="E31">
        <f>'Specific Names Main'!E31</f>
        <v>0</v>
      </c>
    </row>
    <row r="32" spans="1:5" x14ac:dyDescent="0.25">
      <c r="A32" t="str">
        <f>'Specific Names Main'!A32</f>
        <v>Detailed BAN Error Report - with extra research</v>
      </c>
      <c r="B32" t="str">
        <f>'Specific Names Main'!B32</f>
        <v>Detailed BAN Error Report</v>
      </c>
      <c r="C32" t="str">
        <f>'Specific Names Main'!C32</f>
        <v>4F_</v>
      </c>
      <c r="D32">
        <f>'Specific Names Main'!D32</f>
        <v>0</v>
      </c>
      <c r="E32">
        <f>'Specific Names Main'!E32</f>
        <v>0</v>
      </c>
    </row>
    <row r="33" spans="1:5" x14ac:dyDescent="0.25">
      <c r="A33" t="str">
        <f>'Specific Names Main'!A33</f>
        <v>Detailed CLLI Error Report</v>
      </c>
      <c r="B33" t="str">
        <f>'Specific Names Main'!B33</f>
        <v>Detailed CLLI Error Report</v>
      </c>
      <c r="C33" t="str">
        <f>'Specific Names Main'!C33</f>
        <v>4H_</v>
      </c>
      <c r="D33">
        <f>'Specific Names Main'!D33</f>
        <v>0</v>
      </c>
      <c r="E33">
        <f>'Specific Names Main'!E33</f>
        <v>0</v>
      </c>
    </row>
    <row r="34" spans="1:5" x14ac:dyDescent="0.25">
      <c r="A34" t="str">
        <f>'Specific Names Main'!A34</f>
        <v>Detailed CLLI Error Report - with extra research</v>
      </c>
      <c r="B34" t="str">
        <f>'Specific Names Main'!B34</f>
        <v>Detailed CLLI Error Report</v>
      </c>
      <c r="C34" t="str">
        <f>'Specific Names Main'!C34</f>
        <v>4H_</v>
      </c>
      <c r="D34">
        <f>'Specific Names Main'!D34</f>
        <v>0</v>
      </c>
      <c r="E34">
        <f>'Specific Names Main'!E34</f>
        <v>0</v>
      </c>
    </row>
    <row r="35" spans="1:5" x14ac:dyDescent="0.25">
      <c r="A35" t="str">
        <f>'Specific Names Main'!A35</f>
        <v>Duplicate File Processing Report</v>
      </c>
      <c r="B35" t="str">
        <f>'Specific Names Main'!B35</f>
        <v>Duplicate File Processing Report</v>
      </c>
      <c r="C35" t="str">
        <f>'Specific Names Main'!C35</f>
        <v>5A_</v>
      </c>
      <c r="D35">
        <f>'Specific Names Main'!D35</f>
        <v>0</v>
      </c>
      <c r="E35">
        <f>'Specific Names Main'!E35</f>
        <v>0</v>
      </c>
    </row>
    <row r="36" spans="1:5" x14ac:dyDescent="0.25">
      <c r="A36" t="str">
        <f>'Specific Names Main'!A36</f>
        <v>Exception Analysis Report</v>
      </c>
      <c r="B36" t="str">
        <f>'Specific Names Main'!B36</f>
        <v>Exception Analysis Report</v>
      </c>
      <c r="C36" t="str">
        <f>'Specific Names Main'!C36</f>
        <v>4K_</v>
      </c>
      <c r="D36">
        <f>'Specific Names Main'!D36</f>
        <v>0</v>
      </c>
      <c r="E36">
        <f>'Specific Names Main'!E36</f>
        <v>0</v>
      </c>
    </row>
    <row r="37" spans="1:5" x14ac:dyDescent="0.25">
      <c r="A37" t="str">
        <f>'Specific Names Main'!A37</f>
        <v>FA BAN Trending Report</v>
      </c>
      <c r="B37" t="str">
        <f>'Specific Names Main'!B37</f>
        <v>Facility BANS Trending Report</v>
      </c>
      <c r="C37">
        <f>'Specific Names Main'!C37</f>
        <v>0</v>
      </c>
      <c r="D37">
        <f>'Specific Names Main'!D37</f>
        <v>0</v>
      </c>
      <c r="E37">
        <f>'Specific Names Main'!E37</f>
        <v>0</v>
      </c>
    </row>
    <row r="38" spans="1:5" x14ac:dyDescent="0.25">
      <c r="A38" t="str">
        <f>'Specific Names Main'!A38</f>
        <v>FA Charges Summary</v>
      </c>
      <c r="B38" t="str">
        <f>'Specific Names Main'!B38</f>
        <v>FA Charges Summary</v>
      </c>
      <c r="C38">
        <f>'Specific Names Main'!C38</f>
        <v>0</v>
      </c>
      <c r="D38">
        <f>'Specific Names Main'!D38</f>
        <v>0</v>
      </c>
      <c r="E38">
        <f>'Specific Names Main'!E38</f>
        <v>0</v>
      </c>
    </row>
    <row r="39" spans="1:5" x14ac:dyDescent="0.25">
      <c r="A39" t="str">
        <f>'Specific Names Main'!A39</f>
        <v>FA Circuit Charges by CIC by CLLI</v>
      </c>
      <c r="B39" t="str">
        <f>'Specific Names Main'!B39</f>
        <v>FA Circuit Charges by CIC by CLLI</v>
      </c>
      <c r="C39">
        <f>'Specific Names Main'!C39</f>
        <v>0</v>
      </c>
      <c r="D39">
        <f>'Specific Names Main'!D39</f>
        <v>0</v>
      </c>
      <c r="E39">
        <f>'Specific Names Main'!E39</f>
        <v>0</v>
      </c>
    </row>
    <row r="40" spans="1:5" x14ac:dyDescent="0.25">
      <c r="A40" t="str">
        <f>'Specific Names Main'!A40</f>
        <v>Facility BANS Trending Report</v>
      </c>
      <c r="B40" t="str">
        <f>'Specific Names Main'!B40</f>
        <v>Facility BANS Trending Report</v>
      </c>
      <c r="C40" t="str">
        <f>'Specific Names Main'!C40</f>
        <v>12B_</v>
      </c>
      <c r="D40" t="str">
        <f>'Specific Names Main'!D40</f>
        <v>12D_</v>
      </c>
      <c r="E40" t="str">
        <f>'Specific Names Main'!E40</f>
        <v>12N_</v>
      </c>
    </row>
    <row r="41" spans="1:5" x14ac:dyDescent="0.25">
      <c r="A41" t="str">
        <f>'Specific Names Main'!A41</f>
        <v>Facility Circuit Charges Billed Disconnected</v>
      </c>
      <c r="B41" t="str">
        <f>'Specific Names Main'!B41</f>
        <v>Facility Circuit Charges Billed Disconnected</v>
      </c>
      <c r="C41">
        <f>'Specific Names Main'!C41</f>
        <v>0</v>
      </c>
      <c r="D41">
        <f>'Specific Names Main'!D41</f>
        <v>0</v>
      </c>
      <c r="E41">
        <f>'Specific Names Main'!E41</f>
        <v>0</v>
      </c>
    </row>
    <row r="42" spans="1:5" x14ac:dyDescent="0.25">
      <c r="A42" t="str">
        <f>'Specific Names Main'!A42</f>
        <v>Factor Change Audit Report</v>
      </c>
      <c r="B42" t="str">
        <f>'Specific Names Main'!B42</f>
        <v>Factor Change Audit Report</v>
      </c>
      <c r="C42" t="str">
        <f>'Specific Names Main'!C42</f>
        <v>10_</v>
      </c>
      <c r="D42">
        <f>'Specific Names Main'!D42</f>
        <v>0</v>
      </c>
      <c r="E42">
        <f>'Specific Names Main'!E42</f>
        <v>0</v>
      </c>
    </row>
    <row r="43" spans="1:5" x14ac:dyDescent="0.25">
      <c r="A43" t="str">
        <f>'Specific Names Main'!A43</f>
        <v>Factor Check Report with PVU</v>
      </c>
      <c r="B43" t="str">
        <f>'Specific Names Main'!B43</f>
        <v>Factor Check Report with PVU</v>
      </c>
      <c r="C43" t="str">
        <f>'Specific Names Main'!C43</f>
        <v>10A_</v>
      </c>
      <c r="D43">
        <f>'Specific Names Main'!D43</f>
        <v>0</v>
      </c>
      <c r="E43">
        <f>'Specific Names Main'!E43</f>
        <v>0</v>
      </c>
    </row>
    <row r="44" spans="1:5" x14ac:dyDescent="0.25">
      <c r="A44" t="str">
        <f>'Specific Names Main'!A44</f>
        <v>Factor Compare Report</v>
      </c>
      <c r="B44" t="str">
        <f>'Specific Names Main'!B44</f>
        <v>Factor Compare Report</v>
      </c>
      <c r="C44" t="str">
        <f>'Specific Names Main'!C44</f>
        <v>10B_</v>
      </c>
      <c r="D44">
        <f>'Specific Names Main'!D44</f>
        <v>0</v>
      </c>
      <c r="E44">
        <f>'Specific Names Main'!E44</f>
        <v>0</v>
      </c>
    </row>
    <row r="45" spans="1:5" x14ac:dyDescent="0.25">
      <c r="A45" t="str">
        <f>'Specific Names Main'!A45</f>
        <v>Factor Matrix Report</v>
      </c>
      <c r="B45" t="str">
        <f>'Specific Names Main'!B45</f>
        <v>Factor Matrix Report</v>
      </c>
      <c r="C45">
        <f>'Specific Names Main'!C45</f>
        <v>0</v>
      </c>
      <c r="D45">
        <f>'Specific Names Main'!D45</f>
        <v>0</v>
      </c>
      <c r="E45">
        <f>'Specific Names Main'!E45</f>
        <v>0</v>
      </c>
    </row>
    <row r="46" spans="1:5" x14ac:dyDescent="0.25">
      <c r="A46" t="str">
        <f>'Specific Names Main'!A46</f>
        <v>Fulfillment Report</v>
      </c>
      <c r="B46" t="str">
        <f>'Specific Names Main'!B46</f>
        <v>Fulfillment Report</v>
      </c>
      <c r="C46">
        <f>'Specific Names Main'!C46</f>
        <v>0</v>
      </c>
      <c r="D46">
        <f>'Specific Names Main'!D46</f>
        <v>0</v>
      </c>
      <c r="E46">
        <f>'Specific Names Main'!E46</f>
        <v>0</v>
      </c>
    </row>
    <row r="47" spans="1:5" x14ac:dyDescent="0.25">
      <c r="A47" t="str">
        <f>'Specific Names Main'!A47</f>
        <v>FUSC Charge By Circuit</v>
      </c>
      <c r="B47" t="str">
        <f>'Specific Names Main'!B47</f>
        <v>FUSC Charge By Circuit</v>
      </c>
      <c r="C47">
        <f>'Specific Names Main'!C47</f>
        <v>0</v>
      </c>
      <c r="D47">
        <f>'Specific Names Main'!D47</f>
        <v>0</v>
      </c>
      <c r="E47">
        <f>'Specific Names Main'!E47</f>
        <v>0</v>
      </c>
    </row>
    <row r="48" spans="1:5" x14ac:dyDescent="0.25">
      <c r="A48" t="str">
        <f>'Specific Names Main'!A48</f>
        <v>GL Extract</v>
      </c>
      <c r="B48" t="str">
        <f>'Specific Names Main'!B48</f>
        <v>GL Extract</v>
      </c>
      <c r="C48">
        <f>'Specific Names Main'!C48</f>
        <v>0</v>
      </c>
      <c r="D48">
        <f>'Specific Names Main'!D48</f>
        <v>0</v>
      </c>
      <c r="E48">
        <f>'Specific Names Main'!E48</f>
        <v>0</v>
      </c>
    </row>
    <row r="49" spans="1:5" x14ac:dyDescent="0.25">
      <c r="A49" t="str">
        <f>'Specific Names Main'!A49</f>
        <v>Invoice Balance</v>
      </c>
      <c r="B49" t="str">
        <f>'Specific Names Main'!B49</f>
        <v>Invoice Balance Report</v>
      </c>
      <c r="C49">
        <f>'Specific Names Main'!C49</f>
        <v>0</v>
      </c>
      <c r="D49">
        <f>'Specific Names Main'!D49</f>
        <v>0</v>
      </c>
      <c r="E49">
        <f>'Specific Names Main'!E49</f>
        <v>0</v>
      </c>
    </row>
    <row r="50" spans="1:5" x14ac:dyDescent="0.25">
      <c r="A50" t="str">
        <f>'Specific Names Main'!A50</f>
        <v>Invoice Balance Report</v>
      </c>
      <c r="B50" t="str">
        <f>'Specific Names Main'!B50</f>
        <v>Invoice Balance Report</v>
      </c>
      <c r="C50">
        <f>'Specific Names Main'!C50</f>
        <v>0</v>
      </c>
      <c r="D50">
        <f>'Specific Names Main'!D50</f>
        <v>0</v>
      </c>
      <c r="E50">
        <f>'Specific Names Main'!E50</f>
        <v>0</v>
      </c>
    </row>
    <row r="51" spans="1:5" x14ac:dyDescent="0.25">
      <c r="A51" t="str">
        <f>'Specific Names Main'!A51</f>
        <v>Invoice Balances by Jur with LPC</v>
      </c>
      <c r="B51" t="str">
        <f>'Specific Names Main'!B51</f>
        <v>Invoice Balances by Jur with LPC</v>
      </c>
      <c r="C51">
        <f>'Specific Names Main'!C51</f>
        <v>0</v>
      </c>
      <c r="D51">
        <f>'Specific Names Main'!D51</f>
        <v>0</v>
      </c>
      <c r="E51">
        <f>'Specific Names Main'!E51</f>
        <v>0</v>
      </c>
    </row>
    <row r="52" spans="1:5" x14ac:dyDescent="0.25">
      <c r="A52" t="str">
        <f>'Specific Names Main'!A52</f>
        <v>Invoice Balances by Jurisdiction</v>
      </c>
      <c r="B52" t="str">
        <f>'Specific Names Main'!B52</f>
        <v>Invoice Balances by Jurisdiction Report</v>
      </c>
      <c r="C52">
        <f>'Specific Names Main'!C52</f>
        <v>0</v>
      </c>
      <c r="D52">
        <f>'Specific Names Main'!D52</f>
        <v>0</v>
      </c>
      <c r="E52">
        <f>'Specific Names Main'!E52</f>
        <v>0</v>
      </c>
    </row>
    <row r="53" spans="1:5" x14ac:dyDescent="0.25">
      <c r="A53" t="str">
        <f>'Specific Names Main'!A53</f>
        <v>Invoice Balances by Jurisdiction Report</v>
      </c>
      <c r="B53" t="str">
        <f>'Specific Names Main'!B53</f>
        <v>Invoice Balances by Jurisdiction Report</v>
      </c>
      <c r="C53">
        <f>'Specific Names Main'!C53</f>
        <v>0</v>
      </c>
      <c r="D53">
        <f>'Specific Names Main'!D53</f>
        <v>0</v>
      </c>
      <c r="E53">
        <f>'Specific Names Main'!E53</f>
        <v>0</v>
      </c>
    </row>
    <row r="54" spans="1:5" x14ac:dyDescent="0.25">
      <c r="A54" t="str">
        <f>'Specific Names Main'!A54</f>
        <v>Invoice Count Range Report (non-zero balance)</v>
      </c>
      <c r="B54" t="str">
        <f>'Specific Names Main'!B54</f>
        <v>Number Of Invoices</v>
      </c>
      <c r="C54" t="str">
        <f>'Specific Names Main'!C54</f>
        <v>21B_</v>
      </c>
      <c r="D54">
        <f>'Specific Names Main'!D54</f>
        <v>0</v>
      </c>
      <c r="E54">
        <f>'Specific Names Main'!E54</f>
        <v>0</v>
      </c>
    </row>
    <row r="55" spans="1:5" x14ac:dyDescent="0.25">
      <c r="A55" t="str">
        <f>'Specific Names Main'!A55</f>
        <v>Invoice Count Report - Range</v>
      </c>
      <c r="B55" t="str">
        <f>'Specific Names Main'!B55</f>
        <v>Number Of Invoices</v>
      </c>
      <c r="C55" t="str">
        <f>'Specific Names Main'!C55</f>
        <v>21B_</v>
      </c>
      <c r="D55">
        <f>'Specific Names Main'!D55</f>
        <v>0</v>
      </c>
      <c r="E55">
        <f>'Specific Names Main'!E55</f>
        <v>0</v>
      </c>
    </row>
    <row r="56" spans="1:5" x14ac:dyDescent="0.25">
      <c r="A56" t="str">
        <f>'Specific Names Main'!A56</f>
        <v>Invoice Count Report (non-zero balances)</v>
      </c>
      <c r="B56" t="str">
        <f>'Specific Names Main'!B56</f>
        <v>Number Of Invoices</v>
      </c>
      <c r="C56" t="str">
        <f>'Specific Names Main'!C56</f>
        <v>21B_</v>
      </c>
      <c r="D56">
        <f>'Specific Names Main'!D56</f>
        <v>0</v>
      </c>
      <c r="E56">
        <f>'Specific Names Main'!E56</f>
        <v>0</v>
      </c>
    </row>
    <row r="57" spans="1:5" x14ac:dyDescent="0.25">
      <c r="A57" t="str">
        <f>'Specific Names Main'!A57</f>
        <v>Invoice Register Report</v>
      </c>
      <c r="B57" t="str">
        <f>'Specific Names Main'!B57</f>
        <v>Invoice Register Report</v>
      </c>
      <c r="C57">
        <f>'Specific Names Main'!C57</f>
        <v>0</v>
      </c>
      <c r="D57">
        <f>'Specific Names Main'!D57</f>
        <v>0</v>
      </c>
      <c r="E57">
        <f>'Specific Names Main'!E57</f>
        <v>0</v>
      </c>
    </row>
    <row r="58" spans="1:5" x14ac:dyDescent="0.25">
      <c r="A58" t="str">
        <f>'Specific Names Main'!A58</f>
        <v>Invoice Trending Report for Export - dir - jur</v>
      </c>
      <c r="B58" t="str">
        <f>'Specific Names Main'!B58</f>
        <v>Invoice Trending Report for Export - dir - jur</v>
      </c>
      <c r="C58">
        <f>'Specific Names Main'!C58</f>
        <v>0</v>
      </c>
      <c r="D58">
        <f>'Specific Names Main'!D58</f>
        <v>0</v>
      </c>
      <c r="E58">
        <f>'Specific Names Main'!E58</f>
        <v>0</v>
      </c>
    </row>
    <row r="59" spans="1:5" x14ac:dyDescent="0.25">
      <c r="A59" t="str">
        <f>'Specific Names Main'!A59</f>
        <v>Invoice Trending Report for Export (qty type dtl)</v>
      </c>
      <c r="B59" t="str">
        <f>'Specific Names Main'!B59</f>
        <v>Invoice Trending Report for Export (qty type dtl)</v>
      </c>
      <c r="C59">
        <f>'Specific Names Main'!C59</f>
        <v>0</v>
      </c>
      <c r="D59">
        <f>'Specific Names Main'!D59</f>
        <v>0</v>
      </c>
      <c r="E59">
        <f>'Specific Names Main'!E59</f>
        <v>0</v>
      </c>
    </row>
    <row r="60" spans="1:5" x14ac:dyDescent="0.25">
      <c r="A60" t="str">
        <f>'Specific Names Main'!A60</f>
        <v>Late Payment Charges</v>
      </c>
      <c r="B60" t="str">
        <f>'Specific Names Main'!B60</f>
        <v>Late Payment Charges</v>
      </c>
      <c r="C60">
        <f>'Specific Names Main'!C60</f>
        <v>0</v>
      </c>
      <c r="D60">
        <f>'Specific Names Main'!D60</f>
        <v>0</v>
      </c>
      <c r="E60">
        <f>'Specific Names Main'!E60</f>
        <v>0</v>
      </c>
    </row>
    <row r="61" spans="1:5" x14ac:dyDescent="0.25">
      <c r="A61" t="str">
        <f>'Specific Names Main'!A61</f>
        <v>Minutes and revenue billed by rate element</v>
      </c>
      <c r="B61" t="str">
        <f>'Specific Names Main'!B61</f>
        <v>Minutes and revenue billed by rate element</v>
      </c>
      <c r="C61">
        <f>'Specific Names Main'!C61</f>
        <v>0</v>
      </c>
      <c r="D61">
        <f>'Specific Names Main'!D61</f>
        <v>0</v>
      </c>
      <c r="E61">
        <f>'Specific Names Main'!E61</f>
        <v>0</v>
      </c>
    </row>
    <row r="62" spans="1:5" x14ac:dyDescent="0.25">
      <c r="A62" t="str">
        <f>'Specific Names Main'!A62</f>
        <v>MMR by Bill Date by Usg Pd by Direction by Prod</v>
      </c>
      <c r="B62" t="str">
        <f>'Specific Names Main'!B62</f>
        <v>MMR by Bill Date by Usg Pd by Direction by Prod</v>
      </c>
      <c r="C62">
        <f>'Specific Names Main'!C62</f>
        <v>0</v>
      </c>
      <c r="D62">
        <f>'Specific Names Main'!D62</f>
        <v>0</v>
      </c>
      <c r="E62">
        <f>'Specific Names Main'!E62</f>
        <v>0</v>
      </c>
    </row>
    <row r="63" spans="1:5" x14ac:dyDescent="0.25">
      <c r="A63" t="str">
        <f>'Specific Names Main'!A63</f>
        <v>MOU Entries Error Report</v>
      </c>
      <c r="B63" t="str">
        <f>'Specific Names Main'!B63</f>
        <v>MOU Entries Error Report</v>
      </c>
      <c r="C63" t="str">
        <f>'Specific Names Main'!C63</f>
        <v>4L_</v>
      </c>
      <c r="D63">
        <f>'Specific Names Main'!D63</f>
        <v>0</v>
      </c>
      <c r="E63">
        <f>'Specific Names Main'!E63</f>
        <v>0</v>
      </c>
    </row>
    <row r="64" spans="1:5" x14ac:dyDescent="0.25">
      <c r="A64" t="str">
        <f>'Specific Names Main'!A64</f>
        <v>MSG MOU Rev Export</v>
      </c>
      <c r="B64" t="str">
        <f>'Specific Names Main'!B64</f>
        <v>MMR Report</v>
      </c>
      <c r="C64">
        <f>'Specific Names Main'!C64</f>
        <v>0</v>
      </c>
      <c r="D64">
        <f>'Specific Names Main'!D64</f>
        <v>0</v>
      </c>
      <c r="E64">
        <f>'Specific Names Main'!E64</f>
        <v>0</v>
      </c>
    </row>
    <row r="65" spans="1:5" x14ac:dyDescent="0.25">
      <c r="A65" t="str">
        <f>'Specific Names Main'!A65</f>
        <v>MSG MOU REV Export - New</v>
      </c>
      <c r="B65" t="str">
        <f>'Specific Names Main'!B65</f>
        <v>MMR Report</v>
      </c>
      <c r="C65">
        <f>'Specific Names Main'!C65</f>
        <v>0</v>
      </c>
      <c r="D65">
        <f>'Specific Names Main'!D65</f>
        <v>0</v>
      </c>
      <c r="E65">
        <f>'Specific Names Main'!E65</f>
        <v>0</v>
      </c>
    </row>
    <row r="66" spans="1:5" x14ac:dyDescent="0.25">
      <c r="A66" t="str">
        <f>'Specific Names Main'!A66</f>
        <v>MSG MOU REV with LPC</v>
      </c>
      <c r="B66" t="str">
        <f>'Specific Names Main'!B66</f>
        <v>MSG MOU REV with LPC</v>
      </c>
      <c r="C66">
        <f>'Specific Names Main'!C66</f>
        <v>0</v>
      </c>
      <c r="D66">
        <f>'Specific Names Main'!D66</f>
        <v>0</v>
      </c>
      <c r="E66">
        <f>'Specific Names Main'!E66</f>
        <v>0</v>
      </c>
    </row>
    <row r="67" spans="1:5" x14ac:dyDescent="0.25">
      <c r="A67" t="str">
        <f>'Specific Names Main'!A67</f>
        <v>MSG_MOU_REV_export</v>
      </c>
      <c r="B67" t="str">
        <f>'Specific Names Main'!B67</f>
        <v>MMR Report</v>
      </c>
      <c r="C67">
        <f>'Specific Names Main'!C67</f>
        <v>0</v>
      </c>
      <c r="D67">
        <f>'Specific Names Main'!D67</f>
        <v>0</v>
      </c>
      <c r="E67">
        <f>'Specific Names Main'!E67</f>
        <v>0</v>
      </c>
    </row>
    <row r="68" spans="1:5" x14ac:dyDescent="0.25">
      <c r="A68" t="str">
        <f>'Specific Names Main'!A68</f>
        <v>NECA AS1000</v>
      </c>
      <c r="B68" t="str">
        <f>'Specific Names Main'!B68</f>
        <v>NECA AS1000</v>
      </c>
      <c r="C68">
        <f>'Specific Names Main'!C68</f>
        <v>0</v>
      </c>
      <c r="D68">
        <f>'Specific Names Main'!D68</f>
        <v>0</v>
      </c>
      <c r="E68">
        <f>'Specific Names Main'!E68</f>
        <v>0</v>
      </c>
    </row>
    <row r="69" spans="1:5" x14ac:dyDescent="0.25">
      <c r="A69" t="str">
        <f>'Specific Names Main'!A69</f>
        <v>NECA EC1050</v>
      </c>
      <c r="B69" t="str">
        <f>'Specific Names Main'!B69</f>
        <v>NECA EC1050</v>
      </c>
      <c r="C69">
        <f>'Specific Names Main'!C69</f>
        <v>0</v>
      </c>
      <c r="D69">
        <f>'Specific Names Main'!D69</f>
        <v>0</v>
      </c>
      <c r="E69">
        <f>'Specific Names Main'!E69</f>
        <v>0</v>
      </c>
    </row>
    <row r="70" spans="1:5" x14ac:dyDescent="0.25">
      <c r="A70" t="str">
        <f>'Specific Names Main'!A70</f>
        <v>OC&amp;C GL Trans by BAN Report</v>
      </c>
      <c r="B70" t="str">
        <f>'Specific Names Main'!B70</f>
        <v>OCC Report</v>
      </c>
      <c r="C70" t="str">
        <f>'Specific Names Main'!C70</f>
        <v>12P_</v>
      </c>
      <c r="D70">
        <f>'Specific Names Main'!D70</f>
        <v>0</v>
      </c>
      <c r="E70">
        <f>'Specific Names Main'!E70</f>
        <v>0</v>
      </c>
    </row>
    <row r="71" spans="1:5" x14ac:dyDescent="0.25">
      <c r="A71" t="str">
        <f>'Specific Names Main'!A71</f>
        <v>OC&amp;C Report</v>
      </c>
      <c r="B71" t="str">
        <f>'Specific Names Main'!B71</f>
        <v>OCC Report</v>
      </c>
      <c r="C71" t="str">
        <f>'Specific Names Main'!C71</f>
        <v>12P_</v>
      </c>
      <c r="D71">
        <f>'Specific Names Main'!D71</f>
        <v>0</v>
      </c>
      <c r="E71">
        <f>'Specific Names Main'!E71</f>
        <v>0</v>
      </c>
    </row>
    <row r="72" spans="1:5" x14ac:dyDescent="0.25">
      <c r="A72" t="str">
        <f>'Specific Names Main'!A72</f>
        <v>OCC GL Trans by BAN Report - New</v>
      </c>
      <c r="B72" t="str">
        <f>'Specific Names Main'!B72</f>
        <v>OCC Report</v>
      </c>
      <c r="C72" t="str">
        <f>'Specific Names Main'!C72</f>
        <v>12P_</v>
      </c>
      <c r="D72">
        <f>'Specific Names Main'!D72</f>
        <v>0</v>
      </c>
      <c r="E72">
        <f>'Specific Names Main'!E72</f>
        <v>0</v>
      </c>
    </row>
    <row r="73" spans="1:5" x14ac:dyDescent="0.25">
      <c r="A73" t="str">
        <f>'Specific Names Main'!A73</f>
        <v>Payment Report</v>
      </c>
      <c r="B73" t="str">
        <f>'Specific Names Main'!B73</f>
        <v>Payment Report</v>
      </c>
      <c r="C73" t="str">
        <f>'Specific Names Main'!C73</f>
        <v>8_</v>
      </c>
      <c r="D73">
        <f>'Specific Names Main'!D73</f>
        <v>0</v>
      </c>
      <c r="E73">
        <f>'Specific Names Main'!E73</f>
        <v>0</v>
      </c>
    </row>
    <row r="74" spans="1:5" x14ac:dyDescent="0.25">
      <c r="A74" t="str">
        <f>'Specific Names Main'!A74</f>
        <v>Payment Report - New</v>
      </c>
      <c r="B74" t="str">
        <f>'Specific Names Main'!B74</f>
        <v>Payment Report</v>
      </c>
      <c r="C74" t="str">
        <f>'Specific Names Main'!C74</f>
        <v>8_</v>
      </c>
      <c r="D74">
        <f>'Specific Names Main'!D74</f>
        <v>0</v>
      </c>
      <c r="E74">
        <f>'Specific Names Main'!E74</f>
        <v>0</v>
      </c>
    </row>
    <row r="75" spans="1:5" x14ac:dyDescent="0.25">
      <c r="A75" t="str">
        <f>'Specific Names Main'!A75</f>
        <v>Pre-Thresholding Report</v>
      </c>
      <c r="B75" t="str">
        <f>'Specific Names Main'!B75</f>
        <v>Pre-Thresholding Report</v>
      </c>
      <c r="C75">
        <f>'Specific Names Main'!C75</f>
        <v>0</v>
      </c>
      <c r="D75">
        <f>'Specific Names Main'!D75</f>
        <v>0</v>
      </c>
      <c r="E75">
        <f>'Specific Names Main'!E75</f>
        <v>0</v>
      </c>
    </row>
    <row r="76" spans="1:5" x14ac:dyDescent="0.25">
      <c r="A76" t="str">
        <f>'Specific Names Main'!A76</f>
        <v>Rev Analysis by CLLI</v>
      </c>
      <c r="B76" t="str">
        <f>'Specific Names Main'!B76</f>
        <v>Rev Analysis by CLLI</v>
      </c>
      <c r="C76">
        <f>'Specific Names Main'!C76</f>
        <v>0</v>
      </c>
      <c r="D76">
        <f>'Specific Names Main'!D76</f>
        <v>0</v>
      </c>
      <c r="E76">
        <f>'Specific Names Main'!E76</f>
        <v>0</v>
      </c>
    </row>
    <row r="77" spans="1:5" x14ac:dyDescent="0.25">
      <c r="A77" t="str">
        <f>'Specific Names Main'!A77</f>
        <v>Revenue Analysis</v>
      </c>
      <c r="B77" t="str">
        <f>'Specific Names Main'!B77</f>
        <v>Revenue Analysis</v>
      </c>
      <c r="C77">
        <f>'Specific Names Main'!C77</f>
        <v>0</v>
      </c>
      <c r="D77">
        <f>'Specific Names Main'!D77</f>
        <v>0</v>
      </c>
      <c r="E77">
        <f>'Specific Names Main'!E77</f>
        <v>0</v>
      </c>
    </row>
    <row r="78" spans="1:5" x14ac:dyDescent="0.25">
      <c r="A78" t="str">
        <f>'Specific Names Main'!A78</f>
        <v>Revenue Analysis - New</v>
      </c>
      <c r="B78" t="str">
        <f>'Specific Names Main'!B78</f>
        <v>Revenue Analysis</v>
      </c>
      <c r="C78">
        <f>'Specific Names Main'!C78</f>
        <v>0</v>
      </c>
      <c r="D78">
        <f>'Specific Names Main'!D78</f>
        <v>0</v>
      </c>
      <c r="E78">
        <f>'Specific Names Main'!E78</f>
        <v>0</v>
      </c>
    </row>
    <row r="79" spans="1:5" x14ac:dyDescent="0.25">
      <c r="A79" t="str">
        <f>'Specific Names Main'!A79</f>
        <v>SOC Change Audit Report</v>
      </c>
      <c r="B79" t="str">
        <f>'Specific Names Main'!B79</f>
        <v>SOC Change Audit Report</v>
      </c>
      <c r="C79" t="str">
        <f>'Specific Names Main'!C79</f>
        <v>11_</v>
      </c>
      <c r="D79">
        <f>'Specific Names Main'!D79</f>
        <v>0</v>
      </c>
      <c r="E79">
        <f>'Specific Names Main'!E79</f>
        <v>0</v>
      </c>
    </row>
    <row r="80" spans="1:5" x14ac:dyDescent="0.25">
      <c r="A80" t="str">
        <f>'Specific Names Main'!A80</f>
        <v>SOC Jurisdiction Report</v>
      </c>
      <c r="B80" t="str">
        <f>'Specific Names Main'!B80</f>
        <v>SOC Jurisdiction Report</v>
      </c>
      <c r="C80">
        <f>'Specific Names Main'!C80</f>
        <v>0</v>
      </c>
      <c r="D80">
        <f>'Specific Names Main'!D80</f>
        <v>0</v>
      </c>
      <c r="E80">
        <f>'Specific Names Main'!E80</f>
        <v>0</v>
      </c>
    </row>
    <row r="81" spans="1:5" x14ac:dyDescent="0.25">
      <c r="A81" t="str">
        <f>'Specific Names Main'!A81</f>
        <v>Sprint MOU Analysis for export</v>
      </c>
      <c r="B81" t="str">
        <f>'Specific Names Main'!B81</f>
        <v>Sprint MOU Analysis for export</v>
      </c>
      <c r="C81">
        <f>'Specific Names Main'!C81</f>
        <v>0</v>
      </c>
      <c r="D81">
        <f>'Specific Names Main'!D81</f>
        <v>0</v>
      </c>
      <c r="E81">
        <f>'Specific Names Main'!E81</f>
        <v>0</v>
      </c>
    </row>
    <row r="82" spans="1:5" x14ac:dyDescent="0.25">
      <c r="A82" t="str">
        <f>'Specific Names Main'!A82</f>
        <v>SW BANS Trending Report (qty type detail)</v>
      </c>
      <c r="B82" t="str">
        <f>'Specific Names Main'!B82</f>
        <v>SW BANS Trending Report</v>
      </c>
      <c r="C82" t="str">
        <f>'Specific Names Main'!C82</f>
        <v>12C_</v>
      </c>
      <c r="D82">
        <f>'Specific Names Main'!D82</f>
        <v>0</v>
      </c>
      <c r="E82">
        <f>'Specific Names Main'!E82</f>
        <v>0</v>
      </c>
    </row>
    <row r="83" spans="1:5" x14ac:dyDescent="0.25">
      <c r="A83" t="str">
        <f>'Specific Names Main'!A83</f>
        <v>SW Usage Charges Summary</v>
      </c>
      <c r="B83" t="str">
        <f>'Specific Names Main'!B83</f>
        <v>SW Usage Charges Summary</v>
      </c>
      <c r="C83">
        <f>'Specific Names Main'!C83</f>
        <v>0</v>
      </c>
      <c r="D83">
        <f>'Specific Names Main'!D83</f>
        <v>0</v>
      </c>
      <c r="E83">
        <f>'Specific Names Main'!E83</f>
        <v>0</v>
      </c>
    </row>
    <row r="84" spans="1:5" x14ac:dyDescent="0.25">
      <c r="A84" t="str">
        <f>'Specific Names Main'!A84</f>
        <v>Switch Terminating Intrastate Rev Report for NECA</v>
      </c>
      <c r="B84" t="str">
        <f>'Specific Names Main'!B84</f>
        <v>Switch Terminating Intrastate Rev Report for NECA</v>
      </c>
      <c r="C84">
        <f>'Specific Names Main'!C84</f>
        <v>0</v>
      </c>
      <c r="D84">
        <f>'Specific Names Main'!D84</f>
        <v>0</v>
      </c>
      <c r="E84">
        <f>'Specific Names Main'!E84</f>
        <v>0</v>
      </c>
    </row>
    <row r="85" spans="1:5" x14ac:dyDescent="0.25">
      <c r="A85" t="str">
        <f>'Specific Names Main'!A85</f>
        <v>Switched BANS Trending Report</v>
      </c>
      <c r="B85" t="str">
        <f>'Specific Names Main'!B85</f>
        <v>SW BANS Trending Report</v>
      </c>
      <c r="C85" t="str">
        <f>'Specific Names Main'!C85</f>
        <v>12B_</v>
      </c>
      <c r="D85" t="str">
        <f>'Specific Names Main'!D85</f>
        <v>12M_</v>
      </c>
      <c r="E85" t="str">
        <f>'Specific Names Main'!E85</f>
        <v>19W_</v>
      </c>
    </row>
    <row r="86" spans="1:5" x14ac:dyDescent="0.25">
      <c r="A86" t="str">
        <f>'Specific Names Main'!A86</f>
        <v>Switched BANS Trending Report - New</v>
      </c>
      <c r="B86" t="str">
        <f>'Specific Names Main'!B86</f>
        <v>SW BANS Trending Report</v>
      </c>
      <c r="C86" t="str">
        <f>'Specific Names Main'!C86</f>
        <v>12B_</v>
      </c>
      <c r="D86" t="str">
        <f>'Specific Names Main'!D86</f>
        <v>12M_</v>
      </c>
      <c r="E86" t="str">
        <f>'Specific Names Main'!E86</f>
        <v>19W_</v>
      </c>
    </row>
    <row r="87" spans="1:5" x14ac:dyDescent="0.25">
      <c r="A87" t="str">
        <f>'Specific Names Main'!A87</f>
        <v>Threshold Report by Period</v>
      </c>
      <c r="B87" t="str">
        <f>'Specific Names Main'!B87</f>
        <v>Threshold Report by Period</v>
      </c>
      <c r="C87">
        <f>'Specific Names Main'!C87</f>
        <v>0</v>
      </c>
      <c r="D87">
        <f>'Specific Names Main'!D87</f>
        <v>0</v>
      </c>
      <c r="E87">
        <f>'Specific Names Main'!E87</f>
        <v>0</v>
      </c>
    </row>
    <row r="88" spans="1:5" x14ac:dyDescent="0.25">
      <c r="A88" t="str">
        <f>'Specific Names Main'!A88</f>
        <v>Transaction Summary - bills only</v>
      </c>
      <c r="B88" t="str">
        <f>'Specific Names Main'!B88</f>
        <v>Transaction Summary Report</v>
      </c>
      <c r="C88">
        <f>'Specific Names Main'!C88</f>
        <v>0</v>
      </c>
      <c r="D88">
        <f>'Specific Names Main'!D88</f>
        <v>0</v>
      </c>
      <c r="E88">
        <f>'Specific Names Main'!E88</f>
        <v>0</v>
      </c>
    </row>
    <row r="89" spans="1:5" x14ac:dyDescent="0.25">
      <c r="A89" t="str">
        <f>'Specific Names Main'!A89</f>
        <v>Transaction Summary Report - New</v>
      </c>
      <c r="B89" t="str">
        <f>'Specific Names Main'!B89</f>
        <v>Transaction Summary Report</v>
      </c>
      <c r="C89">
        <f>'Specific Names Main'!C89</f>
        <v>0</v>
      </c>
      <c r="D89">
        <f>'Specific Names Main'!D89</f>
        <v>0</v>
      </c>
      <c r="E89">
        <f>'Specific Names Main'!E89</f>
        <v>0</v>
      </c>
    </row>
    <row r="90" spans="1:5" x14ac:dyDescent="0.25">
      <c r="A90" t="str">
        <f>'Specific Names Main'!A90</f>
        <v>Usage Balancing - Company Totals with Full Detail</v>
      </c>
      <c r="B90" t="str">
        <f>'Specific Names Main'!B90</f>
        <v>Usage Balancing - Company Totals with Full Detail</v>
      </c>
      <c r="C90" t="str">
        <f>'Specific Names Main'!C90</f>
        <v>11B_</v>
      </c>
      <c r="D90">
        <f>'Specific Names Main'!D90</f>
        <v>0</v>
      </c>
      <c r="E90">
        <f>'Specific Names Main'!E90</f>
        <v>0</v>
      </c>
    </row>
    <row r="91" spans="1:5" x14ac:dyDescent="0.25">
      <c r="A91" t="str">
        <f>'Specific Names Main'!A91</f>
        <v>Usage Balancing - Company, Ban Totals</v>
      </c>
      <c r="B91" t="str">
        <f>'Specific Names Main'!B91</f>
        <v>Usage Balancing</v>
      </c>
      <c r="C91" t="str">
        <f>'Specific Names Main'!C91</f>
        <v>6_</v>
      </c>
      <c r="D91" t="str">
        <f>'Specific Names Main'!D91</f>
        <v>13_</v>
      </c>
      <c r="E91" t="str">
        <f>'Specific Names Main'!E91</f>
        <v>16_</v>
      </c>
    </row>
    <row r="92" spans="1:5" x14ac:dyDescent="0.25">
      <c r="A92" t="str">
        <f>'Specific Names Main'!A92</f>
        <v>Usage By Day Report</v>
      </c>
      <c r="B92" t="str">
        <f>'Specific Names Main'!B92</f>
        <v>Usage By Day Report</v>
      </c>
      <c r="C92" t="str">
        <f>'Specific Names Main'!C92</f>
        <v>5D_</v>
      </c>
      <c r="D92" t="str">
        <f>'Specific Names Main'!D92</f>
        <v>5E-3months_</v>
      </c>
      <c r="E92">
        <f>'Specific Names Main'!E92</f>
        <v>0</v>
      </c>
    </row>
    <row r="93" spans="1:5" x14ac:dyDescent="0.25">
      <c r="A93" t="str">
        <f>'Specific Names Main'!A93</f>
        <v>Usage by Day Report - New</v>
      </c>
      <c r="B93" t="str">
        <f>'Specific Names Main'!B93</f>
        <v>Usage By Day Report</v>
      </c>
      <c r="C93" t="str">
        <f>'Specific Names Main'!C93</f>
        <v>5D_</v>
      </c>
      <c r="D93" t="str">
        <f>'Specific Names Main'!D93</f>
        <v>5E-3months_</v>
      </c>
      <c r="E93">
        <f>'Specific Names Main'!E93</f>
        <v>0</v>
      </c>
    </row>
    <row r="94" spans="1:5" x14ac:dyDescent="0.25">
      <c r="A94" t="str">
        <f>'Specific Names Main'!A94</f>
        <v>Usage Verify by Size Report</v>
      </c>
      <c r="B94" t="str">
        <f>'Specific Names Main'!B94</f>
        <v>Usage Verify by Size Report</v>
      </c>
      <c r="C94" t="str">
        <f>'Specific Names Main'!C94</f>
        <v>5C_</v>
      </c>
      <c r="D94">
        <f>'Specific Names Main'!D94</f>
        <v>0</v>
      </c>
      <c r="E94">
        <f>'Specific Names Main'!E94</f>
        <v>0</v>
      </c>
    </row>
    <row r="95" spans="1:5" x14ac:dyDescent="0.25">
      <c r="A95" t="str">
        <f>'Specific Names Main'!A95</f>
        <v>Zero Rated MOU</v>
      </c>
      <c r="B95" t="str">
        <f>'Specific Names Main'!B95</f>
        <v>Zero Rated MOU</v>
      </c>
      <c r="C95">
        <f>'Specific Names Main'!C95</f>
        <v>0</v>
      </c>
      <c r="D95">
        <f>'Specific Names Main'!D95</f>
        <v>0</v>
      </c>
      <c r="E95">
        <f>'Specific Names Main'!E95</f>
        <v>0</v>
      </c>
    </row>
    <row r="96" spans="1:5" x14ac:dyDescent="0.25">
      <c r="A96" t="str">
        <f>'Specific Names Main'!A96</f>
        <v>Facility Billed with Disconnects</v>
      </c>
      <c r="B96" t="str">
        <f>'Specific Names Main'!B96</f>
        <v>Facility Circuit Charges Billed Disconnected</v>
      </c>
      <c r="C96">
        <f>'Specific Names Main'!C96</f>
        <v>0</v>
      </c>
      <c r="D96">
        <f>'Specific Names Main'!D96</f>
        <v>0</v>
      </c>
      <c r="E96">
        <f>'Specific Names Main'!E96</f>
        <v>0</v>
      </c>
    </row>
    <row r="97" spans="1:5" x14ac:dyDescent="0.25">
      <c r="A97">
        <f>'Specific Names Main'!A97</f>
        <v>0</v>
      </c>
      <c r="B97">
        <f>'Specific Names Main'!B97</f>
        <v>0</v>
      </c>
      <c r="C97">
        <f>'Specific Names Main'!C97</f>
        <v>0</v>
      </c>
      <c r="D97">
        <f>'Specific Names Main'!D97</f>
        <v>0</v>
      </c>
      <c r="E97">
        <f>'Specific Names Main'!E97</f>
        <v>0</v>
      </c>
    </row>
    <row r="98" spans="1:5" x14ac:dyDescent="0.25">
      <c r="A98">
        <f>'Specific Names Main'!A98</f>
        <v>0</v>
      </c>
      <c r="B98">
        <f>'Specific Names Main'!B98</f>
        <v>0</v>
      </c>
      <c r="C98">
        <f>'Specific Names Main'!C98</f>
        <v>0</v>
      </c>
      <c r="D98">
        <f>'Specific Names Main'!D98</f>
        <v>0</v>
      </c>
      <c r="E98">
        <f>'Specific Names Main'!E98</f>
        <v>0</v>
      </c>
    </row>
    <row r="99" spans="1:5" x14ac:dyDescent="0.25">
      <c r="A99">
        <f>'Specific Names Main'!A99</f>
        <v>0</v>
      </c>
      <c r="B99">
        <f>'Specific Names Main'!B99</f>
        <v>0</v>
      </c>
      <c r="C99">
        <f>'Specific Names Main'!C99</f>
        <v>0</v>
      </c>
      <c r="D99">
        <f>'Specific Names Main'!D99</f>
        <v>0</v>
      </c>
      <c r="E99">
        <f>'Specific Names Main'!E99</f>
        <v>0</v>
      </c>
    </row>
    <row r="100" spans="1:5" x14ac:dyDescent="0.25">
      <c r="A100">
        <f>'Specific Names Main'!A100</f>
        <v>0</v>
      </c>
      <c r="B100">
        <f>'Specific Names Main'!B100</f>
        <v>0</v>
      </c>
      <c r="C100">
        <f>'Specific Names Main'!C100</f>
        <v>0</v>
      </c>
      <c r="D100">
        <f>'Specific Names Main'!D100</f>
        <v>0</v>
      </c>
      <c r="E100">
        <f>'Specific Names Main'!E100</f>
        <v>0</v>
      </c>
    </row>
    <row r="101" spans="1:5" x14ac:dyDescent="0.25">
      <c r="A101">
        <f>'Specific Names Main'!A101</f>
        <v>0</v>
      </c>
      <c r="B101">
        <f>'Specific Names Main'!B101</f>
        <v>0</v>
      </c>
      <c r="C101">
        <f>'Specific Names Main'!C101</f>
        <v>0</v>
      </c>
      <c r="D101">
        <f>'Specific Names Main'!D101</f>
        <v>0</v>
      </c>
      <c r="E101">
        <f>'Specific Names Main'!E101</f>
        <v>0</v>
      </c>
    </row>
    <row r="102" spans="1:5" x14ac:dyDescent="0.25">
      <c r="A102">
        <f>'Specific Names Main'!A102</f>
        <v>0</v>
      </c>
      <c r="B102">
        <f>'Specific Names Main'!B102</f>
        <v>0</v>
      </c>
      <c r="C102">
        <f>'Specific Names Main'!C102</f>
        <v>0</v>
      </c>
      <c r="D102">
        <f>'Specific Names Main'!D102</f>
        <v>0</v>
      </c>
      <c r="E102">
        <f>'Specific Names Main'!E102</f>
        <v>0</v>
      </c>
    </row>
    <row r="103" spans="1:5" x14ac:dyDescent="0.25">
      <c r="A103">
        <f>'Specific Names Main'!A103</f>
        <v>0</v>
      </c>
      <c r="B103">
        <f>'Specific Names Main'!B103</f>
        <v>0</v>
      </c>
      <c r="C103">
        <f>'Specific Names Main'!C103</f>
        <v>0</v>
      </c>
      <c r="D103">
        <f>'Specific Names Main'!D103</f>
        <v>0</v>
      </c>
      <c r="E103">
        <f>'Specific Names Main'!E103</f>
        <v>0</v>
      </c>
    </row>
    <row r="104" spans="1:5" x14ac:dyDescent="0.25">
      <c r="A104">
        <f>'Specific Names Main'!A104</f>
        <v>0</v>
      </c>
      <c r="B104">
        <f>'Specific Names Main'!B104</f>
        <v>0</v>
      </c>
      <c r="C104">
        <f>'Specific Names Main'!C104</f>
        <v>0</v>
      </c>
      <c r="D104">
        <f>'Specific Names Main'!D104</f>
        <v>0</v>
      </c>
      <c r="E104">
        <f>'Specific Names Main'!E104</f>
        <v>0</v>
      </c>
    </row>
    <row r="105" spans="1:5" x14ac:dyDescent="0.25">
      <c r="A105">
        <f>'Specific Names Main'!A105</f>
        <v>0</v>
      </c>
      <c r="B105">
        <f>'Specific Names Main'!B105</f>
        <v>0</v>
      </c>
      <c r="C105">
        <f>'Specific Names Main'!C105</f>
        <v>0</v>
      </c>
      <c r="D105">
        <f>'Specific Names Main'!D105</f>
        <v>0</v>
      </c>
      <c r="E105">
        <f>'Specific Names Main'!E105</f>
        <v>0</v>
      </c>
    </row>
    <row r="106" spans="1:5" x14ac:dyDescent="0.25">
      <c r="A106">
        <f>'Specific Names Main'!A106</f>
        <v>0</v>
      </c>
      <c r="B106">
        <f>'Specific Names Main'!B106</f>
        <v>0</v>
      </c>
      <c r="C106">
        <f>'Specific Names Main'!C106</f>
        <v>0</v>
      </c>
      <c r="D106">
        <f>'Specific Names Main'!D106</f>
        <v>0</v>
      </c>
      <c r="E106">
        <f>'Specific Names Main'!E106</f>
        <v>0</v>
      </c>
    </row>
    <row r="107" spans="1:5" x14ac:dyDescent="0.25">
      <c r="A107">
        <f>'Specific Names Main'!A107</f>
        <v>0</v>
      </c>
      <c r="B107">
        <f>'Specific Names Main'!B107</f>
        <v>0</v>
      </c>
      <c r="C107">
        <f>'Specific Names Main'!C107</f>
        <v>0</v>
      </c>
      <c r="D107">
        <f>'Specific Names Main'!D107</f>
        <v>0</v>
      </c>
      <c r="E107">
        <f>'Specific Names Main'!E107</f>
        <v>0</v>
      </c>
    </row>
    <row r="108" spans="1:5" x14ac:dyDescent="0.25">
      <c r="A108">
        <f>'Specific Names Main'!A108</f>
        <v>0</v>
      </c>
      <c r="B108">
        <f>'Specific Names Main'!B108</f>
        <v>0</v>
      </c>
      <c r="C108">
        <f>'Specific Names Main'!C108</f>
        <v>0</v>
      </c>
      <c r="D108">
        <f>'Specific Names Main'!D108</f>
        <v>0</v>
      </c>
      <c r="E108">
        <f>'Specific Names Main'!E108</f>
        <v>0</v>
      </c>
    </row>
    <row r="109" spans="1:5" x14ac:dyDescent="0.25">
      <c r="A109">
        <f>'Specific Names Main'!A109</f>
        <v>0</v>
      </c>
      <c r="B109">
        <f>'Specific Names Main'!B109</f>
        <v>0</v>
      </c>
      <c r="C109">
        <f>'Specific Names Main'!C109</f>
        <v>0</v>
      </c>
      <c r="D109">
        <f>'Specific Names Main'!D109</f>
        <v>0</v>
      </c>
      <c r="E109">
        <f>'Specific Names Main'!E109</f>
        <v>0</v>
      </c>
    </row>
    <row r="110" spans="1:5" x14ac:dyDescent="0.25">
      <c r="A110">
        <f>'Specific Names Main'!A110</f>
        <v>0</v>
      </c>
      <c r="B110">
        <f>'Specific Names Main'!B110</f>
        <v>0</v>
      </c>
      <c r="C110">
        <f>'Specific Names Main'!C110</f>
        <v>0</v>
      </c>
      <c r="D110">
        <f>'Specific Names Main'!D110</f>
        <v>0</v>
      </c>
      <c r="E110">
        <f>'Specific Names Main'!E110</f>
        <v>0</v>
      </c>
    </row>
    <row r="111" spans="1:5" x14ac:dyDescent="0.25">
      <c r="A111">
        <f>'Specific Names Main'!A111</f>
        <v>0</v>
      </c>
      <c r="B111">
        <f>'Specific Names Main'!B111</f>
        <v>0</v>
      </c>
      <c r="C111">
        <f>'Specific Names Main'!C111</f>
        <v>0</v>
      </c>
      <c r="D111">
        <f>'Specific Names Main'!D111</f>
        <v>0</v>
      </c>
      <c r="E111">
        <f>'Specific Names Main'!E111</f>
        <v>0</v>
      </c>
    </row>
    <row r="112" spans="1:5" x14ac:dyDescent="0.25">
      <c r="A112">
        <f>'Specific Names Main'!A112</f>
        <v>0</v>
      </c>
      <c r="B112">
        <f>'Specific Names Main'!B112</f>
        <v>0</v>
      </c>
      <c r="C112">
        <f>'Specific Names Main'!C112</f>
        <v>0</v>
      </c>
      <c r="D112">
        <f>'Specific Names Main'!D112</f>
        <v>0</v>
      </c>
      <c r="E112">
        <f>'Specific Names Main'!E112</f>
        <v>0</v>
      </c>
    </row>
    <row r="113" spans="1:5" x14ac:dyDescent="0.25">
      <c r="A113">
        <f>'Specific Names Main'!A113</f>
        <v>0</v>
      </c>
      <c r="B113">
        <f>'Specific Names Main'!B113</f>
        <v>0</v>
      </c>
      <c r="C113">
        <f>'Specific Names Main'!C113</f>
        <v>0</v>
      </c>
      <c r="D113">
        <f>'Specific Names Main'!D113</f>
        <v>0</v>
      </c>
      <c r="E113">
        <f>'Specific Names Main'!E113</f>
        <v>0</v>
      </c>
    </row>
    <row r="114" spans="1:5" x14ac:dyDescent="0.25">
      <c r="A114">
        <f>'Specific Names Main'!A114</f>
        <v>0</v>
      </c>
      <c r="B114">
        <f>'Specific Names Main'!B114</f>
        <v>0</v>
      </c>
      <c r="C114">
        <f>'Specific Names Main'!C114</f>
        <v>0</v>
      </c>
      <c r="D114">
        <f>'Specific Names Main'!D114</f>
        <v>0</v>
      </c>
      <c r="E114">
        <f>'Specific Names Main'!E114</f>
        <v>0</v>
      </c>
    </row>
    <row r="115" spans="1:5" x14ac:dyDescent="0.25">
      <c r="A115">
        <f>'Specific Names Main'!A115</f>
        <v>0</v>
      </c>
      <c r="B115">
        <f>'Specific Names Main'!B115</f>
        <v>0</v>
      </c>
      <c r="C115">
        <f>'Specific Names Main'!C115</f>
        <v>0</v>
      </c>
      <c r="D115">
        <f>'Specific Names Main'!D115</f>
        <v>0</v>
      </c>
      <c r="E115">
        <f>'Specific Names Main'!E115</f>
        <v>0</v>
      </c>
    </row>
    <row r="116" spans="1:5" x14ac:dyDescent="0.25">
      <c r="A116">
        <f>'Specific Names Main'!A116</f>
        <v>0</v>
      </c>
      <c r="B116">
        <f>'Specific Names Main'!B116</f>
        <v>0</v>
      </c>
      <c r="C116">
        <f>'Specific Names Main'!C116</f>
        <v>0</v>
      </c>
      <c r="D116">
        <f>'Specific Names Main'!D116</f>
        <v>0</v>
      </c>
      <c r="E116">
        <f>'Specific Names Main'!E116</f>
        <v>0</v>
      </c>
    </row>
    <row r="117" spans="1:5" x14ac:dyDescent="0.25">
      <c r="A117">
        <f>'Specific Names Main'!A117</f>
        <v>0</v>
      </c>
      <c r="B117">
        <f>'Specific Names Main'!B117</f>
        <v>0</v>
      </c>
      <c r="C117">
        <f>'Specific Names Main'!C117</f>
        <v>0</v>
      </c>
      <c r="D117">
        <f>'Specific Names Main'!D117</f>
        <v>0</v>
      </c>
      <c r="E117">
        <f>'Specific Names Main'!E117</f>
        <v>0</v>
      </c>
    </row>
    <row r="118" spans="1:5" x14ac:dyDescent="0.25">
      <c r="A118">
        <f>'Specific Names Main'!A118</f>
        <v>0</v>
      </c>
      <c r="B118">
        <f>'Specific Names Main'!B118</f>
        <v>0</v>
      </c>
      <c r="C118">
        <f>'Specific Names Main'!C118</f>
        <v>0</v>
      </c>
      <c r="D118">
        <f>'Specific Names Main'!D118</f>
        <v>0</v>
      </c>
      <c r="E118">
        <f>'Specific Names Main'!E118</f>
        <v>0</v>
      </c>
    </row>
    <row r="119" spans="1:5" x14ac:dyDescent="0.25">
      <c r="A119">
        <f>'Specific Names Main'!A119</f>
        <v>0</v>
      </c>
      <c r="B119">
        <f>'Specific Names Main'!B119</f>
        <v>0</v>
      </c>
      <c r="C119">
        <f>'Specific Names Main'!C119</f>
        <v>0</v>
      </c>
      <c r="D119">
        <f>'Specific Names Main'!D119</f>
        <v>0</v>
      </c>
      <c r="E119">
        <f>'Specific Names Main'!E119</f>
        <v>0</v>
      </c>
    </row>
    <row r="120" spans="1:5" x14ac:dyDescent="0.25">
      <c r="A120">
        <f>'Specific Names Main'!A120</f>
        <v>0</v>
      </c>
      <c r="B120">
        <f>'Specific Names Main'!B120</f>
        <v>0</v>
      </c>
      <c r="C120">
        <f>'Specific Names Main'!C120</f>
        <v>0</v>
      </c>
      <c r="D120">
        <f>'Specific Names Main'!D120</f>
        <v>0</v>
      </c>
      <c r="E120">
        <f>'Specific Names Main'!E120</f>
        <v>0</v>
      </c>
    </row>
    <row r="121" spans="1:5" x14ac:dyDescent="0.25">
      <c r="A121">
        <f>'Specific Names Main'!A121</f>
        <v>0</v>
      </c>
      <c r="B121">
        <f>'Specific Names Main'!B121</f>
        <v>0</v>
      </c>
      <c r="C121">
        <f>'Specific Names Main'!C121</f>
        <v>0</v>
      </c>
      <c r="D121">
        <f>'Specific Names Main'!D121</f>
        <v>0</v>
      </c>
      <c r="E121">
        <f>'Specific Names Main'!E121</f>
        <v>0</v>
      </c>
    </row>
    <row r="122" spans="1:5" x14ac:dyDescent="0.25">
      <c r="A122">
        <f>'Specific Names Main'!A122</f>
        <v>0</v>
      </c>
      <c r="B122">
        <f>'Specific Names Main'!B122</f>
        <v>0</v>
      </c>
      <c r="C122">
        <f>'Specific Names Main'!C122</f>
        <v>0</v>
      </c>
      <c r="D122">
        <f>'Specific Names Main'!D122</f>
        <v>0</v>
      </c>
      <c r="E122">
        <f>'Specific Names Main'!E122</f>
        <v>0</v>
      </c>
    </row>
    <row r="123" spans="1:5" x14ac:dyDescent="0.25">
      <c r="A123">
        <f>'Specific Names Main'!A123</f>
        <v>0</v>
      </c>
      <c r="B123">
        <f>'Specific Names Main'!B123</f>
        <v>0</v>
      </c>
      <c r="C123">
        <f>'Specific Names Main'!C123</f>
        <v>0</v>
      </c>
      <c r="D123">
        <f>'Specific Names Main'!D123</f>
        <v>0</v>
      </c>
      <c r="E123">
        <f>'Specific Names Main'!E123</f>
        <v>0</v>
      </c>
    </row>
    <row r="124" spans="1:5" x14ac:dyDescent="0.25">
      <c r="A124">
        <f>'Specific Names Main'!A124</f>
        <v>0</v>
      </c>
      <c r="B124">
        <f>'Specific Names Main'!B124</f>
        <v>0</v>
      </c>
      <c r="C124">
        <f>'Specific Names Main'!C124</f>
        <v>0</v>
      </c>
      <c r="D124">
        <f>'Specific Names Main'!D124</f>
        <v>0</v>
      </c>
      <c r="E124">
        <f>'Specific Names Main'!E124</f>
        <v>0</v>
      </c>
    </row>
    <row r="125" spans="1:5" x14ac:dyDescent="0.25">
      <c r="A125">
        <f>'Specific Names Main'!A125</f>
        <v>0</v>
      </c>
      <c r="B125">
        <f>'Specific Names Main'!B125</f>
        <v>0</v>
      </c>
      <c r="C125">
        <f>'Specific Names Main'!C125</f>
        <v>0</v>
      </c>
      <c r="D125">
        <f>'Specific Names Main'!D125</f>
        <v>0</v>
      </c>
      <c r="E125">
        <f>'Specific Names Main'!E125</f>
        <v>0</v>
      </c>
    </row>
    <row r="126" spans="1:5" x14ac:dyDescent="0.25">
      <c r="A126">
        <f>'Specific Names Main'!A126</f>
        <v>0</v>
      </c>
      <c r="B126">
        <f>'Specific Names Main'!B126</f>
        <v>0</v>
      </c>
      <c r="C126">
        <f>'Specific Names Main'!C126</f>
        <v>0</v>
      </c>
      <c r="D126">
        <f>'Specific Names Main'!D126</f>
        <v>0</v>
      </c>
      <c r="E126">
        <f>'Specific Names Main'!E126</f>
        <v>0</v>
      </c>
    </row>
    <row r="127" spans="1:5" x14ac:dyDescent="0.25">
      <c r="A127">
        <f>'Specific Names Main'!A127</f>
        <v>0</v>
      </c>
      <c r="B127">
        <f>'Specific Names Main'!B127</f>
        <v>0</v>
      </c>
      <c r="C127">
        <f>'Specific Names Main'!C127</f>
        <v>0</v>
      </c>
      <c r="D127">
        <f>'Specific Names Main'!D127</f>
        <v>0</v>
      </c>
      <c r="E127">
        <f>'Specific Names Main'!E127</f>
        <v>0</v>
      </c>
    </row>
    <row r="128" spans="1:5" x14ac:dyDescent="0.25">
      <c r="A128">
        <f>'Specific Names Main'!A128</f>
        <v>0</v>
      </c>
      <c r="B128">
        <f>'Specific Names Main'!B128</f>
        <v>0</v>
      </c>
      <c r="C128">
        <f>'Specific Names Main'!C128</f>
        <v>0</v>
      </c>
      <c r="D128">
        <f>'Specific Names Main'!D128</f>
        <v>0</v>
      </c>
      <c r="E128">
        <f>'Specific Names Main'!E128</f>
        <v>0</v>
      </c>
    </row>
    <row r="129" spans="1:5" x14ac:dyDescent="0.25">
      <c r="A129">
        <f>'Specific Names Main'!A129</f>
        <v>0</v>
      </c>
      <c r="B129">
        <f>'Specific Names Main'!B129</f>
        <v>0</v>
      </c>
      <c r="C129">
        <f>'Specific Names Main'!C129</f>
        <v>0</v>
      </c>
      <c r="D129">
        <f>'Specific Names Main'!D129</f>
        <v>0</v>
      </c>
      <c r="E129">
        <f>'Specific Names Main'!E129</f>
        <v>0</v>
      </c>
    </row>
    <row r="130" spans="1:5" x14ac:dyDescent="0.25">
      <c r="A130">
        <f>'Specific Names Main'!A130</f>
        <v>0</v>
      </c>
      <c r="B130">
        <f>'Specific Names Main'!B130</f>
        <v>0</v>
      </c>
      <c r="C130">
        <f>'Specific Names Main'!C130</f>
        <v>0</v>
      </c>
      <c r="D130">
        <f>'Specific Names Main'!D130</f>
        <v>0</v>
      </c>
      <c r="E130">
        <f>'Specific Names Main'!E130</f>
        <v>0</v>
      </c>
    </row>
    <row r="131" spans="1:5" x14ac:dyDescent="0.25">
      <c r="A131">
        <f>'Specific Names Main'!A131</f>
        <v>0</v>
      </c>
      <c r="B131">
        <f>'Specific Names Main'!B131</f>
        <v>0</v>
      </c>
      <c r="C131">
        <f>'Specific Names Main'!C131</f>
        <v>0</v>
      </c>
      <c r="D131">
        <f>'Specific Names Main'!D131</f>
        <v>0</v>
      </c>
      <c r="E131">
        <f>'Specific Names Main'!E131</f>
        <v>0</v>
      </c>
    </row>
    <row r="132" spans="1:5" x14ac:dyDescent="0.25">
      <c r="A132">
        <f>'Specific Names Main'!A132</f>
        <v>0</v>
      </c>
      <c r="B132">
        <f>'Specific Names Main'!B132</f>
        <v>0</v>
      </c>
      <c r="C132">
        <f>'Specific Names Main'!C132</f>
        <v>0</v>
      </c>
      <c r="D132">
        <f>'Specific Names Main'!D132</f>
        <v>0</v>
      </c>
      <c r="E132">
        <f>'Specific Names Main'!E132</f>
        <v>0</v>
      </c>
    </row>
    <row r="133" spans="1:5" x14ac:dyDescent="0.25">
      <c r="A133">
        <f>'Specific Names Main'!A133</f>
        <v>0</v>
      </c>
      <c r="B133">
        <f>'Specific Names Main'!B133</f>
        <v>0</v>
      </c>
      <c r="C133">
        <f>'Specific Names Main'!C133</f>
        <v>0</v>
      </c>
      <c r="D133">
        <f>'Specific Names Main'!D133</f>
        <v>0</v>
      </c>
      <c r="E133">
        <f>'Specific Names Main'!E133</f>
        <v>0</v>
      </c>
    </row>
    <row r="134" spans="1:5" x14ac:dyDescent="0.25">
      <c r="A134">
        <f>'Specific Names Main'!A134</f>
        <v>0</v>
      </c>
      <c r="B134">
        <f>'Specific Names Main'!B134</f>
        <v>0</v>
      </c>
      <c r="C134">
        <f>'Specific Names Main'!C134</f>
        <v>0</v>
      </c>
      <c r="D134">
        <f>'Specific Names Main'!D134</f>
        <v>0</v>
      </c>
      <c r="E134">
        <f>'Specific Names Main'!E134</f>
        <v>0</v>
      </c>
    </row>
    <row r="135" spans="1:5" x14ac:dyDescent="0.25">
      <c r="A135">
        <f>'Specific Names Main'!A135</f>
        <v>0</v>
      </c>
      <c r="B135">
        <f>'Specific Names Main'!B135</f>
        <v>0</v>
      </c>
      <c r="C135">
        <f>'Specific Names Main'!C135</f>
        <v>0</v>
      </c>
      <c r="D135">
        <f>'Specific Names Main'!D135</f>
        <v>0</v>
      </c>
      <c r="E135">
        <f>'Specific Names Main'!E135</f>
        <v>0</v>
      </c>
    </row>
    <row r="136" spans="1:5" x14ac:dyDescent="0.25">
      <c r="A136">
        <f>'Specific Names Main'!A136</f>
        <v>0</v>
      </c>
      <c r="B136">
        <f>'Specific Names Main'!B136</f>
        <v>0</v>
      </c>
      <c r="C136">
        <f>'Specific Names Main'!C136</f>
        <v>0</v>
      </c>
      <c r="D136">
        <f>'Specific Names Main'!D136</f>
        <v>0</v>
      </c>
      <c r="E136">
        <f>'Specific Names Main'!E136</f>
        <v>0</v>
      </c>
    </row>
    <row r="137" spans="1:5" x14ac:dyDescent="0.25">
      <c r="A137">
        <f>'Specific Names Main'!A137</f>
        <v>0</v>
      </c>
      <c r="B137">
        <f>'Specific Names Main'!B137</f>
        <v>0</v>
      </c>
      <c r="C137">
        <f>'Specific Names Main'!C137</f>
        <v>0</v>
      </c>
      <c r="D137">
        <f>'Specific Names Main'!D137</f>
        <v>0</v>
      </c>
      <c r="E137">
        <f>'Specific Names Main'!E137</f>
        <v>0</v>
      </c>
    </row>
    <row r="138" spans="1:5" x14ac:dyDescent="0.25">
      <c r="A138">
        <f>'Specific Names Main'!A138</f>
        <v>0</v>
      </c>
      <c r="B138">
        <f>'Specific Names Main'!B138</f>
        <v>0</v>
      </c>
      <c r="C138">
        <f>'Specific Names Main'!C138</f>
        <v>0</v>
      </c>
      <c r="D138">
        <f>'Specific Names Main'!D138</f>
        <v>0</v>
      </c>
      <c r="E138">
        <f>'Specific Names Main'!E138</f>
        <v>0</v>
      </c>
    </row>
    <row r="139" spans="1:5" x14ac:dyDescent="0.25">
      <c r="A139">
        <f>'Specific Names Main'!A139</f>
        <v>0</v>
      </c>
      <c r="B139">
        <f>'Specific Names Main'!B139</f>
        <v>0</v>
      </c>
      <c r="C139">
        <f>'Specific Names Main'!C139</f>
        <v>0</v>
      </c>
      <c r="D139">
        <f>'Specific Names Main'!D139</f>
        <v>0</v>
      </c>
      <c r="E139">
        <f>'Specific Names Main'!E139</f>
        <v>0</v>
      </c>
    </row>
    <row r="140" spans="1:5" x14ac:dyDescent="0.25">
      <c r="A140">
        <f>'Specific Names Main'!A140</f>
        <v>0</v>
      </c>
      <c r="B140">
        <f>'Specific Names Main'!B140</f>
        <v>0</v>
      </c>
      <c r="C140">
        <f>'Specific Names Main'!C140</f>
        <v>0</v>
      </c>
      <c r="D140">
        <f>'Specific Names Main'!D140</f>
        <v>0</v>
      </c>
      <c r="E140">
        <f>'Specific Names Main'!E140</f>
        <v>0</v>
      </c>
    </row>
    <row r="141" spans="1:5" x14ac:dyDescent="0.25">
      <c r="A141">
        <f>'Specific Names Main'!A141</f>
        <v>0</v>
      </c>
      <c r="B141">
        <f>'Specific Names Main'!B141</f>
        <v>0</v>
      </c>
      <c r="C141">
        <f>'Specific Names Main'!C141</f>
        <v>0</v>
      </c>
      <c r="D141">
        <f>'Specific Names Main'!D141</f>
        <v>0</v>
      </c>
      <c r="E141">
        <f>'Specific Names Main'!E141</f>
        <v>0</v>
      </c>
    </row>
    <row r="142" spans="1:5" x14ac:dyDescent="0.25">
      <c r="A142">
        <f>'Specific Names Main'!A142</f>
        <v>0</v>
      </c>
      <c r="B142">
        <f>'Specific Names Main'!B142</f>
        <v>0</v>
      </c>
      <c r="C142">
        <f>'Specific Names Main'!C142</f>
        <v>0</v>
      </c>
      <c r="D142">
        <f>'Specific Names Main'!D142</f>
        <v>0</v>
      </c>
      <c r="E142">
        <f>'Specific Names Main'!E142</f>
        <v>0</v>
      </c>
    </row>
    <row r="143" spans="1:5" x14ac:dyDescent="0.25">
      <c r="A143">
        <f>'Specific Names Main'!A143</f>
        <v>0</v>
      </c>
      <c r="B143">
        <f>'Specific Names Main'!B143</f>
        <v>0</v>
      </c>
      <c r="C143">
        <f>'Specific Names Main'!C143</f>
        <v>0</v>
      </c>
      <c r="D143">
        <f>'Specific Names Main'!D143</f>
        <v>0</v>
      </c>
      <c r="E143">
        <f>'Specific Names Main'!E143</f>
        <v>0</v>
      </c>
    </row>
    <row r="144" spans="1:5" x14ac:dyDescent="0.25">
      <c r="A144">
        <f>'Specific Names Main'!A144</f>
        <v>0</v>
      </c>
      <c r="B144">
        <f>'Specific Names Main'!B144</f>
        <v>0</v>
      </c>
      <c r="C144">
        <f>'Specific Names Main'!C144</f>
        <v>0</v>
      </c>
      <c r="D144">
        <f>'Specific Names Main'!D144</f>
        <v>0</v>
      </c>
      <c r="E144">
        <f>'Specific Names Main'!E144</f>
        <v>0</v>
      </c>
    </row>
    <row r="145" spans="1:5" x14ac:dyDescent="0.25">
      <c r="A145">
        <f>'Specific Names Main'!A145</f>
        <v>0</v>
      </c>
      <c r="B145">
        <f>'Specific Names Main'!B145</f>
        <v>0</v>
      </c>
      <c r="C145">
        <f>'Specific Names Main'!C145</f>
        <v>0</v>
      </c>
      <c r="D145">
        <f>'Specific Names Main'!D145</f>
        <v>0</v>
      </c>
      <c r="E145">
        <f>'Specific Names Main'!E145</f>
        <v>0</v>
      </c>
    </row>
    <row r="146" spans="1:5" x14ac:dyDescent="0.25">
      <c r="A146">
        <f>'Specific Names Main'!A146</f>
        <v>0</v>
      </c>
      <c r="B146">
        <f>'Specific Names Main'!B146</f>
        <v>0</v>
      </c>
      <c r="C146">
        <f>'Specific Names Main'!C146</f>
        <v>0</v>
      </c>
      <c r="D146">
        <f>'Specific Names Main'!D146</f>
        <v>0</v>
      </c>
      <c r="E146">
        <f>'Specific Names Main'!E146</f>
        <v>0</v>
      </c>
    </row>
    <row r="147" spans="1:5" x14ac:dyDescent="0.25">
      <c r="A147">
        <f>'Specific Names Main'!A147</f>
        <v>0</v>
      </c>
      <c r="B147">
        <f>'Specific Names Main'!B147</f>
        <v>0</v>
      </c>
      <c r="C147">
        <f>'Specific Names Main'!C147</f>
        <v>0</v>
      </c>
      <c r="D147">
        <f>'Specific Names Main'!D147</f>
        <v>0</v>
      </c>
      <c r="E147">
        <f>'Specific Names Main'!E147</f>
        <v>0</v>
      </c>
    </row>
    <row r="148" spans="1:5" x14ac:dyDescent="0.25">
      <c r="A148">
        <f>'Specific Names Main'!A148</f>
        <v>0</v>
      </c>
      <c r="B148">
        <f>'Specific Names Main'!B148</f>
        <v>0</v>
      </c>
      <c r="C148">
        <f>'Specific Names Main'!C148</f>
        <v>0</v>
      </c>
      <c r="D148">
        <f>'Specific Names Main'!D148</f>
        <v>0</v>
      </c>
      <c r="E148">
        <f>'Specific Names Main'!E148</f>
        <v>0</v>
      </c>
    </row>
    <row r="149" spans="1:5" x14ac:dyDescent="0.25">
      <c r="A149">
        <f>'Specific Names Main'!A149</f>
        <v>0</v>
      </c>
      <c r="B149">
        <f>'Specific Names Main'!B149</f>
        <v>0</v>
      </c>
      <c r="C149">
        <f>'Specific Names Main'!C149</f>
        <v>0</v>
      </c>
      <c r="D149">
        <f>'Specific Names Main'!D149</f>
        <v>0</v>
      </c>
      <c r="E149">
        <f>'Specific Names Main'!E149</f>
        <v>0</v>
      </c>
    </row>
    <row r="150" spans="1:5" x14ac:dyDescent="0.25">
      <c r="A150">
        <f>'Specific Names Main'!A150</f>
        <v>0</v>
      </c>
      <c r="B150">
        <f>'Specific Names Main'!B150</f>
        <v>0</v>
      </c>
      <c r="C150">
        <f>'Specific Names Main'!C150</f>
        <v>0</v>
      </c>
      <c r="D150">
        <f>'Specific Names Main'!D150</f>
        <v>0</v>
      </c>
      <c r="E150">
        <f>'Specific Names Main'!E150</f>
        <v>0</v>
      </c>
    </row>
    <row r="151" spans="1:5" x14ac:dyDescent="0.25">
      <c r="A151">
        <f>'Specific Names Main'!A151</f>
        <v>0</v>
      </c>
      <c r="B151">
        <f>'Specific Names Main'!B151</f>
        <v>0</v>
      </c>
      <c r="C151">
        <f>'Specific Names Main'!C151</f>
        <v>0</v>
      </c>
      <c r="D151">
        <f>'Specific Names Main'!D151</f>
        <v>0</v>
      </c>
      <c r="E151">
        <f>'Specific Names Main'!E151</f>
        <v>0</v>
      </c>
    </row>
    <row r="152" spans="1:5" x14ac:dyDescent="0.25">
      <c r="A152">
        <f>'Specific Names Main'!A152</f>
        <v>0</v>
      </c>
      <c r="B152">
        <f>'Specific Names Main'!B152</f>
        <v>0</v>
      </c>
      <c r="C152">
        <f>'Specific Names Main'!C152</f>
        <v>0</v>
      </c>
      <c r="D152">
        <f>'Specific Names Main'!D152</f>
        <v>0</v>
      </c>
      <c r="E152">
        <f>'Specific Names Main'!E152</f>
        <v>0</v>
      </c>
    </row>
    <row r="153" spans="1:5" x14ac:dyDescent="0.25">
      <c r="A153">
        <f>'Specific Names Main'!A153</f>
        <v>0</v>
      </c>
      <c r="B153">
        <f>'Specific Names Main'!B153</f>
        <v>0</v>
      </c>
      <c r="C153">
        <f>'Specific Names Main'!C153</f>
        <v>0</v>
      </c>
      <c r="D153">
        <f>'Specific Names Main'!D153</f>
        <v>0</v>
      </c>
      <c r="E153">
        <f>'Specific Names Main'!E153</f>
        <v>0</v>
      </c>
    </row>
    <row r="154" spans="1:5" x14ac:dyDescent="0.25">
      <c r="A154">
        <f>'Specific Names Main'!A154</f>
        <v>0</v>
      </c>
      <c r="B154">
        <f>'Specific Names Main'!B154</f>
        <v>0</v>
      </c>
      <c r="C154">
        <f>'Specific Names Main'!C154</f>
        <v>0</v>
      </c>
      <c r="D154">
        <f>'Specific Names Main'!D154</f>
        <v>0</v>
      </c>
      <c r="E154">
        <f>'Specific Names Main'!E154</f>
        <v>0</v>
      </c>
    </row>
    <row r="155" spans="1:5" x14ac:dyDescent="0.25">
      <c r="A155">
        <f>'Specific Names Main'!A155</f>
        <v>0</v>
      </c>
      <c r="B155">
        <f>'Specific Names Main'!B155</f>
        <v>0</v>
      </c>
      <c r="C155">
        <f>'Specific Names Main'!C155</f>
        <v>0</v>
      </c>
      <c r="D155">
        <f>'Specific Names Main'!D155</f>
        <v>0</v>
      </c>
      <c r="E155">
        <f>'Specific Names Main'!E155</f>
        <v>0</v>
      </c>
    </row>
    <row r="156" spans="1:5" x14ac:dyDescent="0.25">
      <c r="A156">
        <f>'Specific Names Main'!A156</f>
        <v>0</v>
      </c>
      <c r="B156">
        <f>'Specific Names Main'!B156</f>
        <v>0</v>
      </c>
      <c r="C156">
        <f>'Specific Names Main'!C156</f>
        <v>0</v>
      </c>
      <c r="D156">
        <f>'Specific Names Main'!D156</f>
        <v>0</v>
      </c>
      <c r="E156">
        <f>'Specific Names Main'!E156</f>
        <v>0</v>
      </c>
    </row>
    <row r="157" spans="1:5" x14ac:dyDescent="0.25">
      <c r="A157">
        <f>'Specific Names Main'!A157</f>
        <v>0</v>
      </c>
      <c r="B157">
        <f>'Specific Names Main'!B157</f>
        <v>0</v>
      </c>
      <c r="C157">
        <f>'Specific Names Main'!C157</f>
        <v>0</v>
      </c>
      <c r="D157">
        <f>'Specific Names Main'!D157</f>
        <v>0</v>
      </c>
      <c r="E157">
        <f>'Specific Names Main'!E157</f>
        <v>0</v>
      </c>
    </row>
    <row r="158" spans="1:5" x14ac:dyDescent="0.25">
      <c r="A158">
        <f>'Specific Names Main'!A158</f>
        <v>0</v>
      </c>
      <c r="B158">
        <f>'Specific Names Main'!B158</f>
        <v>0</v>
      </c>
      <c r="C158">
        <f>'Specific Names Main'!C158</f>
        <v>0</v>
      </c>
      <c r="D158">
        <f>'Specific Names Main'!D158</f>
        <v>0</v>
      </c>
      <c r="E158">
        <f>'Specific Names Main'!E158</f>
        <v>0</v>
      </c>
    </row>
    <row r="159" spans="1:5" x14ac:dyDescent="0.25">
      <c r="A159">
        <f>'Specific Names Main'!A159</f>
        <v>0</v>
      </c>
      <c r="B159">
        <f>'Specific Names Main'!B159</f>
        <v>0</v>
      </c>
      <c r="C159">
        <f>'Specific Names Main'!C159</f>
        <v>0</v>
      </c>
      <c r="D159">
        <f>'Specific Names Main'!D159</f>
        <v>0</v>
      </c>
      <c r="E159">
        <f>'Specific Names Main'!E159</f>
        <v>0</v>
      </c>
    </row>
    <row r="160" spans="1:5" x14ac:dyDescent="0.25">
      <c r="A160">
        <f>'Specific Names Main'!A160</f>
        <v>0</v>
      </c>
      <c r="B160">
        <f>'Specific Names Main'!B160</f>
        <v>0</v>
      </c>
      <c r="C160">
        <f>'Specific Names Main'!C160</f>
        <v>0</v>
      </c>
      <c r="D160">
        <f>'Specific Names Main'!D160</f>
        <v>0</v>
      </c>
      <c r="E160">
        <f>'Specific Names Main'!E160</f>
        <v>0</v>
      </c>
    </row>
    <row r="161" spans="1:5" x14ac:dyDescent="0.25">
      <c r="A161">
        <f>'Specific Names Main'!A161</f>
        <v>0</v>
      </c>
      <c r="B161">
        <f>'Specific Names Main'!B161</f>
        <v>0</v>
      </c>
      <c r="C161">
        <f>'Specific Names Main'!C161</f>
        <v>0</v>
      </c>
      <c r="D161">
        <f>'Specific Names Main'!D161</f>
        <v>0</v>
      </c>
      <c r="E161">
        <f>'Specific Names Main'!E161</f>
        <v>0</v>
      </c>
    </row>
    <row r="162" spans="1:5" x14ac:dyDescent="0.25">
      <c r="A162">
        <f>'Specific Names Main'!A162</f>
        <v>0</v>
      </c>
      <c r="B162">
        <f>'Specific Names Main'!B162</f>
        <v>0</v>
      </c>
      <c r="C162">
        <f>'Specific Names Main'!C162</f>
        <v>0</v>
      </c>
      <c r="D162">
        <f>'Specific Names Main'!D162</f>
        <v>0</v>
      </c>
      <c r="E162">
        <f>'Specific Names Main'!E162</f>
        <v>0</v>
      </c>
    </row>
    <row r="163" spans="1:5" x14ac:dyDescent="0.25">
      <c r="A163">
        <f>'Specific Names Main'!A163</f>
        <v>0</v>
      </c>
      <c r="B163">
        <f>'Specific Names Main'!B163</f>
        <v>0</v>
      </c>
      <c r="C163">
        <f>'Specific Names Main'!C163</f>
        <v>0</v>
      </c>
      <c r="D163">
        <f>'Specific Names Main'!D163</f>
        <v>0</v>
      </c>
      <c r="E163">
        <f>'Specific Names Main'!E163</f>
        <v>0</v>
      </c>
    </row>
    <row r="164" spans="1:5" x14ac:dyDescent="0.25">
      <c r="A164">
        <f>'Specific Names Main'!A164</f>
        <v>0</v>
      </c>
      <c r="B164">
        <f>'Specific Names Main'!B164</f>
        <v>0</v>
      </c>
      <c r="C164">
        <f>'Specific Names Main'!C164</f>
        <v>0</v>
      </c>
      <c r="D164">
        <f>'Specific Names Main'!D164</f>
        <v>0</v>
      </c>
      <c r="E164">
        <f>'Specific Names Main'!E164</f>
        <v>0</v>
      </c>
    </row>
    <row r="165" spans="1:5" x14ac:dyDescent="0.25">
      <c r="A165">
        <f>'Specific Names Main'!A165</f>
        <v>0</v>
      </c>
      <c r="B165">
        <f>'Specific Names Main'!B165</f>
        <v>0</v>
      </c>
      <c r="C165">
        <f>'Specific Names Main'!C165</f>
        <v>0</v>
      </c>
      <c r="D165">
        <f>'Specific Names Main'!D165</f>
        <v>0</v>
      </c>
      <c r="E165">
        <f>'Specific Names Main'!E165</f>
        <v>0</v>
      </c>
    </row>
    <row r="166" spans="1:5" x14ac:dyDescent="0.25">
      <c r="A166">
        <f>'Specific Names Main'!A166</f>
        <v>0</v>
      </c>
      <c r="B166">
        <f>'Specific Names Main'!B166</f>
        <v>0</v>
      </c>
      <c r="C166">
        <f>'Specific Names Main'!C166</f>
        <v>0</v>
      </c>
      <c r="D166">
        <f>'Specific Names Main'!D166</f>
        <v>0</v>
      </c>
      <c r="E166">
        <f>'Specific Names Main'!E166</f>
        <v>0</v>
      </c>
    </row>
    <row r="167" spans="1:5" x14ac:dyDescent="0.25">
      <c r="A167">
        <f>'Specific Names Main'!A167</f>
        <v>0</v>
      </c>
      <c r="B167">
        <f>'Specific Names Main'!B167</f>
        <v>0</v>
      </c>
      <c r="C167">
        <f>'Specific Names Main'!C167</f>
        <v>0</v>
      </c>
      <c r="D167">
        <f>'Specific Names Main'!D167</f>
        <v>0</v>
      </c>
      <c r="E167">
        <f>'Specific Names Main'!E167</f>
        <v>0</v>
      </c>
    </row>
    <row r="168" spans="1:5" x14ac:dyDescent="0.25">
      <c r="A168">
        <f>'Specific Names Main'!A168</f>
        <v>0</v>
      </c>
      <c r="B168">
        <f>'Specific Names Main'!B168</f>
        <v>0</v>
      </c>
      <c r="C168">
        <f>'Specific Names Main'!C168</f>
        <v>0</v>
      </c>
      <c r="D168">
        <f>'Specific Names Main'!D168</f>
        <v>0</v>
      </c>
      <c r="E168">
        <f>'Specific Names Main'!E168</f>
        <v>0</v>
      </c>
    </row>
    <row r="169" spans="1:5" x14ac:dyDescent="0.25">
      <c r="A169">
        <f>'Specific Names Main'!A169</f>
        <v>0</v>
      </c>
      <c r="B169">
        <f>'Specific Names Main'!B169</f>
        <v>0</v>
      </c>
      <c r="C169">
        <f>'Specific Names Main'!C169</f>
        <v>0</v>
      </c>
      <c r="D169">
        <f>'Specific Names Main'!D169</f>
        <v>0</v>
      </c>
      <c r="E169">
        <f>'Specific Names Main'!E169</f>
        <v>0</v>
      </c>
    </row>
    <row r="170" spans="1:5" x14ac:dyDescent="0.25">
      <c r="A170">
        <f>'Specific Names Main'!A170</f>
        <v>0</v>
      </c>
      <c r="B170">
        <f>'Specific Names Main'!B170</f>
        <v>0</v>
      </c>
      <c r="C170">
        <f>'Specific Names Main'!C170</f>
        <v>0</v>
      </c>
      <c r="D170">
        <f>'Specific Names Main'!D170</f>
        <v>0</v>
      </c>
      <c r="E170">
        <f>'Specific Names Main'!E170</f>
        <v>0</v>
      </c>
    </row>
    <row r="171" spans="1:5" x14ac:dyDescent="0.25">
      <c r="A171">
        <f>'Specific Names Main'!A171</f>
        <v>0</v>
      </c>
      <c r="B171">
        <f>'Specific Names Main'!B171</f>
        <v>0</v>
      </c>
      <c r="C171">
        <f>'Specific Names Main'!C171</f>
        <v>0</v>
      </c>
      <c r="D171">
        <f>'Specific Names Main'!D171</f>
        <v>0</v>
      </c>
      <c r="E171">
        <f>'Specific Names Main'!E171</f>
        <v>0</v>
      </c>
    </row>
    <row r="172" spans="1:5" x14ac:dyDescent="0.25">
      <c r="A172">
        <f>'Specific Names Main'!A172</f>
        <v>0</v>
      </c>
      <c r="B172">
        <f>'Specific Names Main'!B172</f>
        <v>0</v>
      </c>
      <c r="C172">
        <f>'Specific Names Main'!C172</f>
        <v>0</v>
      </c>
      <c r="D172">
        <f>'Specific Names Main'!D172</f>
        <v>0</v>
      </c>
      <c r="E172">
        <f>'Specific Names Main'!E172</f>
        <v>0</v>
      </c>
    </row>
    <row r="173" spans="1:5" x14ac:dyDescent="0.25">
      <c r="A173">
        <f>'Specific Names Main'!A173</f>
        <v>0</v>
      </c>
      <c r="B173">
        <f>'Specific Names Main'!B173</f>
        <v>0</v>
      </c>
      <c r="C173">
        <f>'Specific Names Main'!C173</f>
        <v>0</v>
      </c>
      <c r="D173">
        <f>'Specific Names Main'!D173</f>
        <v>0</v>
      </c>
      <c r="E173">
        <f>'Specific Names Main'!E173</f>
        <v>0</v>
      </c>
    </row>
    <row r="174" spans="1:5" x14ac:dyDescent="0.25">
      <c r="A174">
        <f>'Specific Names Main'!A174</f>
        <v>0</v>
      </c>
      <c r="B174">
        <f>'Specific Names Main'!B174</f>
        <v>0</v>
      </c>
      <c r="C174">
        <f>'Specific Names Main'!C174</f>
        <v>0</v>
      </c>
      <c r="D174">
        <f>'Specific Names Main'!D174</f>
        <v>0</v>
      </c>
      <c r="E174">
        <f>'Specific Names Main'!E174</f>
        <v>0</v>
      </c>
    </row>
    <row r="175" spans="1:5" x14ac:dyDescent="0.25">
      <c r="A175">
        <f>'Specific Names Main'!A175</f>
        <v>0</v>
      </c>
      <c r="B175">
        <f>'Specific Names Main'!B175</f>
        <v>0</v>
      </c>
      <c r="C175">
        <f>'Specific Names Main'!C175</f>
        <v>0</v>
      </c>
      <c r="D175">
        <f>'Specific Names Main'!D175</f>
        <v>0</v>
      </c>
      <c r="E175">
        <f>'Specific Names Main'!E175</f>
        <v>0</v>
      </c>
    </row>
    <row r="176" spans="1:5" x14ac:dyDescent="0.25">
      <c r="A176">
        <f>'Specific Names Main'!A176</f>
        <v>0</v>
      </c>
      <c r="B176">
        <f>'Specific Names Main'!B176</f>
        <v>0</v>
      </c>
      <c r="C176">
        <f>'Specific Names Main'!C176</f>
        <v>0</v>
      </c>
      <c r="D176">
        <f>'Specific Names Main'!D176</f>
        <v>0</v>
      </c>
      <c r="E176">
        <f>'Specific Names Main'!E176</f>
        <v>0</v>
      </c>
    </row>
    <row r="177" spans="1:5" x14ac:dyDescent="0.25">
      <c r="A177">
        <f>'Specific Names Main'!A177</f>
        <v>0</v>
      </c>
      <c r="B177">
        <f>'Specific Names Main'!B177</f>
        <v>0</v>
      </c>
      <c r="C177">
        <f>'Specific Names Main'!C177</f>
        <v>0</v>
      </c>
      <c r="D177">
        <f>'Specific Names Main'!D177</f>
        <v>0</v>
      </c>
      <c r="E177">
        <f>'Specific Names Main'!E177</f>
        <v>0</v>
      </c>
    </row>
    <row r="178" spans="1:5" x14ac:dyDescent="0.25">
      <c r="A178">
        <f>'Specific Names Main'!A178</f>
        <v>0</v>
      </c>
      <c r="B178">
        <f>'Specific Names Main'!B178</f>
        <v>0</v>
      </c>
      <c r="C178">
        <f>'Specific Names Main'!C178</f>
        <v>0</v>
      </c>
      <c r="D178">
        <f>'Specific Names Main'!D178</f>
        <v>0</v>
      </c>
      <c r="E178">
        <f>'Specific Names Main'!E178</f>
        <v>0</v>
      </c>
    </row>
    <row r="179" spans="1:5" x14ac:dyDescent="0.25">
      <c r="A179">
        <f>'Specific Names Main'!A179</f>
        <v>0</v>
      </c>
      <c r="B179">
        <f>'Specific Names Main'!B179</f>
        <v>0</v>
      </c>
      <c r="C179">
        <f>'Specific Names Main'!C179</f>
        <v>0</v>
      </c>
      <c r="D179">
        <f>'Specific Names Main'!D179</f>
        <v>0</v>
      </c>
      <c r="E179">
        <f>'Specific Names Main'!E179</f>
        <v>0</v>
      </c>
    </row>
    <row r="180" spans="1:5" x14ac:dyDescent="0.25">
      <c r="A180">
        <f>'Specific Names Main'!A180</f>
        <v>0</v>
      </c>
      <c r="B180">
        <f>'Specific Names Main'!B180</f>
        <v>0</v>
      </c>
      <c r="C180">
        <f>'Specific Names Main'!C180</f>
        <v>0</v>
      </c>
      <c r="D180">
        <f>'Specific Names Main'!D180</f>
        <v>0</v>
      </c>
      <c r="E180">
        <f>'Specific Names Main'!E180</f>
        <v>0</v>
      </c>
    </row>
    <row r="181" spans="1:5" x14ac:dyDescent="0.25">
      <c r="A181">
        <f>'Specific Names Main'!A181</f>
        <v>0</v>
      </c>
      <c r="B181">
        <f>'Specific Names Main'!B181</f>
        <v>0</v>
      </c>
      <c r="C181">
        <f>'Specific Names Main'!C181</f>
        <v>0</v>
      </c>
      <c r="D181">
        <f>'Specific Names Main'!D181</f>
        <v>0</v>
      </c>
      <c r="E181">
        <f>'Specific Names Main'!E181</f>
        <v>0</v>
      </c>
    </row>
    <row r="182" spans="1:5" x14ac:dyDescent="0.25">
      <c r="A182">
        <f>'Specific Names Main'!A182</f>
        <v>0</v>
      </c>
      <c r="B182">
        <f>'Specific Names Main'!B182</f>
        <v>0</v>
      </c>
      <c r="C182">
        <f>'Specific Names Main'!C182</f>
        <v>0</v>
      </c>
      <c r="D182">
        <f>'Specific Names Main'!D182</f>
        <v>0</v>
      </c>
      <c r="E182">
        <f>'Specific Names Main'!E182</f>
        <v>0</v>
      </c>
    </row>
    <row r="183" spans="1:5" x14ac:dyDescent="0.25">
      <c r="A183">
        <f>'Specific Names Main'!A183</f>
        <v>0</v>
      </c>
      <c r="B183">
        <f>'Specific Names Main'!B183</f>
        <v>0</v>
      </c>
      <c r="C183">
        <f>'Specific Names Main'!C183</f>
        <v>0</v>
      </c>
      <c r="D183">
        <f>'Specific Names Main'!D183</f>
        <v>0</v>
      </c>
      <c r="E183">
        <f>'Specific Names Main'!E183</f>
        <v>0</v>
      </c>
    </row>
    <row r="184" spans="1:5" x14ac:dyDescent="0.25">
      <c r="A184">
        <f>'Specific Names Main'!A184</f>
        <v>0</v>
      </c>
      <c r="B184">
        <f>'Specific Names Main'!B184</f>
        <v>0</v>
      </c>
      <c r="C184">
        <f>'Specific Names Main'!C184</f>
        <v>0</v>
      </c>
      <c r="D184">
        <f>'Specific Names Main'!D184</f>
        <v>0</v>
      </c>
      <c r="E184">
        <f>'Specific Names Main'!E184</f>
        <v>0</v>
      </c>
    </row>
    <row r="185" spans="1:5" x14ac:dyDescent="0.25">
      <c r="A185">
        <f>'Specific Names Main'!A185</f>
        <v>0</v>
      </c>
      <c r="B185">
        <f>'Specific Names Main'!B185</f>
        <v>0</v>
      </c>
      <c r="C185">
        <f>'Specific Names Main'!C185</f>
        <v>0</v>
      </c>
      <c r="D185">
        <f>'Specific Names Main'!D185</f>
        <v>0</v>
      </c>
      <c r="E185">
        <f>'Specific Names Main'!E185</f>
        <v>0</v>
      </c>
    </row>
    <row r="186" spans="1:5" x14ac:dyDescent="0.25">
      <c r="A186">
        <f>'Specific Names Main'!A186</f>
        <v>0</v>
      </c>
      <c r="B186">
        <f>'Specific Names Main'!B186</f>
        <v>0</v>
      </c>
      <c r="C186">
        <f>'Specific Names Main'!C186</f>
        <v>0</v>
      </c>
      <c r="D186">
        <f>'Specific Names Main'!D186</f>
        <v>0</v>
      </c>
      <c r="E186">
        <f>'Specific Names Main'!E186</f>
        <v>0</v>
      </c>
    </row>
    <row r="187" spans="1:5" x14ac:dyDescent="0.25">
      <c r="A187">
        <f>'Specific Names Main'!A187</f>
        <v>0</v>
      </c>
      <c r="B187">
        <f>'Specific Names Main'!B187</f>
        <v>0</v>
      </c>
      <c r="C187">
        <f>'Specific Names Main'!C187</f>
        <v>0</v>
      </c>
      <c r="D187">
        <f>'Specific Names Main'!D187</f>
        <v>0</v>
      </c>
      <c r="E187">
        <f>'Specific Names Main'!E187</f>
        <v>0</v>
      </c>
    </row>
    <row r="188" spans="1:5" x14ac:dyDescent="0.25">
      <c r="A188">
        <f>'Specific Names Main'!A188</f>
        <v>0</v>
      </c>
      <c r="B188">
        <f>'Specific Names Main'!B188</f>
        <v>0</v>
      </c>
      <c r="C188">
        <f>'Specific Names Main'!C188</f>
        <v>0</v>
      </c>
      <c r="D188">
        <f>'Specific Names Main'!D188</f>
        <v>0</v>
      </c>
      <c r="E188">
        <f>'Specific Names Main'!E188</f>
        <v>0</v>
      </c>
    </row>
    <row r="189" spans="1:5" x14ac:dyDescent="0.25">
      <c r="A189">
        <f>'Specific Names Main'!A189</f>
        <v>0</v>
      </c>
      <c r="B189">
        <f>'Specific Names Main'!B189</f>
        <v>0</v>
      </c>
      <c r="C189">
        <f>'Specific Names Main'!C189</f>
        <v>0</v>
      </c>
      <c r="D189">
        <f>'Specific Names Main'!D189</f>
        <v>0</v>
      </c>
      <c r="E189">
        <f>'Specific Names Main'!E189</f>
        <v>0</v>
      </c>
    </row>
    <row r="190" spans="1:5" x14ac:dyDescent="0.25">
      <c r="A190">
        <f>'Specific Names Main'!A190</f>
        <v>0</v>
      </c>
      <c r="B190">
        <f>'Specific Names Main'!B190</f>
        <v>0</v>
      </c>
      <c r="C190">
        <f>'Specific Names Main'!C190</f>
        <v>0</v>
      </c>
      <c r="D190">
        <f>'Specific Names Main'!D190</f>
        <v>0</v>
      </c>
      <c r="E190">
        <f>'Specific Names Main'!E190</f>
        <v>0</v>
      </c>
    </row>
    <row r="191" spans="1:5" x14ac:dyDescent="0.25">
      <c r="A191">
        <f>'Specific Names Main'!A191</f>
        <v>0</v>
      </c>
      <c r="B191">
        <f>'Specific Names Main'!B191</f>
        <v>0</v>
      </c>
      <c r="C191">
        <f>'Specific Names Main'!C191</f>
        <v>0</v>
      </c>
      <c r="D191">
        <f>'Specific Names Main'!D191</f>
        <v>0</v>
      </c>
      <c r="E191">
        <f>'Specific Names Main'!E191</f>
        <v>0</v>
      </c>
    </row>
    <row r="192" spans="1:5" x14ac:dyDescent="0.25">
      <c r="A192">
        <f>'Specific Names Main'!A192</f>
        <v>0</v>
      </c>
      <c r="B192">
        <f>'Specific Names Main'!B192</f>
        <v>0</v>
      </c>
      <c r="C192">
        <f>'Specific Names Main'!C192</f>
        <v>0</v>
      </c>
      <c r="D192">
        <f>'Specific Names Main'!D192</f>
        <v>0</v>
      </c>
      <c r="E192">
        <f>'Specific Names Main'!E192</f>
        <v>0</v>
      </c>
    </row>
    <row r="193" spans="1:5" x14ac:dyDescent="0.25">
      <c r="A193">
        <f>'Specific Names Main'!A193</f>
        <v>0</v>
      </c>
      <c r="B193">
        <f>'Specific Names Main'!B193</f>
        <v>0</v>
      </c>
      <c r="C193">
        <f>'Specific Names Main'!C193</f>
        <v>0</v>
      </c>
      <c r="D193">
        <f>'Specific Names Main'!D193</f>
        <v>0</v>
      </c>
      <c r="E193">
        <f>'Specific Names Main'!E193</f>
        <v>0</v>
      </c>
    </row>
    <row r="194" spans="1:5" x14ac:dyDescent="0.25">
      <c r="A194">
        <f>'Specific Names Main'!A194</f>
        <v>0</v>
      </c>
      <c r="B194">
        <f>'Specific Names Main'!B194</f>
        <v>0</v>
      </c>
      <c r="C194">
        <f>'Specific Names Main'!C194</f>
        <v>0</v>
      </c>
      <c r="D194">
        <f>'Specific Names Main'!D194</f>
        <v>0</v>
      </c>
      <c r="E194">
        <f>'Specific Names Main'!E194</f>
        <v>0</v>
      </c>
    </row>
    <row r="195" spans="1:5" x14ac:dyDescent="0.25">
      <c r="A195">
        <f>'Specific Names Main'!A195</f>
        <v>0</v>
      </c>
      <c r="B195">
        <f>'Specific Names Main'!B195</f>
        <v>0</v>
      </c>
      <c r="C195">
        <f>'Specific Names Main'!C195</f>
        <v>0</v>
      </c>
      <c r="D195">
        <f>'Specific Names Main'!D195</f>
        <v>0</v>
      </c>
      <c r="E195">
        <f>'Specific Names Main'!E195</f>
        <v>0</v>
      </c>
    </row>
    <row r="196" spans="1:5" x14ac:dyDescent="0.25">
      <c r="A196">
        <f>'Specific Names Main'!A196</f>
        <v>0</v>
      </c>
      <c r="B196">
        <f>'Specific Names Main'!B196</f>
        <v>0</v>
      </c>
      <c r="C196">
        <f>'Specific Names Main'!C196</f>
        <v>0</v>
      </c>
      <c r="D196">
        <f>'Specific Names Main'!D196</f>
        <v>0</v>
      </c>
      <c r="E196">
        <f>'Specific Names Main'!E196</f>
        <v>0</v>
      </c>
    </row>
    <row r="197" spans="1:5" x14ac:dyDescent="0.25">
      <c r="A197">
        <f>'Specific Names Main'!A197</f>
        <v>0</v>
      </c>
      <c r="B197">
        <f>'Specific Names Main'!B197</f>
        <v>0</v>
      </c>
      <c r="C197">
        <f>'Specific Names Main'!C197</f>
        <v>0</v>
      </c>
      <c r="D197">
        <f>'Specific Names Main'!D197</f>
        <v>0</v>
      </c>
      <c r="E197">
        <f>'Specific Names Main'!E197</f>
        <v>0</v>
      </c>
    </row>
    <row r="198" spans="1:5" x14ac:dyDescent="0.25">
      <c r="A198">
        <f>'Specific Names Main'!A198</f>
        <v>0</v>
      </c>
      <c r="B198">
        <f>'Specific Names Main'!B198</f>
        <v>0</v>
      </c>
      <c r="C198">
        <f>'Specific Names Main'!C198</f>
        <v>0</v>
      </c>
      <c r="D198">
        <f>'Specific Names Main'!D198</f>
        <v>0</v>
      </c>
      <c r="E198">
        <f>'Specific Names Main'!E198</f>
        <v>0</v>
      </c>
    </row>
    <row r="199" spans="1:5" x14ac:dyDescent="0.25">
      <c r="A199">
        <f>'Specific Names Main'!A199</f>
        <v>0</v>
      </c>
      <c r="B199">
        <f>'Specific Names Main'!B199</f>
        <v>0</v>
      </c>
      <c r="C199">
        <f>'Specific Names Main'!C199</f>
        <v>0</v>
      </c>
      <c r="D199">
        <f>'Specific Names Main'!D199</f>
        <v>0</v>
      </c>
      <c r="E199">
        <f>'Specific Names Main'!E199</f>
        <v>0</v>
      </c>
    </row>
    <row r="200" spans="1:5" x14ac:dyDescent="0.25">
      <c r="A200">
        <f>'Specific Names Main'!A200</f>
        <v>0</v>
      </c>
      <c r="B200">
        <f>'Specific Names Main'!B200</f>
        <v>0</v>
      </c>
      <c r="C200">
        <f>'Specific Names Main'!C200</f>
        <v>0</v>
      </c>
      <c r="D200">
        <f>'Specific Names Main'!D200</f>
        <v>0</v>
      </c>
      <c r="E200">
        <f>'Specific Names Main'!E200</f>
        <v>0</v>
      </c>
    </row>
    <row r="201" spans="1:5" x14ac:dyDescent="0.25">
      <c r="A201">
        <f>'Specific Names Main'!A201</f>
        <v>0</v>
      </c>
      <c r="B201">
        <f>'Specific Names Main'!B201</f>
        <v>0</v>
      </c>
      <c r="C201">
        <f>'Specific Names Main'!C201</f>
        <v>0</v>
      </c>
      <c r="D201">
        <f>'Specific Names Main'!D201</f>
        <v>0</v>
      </c>
      <c r="E201">
        <f>'Specific Names Main'!E201</f>
        <v>0</v>
      </c>
    </row>
    <row r="202" spans="1:5" x14ac:dyDescent="0.25">
      <c r="A202">
        <f>'Specific Names Main'!A202</f>
        <v>0</v>
      </c>
      <c r="B202">
        <f>'Specific Names Main'!B202</f>
        <v>0</v>
      </c>
      <c r="C202">
        <f>'Specific Names Main'!C202</f>
        <v>0</v>
      </c>
      <c r="D202">
        <f>'Specific Names Main'!D202</f>
        <v>0</v>
      </c>
      <c r="E202">
        <f>'Specific Names Main'!E202</f>
        <v>0</v>
      </c>
    </row>
    <row r="203" spans="1:5" x14ac:dyDescent="0.25">
      <c r="A203">
        <f>'Specific Names Main'!A203</f>
        <v>0</v>
      </c>
      <c r="B203">
        <f>'Specific Names Main'!B203</f>
        <v>0</v>
      </c>
      <c r="C203">
        <f>'Specific Names Main'!C203</f>
        <v>0</v>
      </c>
      <c r="D203">
        <f>'Specific Names Main'!D203</f>
        <v>0</v>
      </c>
      <c r="E203">
        <f>'Specific Names Main'!E203</f>
        <v>0</v>
      </c>
    </row>
    <row r="204" spans="1:5" x14ac:dyDescent="0.25">
      <c r="A204">
        <f>'Specific Names Main'!A204</f>
        <v>0</v>
      </c>
      <c r="B204">
        <f>'Specific Names Main'!B204</f>
        <v>0</v>
      </c>
      <c r="C204">
        <f>'Specific Names Main'!C204</f>
        <v>0</v>
      </c>
      <c r="D204">
        <f>'Specific Names Main'!D204</f>
        <v>0</v>
      </c>
      <c r="E204">
        <f>'Specific Names Main'!E204</f>
        <v>0</v>
      </c>
    </row>
    <row r="205" spans="1:5" x14ac:dyDescent="0.25">
      <c r="A205">
        <f>'Specific Names Main'!A205</f>
        <v>0</v>
      </c>
      <c r="B205">
        <f>'Specific Names Main'!B205</f>
        <v>0</v>
      </c>
      <c r="C205">
        <f>'Specific Names Main'!C205</f>
        <v>0</v>
      </c>
      <c r="D205">
        <f>'Specific Names Main'!D205</f>
        <v>0</v>
      </c>
      <c r="E205">
        <f>'Specific Names Main'!E205</f>
        <v>0</v>
      </c>
    </row>
    <row r="206" spans="1:5" x14ac:dyDescent="0.25">
      <c r="A206">
        <f>'Specific Names Main'!A206</f>
        <v>0</v>
      </c>
      <c r="B206">
        <f>'Specific Names Main'!B206</f>
        <v>0</v>
      </c>
      <c r="C206">
        <f>'Specific Names Main'!C206</f>
        <v>0</v>
      </c>
      <c r="D206">
        <f>'Specific Names Main'!D206</f>
        <v>0</v>
      </c>
      <c r="E206">
        <f>'Specific Names Main'!E206</f>
        <v>0</v>
      </c>
    </row>
    <row r="207" spans="1:5" x14ac:dyDescent="0.25">
      <c r="A207">
        <f>'Specific Names Main'!A207</f>
        <v>0</v>
      </c>
      <c r="B207">
        <f>'Specific Names Main'!B207</f>
        <v>0</v>
      </c>
      <c r="C207">
        <f>'Specific Names Main'!C207</f>
        <v>0</v>
      </c>
      <c r="D207">
        <f>'Specific Names Main'!D207</f>
        <v>0</v>
      </c>
      <c r="E207">
        <f>'Specific Names Main'!E207</f>
        <v>0</v>
      </c>
    </row>
    <row r="208" spans="1:5" x14ac:dyDescent="0.25">
      <c r="A208">
        <f>'Specific Names Main'!A208</f>
        <v>0</v>
      </c>
      <c r="B208">
        <f>'Specific Names Main'!B208</f>
        <v>0</v>
      </c>
      <c r="C208">
        <f>'Specific Names Main'!C208</f>
        <v>0</v>
      </c>
      <c r="D208">
        <f>'Specific Names Main'!D208</f>
        <v>0</v>
      </c>
      <c r="E208">
        <f>'Specific Names Main'!E208</f>
        <v>0</v>
      </c>
    </row>
    <row r="209" spans="1:5" x14ac:dyDescent="0.25">
      <c r="A209">
        <f>'Specific Names Main'!A209</f>
        <v>0</v>
      </c>
      <c r="B209">
        <f>'Specific Names Main'!B209</f>
        <v>0</v>
      </c>
      <c r="C209">
        <f>'Specific Names Main'!C209</f>
        <v>0</v>
      </c>
      <c r="D209">
        <f>'Specific Names Main'!D209</f>
        <v>0</v>
      </c>
      <c r="E209">
        <f>'Specific Names Main'!E209</f>
        <v>0</v>
      </c>
    </row>
    <row r="210" spans="1:5" x14ac:dyDescent="0.25">
      <c r="A210">
        <f>'Specific Names Main'!A210</f>
        <v>0</v>
      </c>
      <c r="B210">
        <f>'Specific Names Main'!B210</f>
        <v>0</v>
      </c>
      <c r="C210">
        <f>'Specific Names Main'!C210</f>
        <v>0</v>
      </c>
      <c r="D210">
        <f>'Specific Names Main'!D210</f>
        <v>0</v>
      </c>
      <c r="E210">
        <f>'Specific Names Main'!E210</f>
        <v>0</v>
      </c>
    </row>
    <row r="211" spans="1:5" x14ac:dyDescent="0.25">
      <c r="A211">
        <f>'Specific Names Main'!A211</f>
        <v>0</v>
      </c>
      <c r="B211">
        <f>'Specific Names Main'!B211</f>
        <v>0</v>
      </c>
      <c r="C211">
        <f>'Specific Names Main'!C211</f>
        <v>0</v>
      </c>
      <c r="D211">
        <f>'Specific Names Main'!D211</f>
        <v>0</v>
      </c>
      <c r="E211">
        <f>'Specific Names Main'!E211</f>
        <v>0</v>
      </c>
    </row>
    <row r="212" spans="1:5" x14ac:dyDescent="0.25">
      <c r="A212">
        <f>'Specific Names Main'!A212</f>
        <v>0</v>
      </c>
      <c r="B212">
        <f>'Specific Names Main'!B212</f>
        <v>0</v>
      </c>
      <c r="C212">
        <f>'Specific Names Main'!C212</f>
        <v>0</v>
      </c>
      <c r="D212">
        <f>'Specific Names Main'!D212</f>
        <v>0</v>
      </c>
      <c r="E212">
        <f>'Specific Names Main'!E212</f>
        <v>0</v>
      </c>
    </row>
    <row r="213" spans="1:5" x14ac:dyDescent="0.25">
      <c r="A213">
        <f>'Specific Names Main'!A213</f>
        <v>0</v>
      </c>
      <c r="B213">
        <f>'Specific Names Main'!B213</f>
        <v>0</v>
      </c>
      <c r="C213">
        <f>'Specific Names Main'!C213</f>
        <v>0</v>
      </c>
      <c r="D213">
        <f>'Specific Names Main'!D213</f>
        <v>0</v>
      </c>
      <c r="E213">
        <f>'Specific Names Main'!E213</f>
        <v>0</v>
      </c>
    </row>
    <row r="214" spans="1:5" x14ac:dyDescent="0.25">
      <c r="A214">
        <f>'Specific Names Main'!A214</f>
        <v>0</v>
      </c>
      <c r="B214">
        <f>'Specific Names Main'!B214</f>
        <v>0</v>
      </c>
      <c r="C214">
        <f>'Specific Names Main'!C214</f>
        <v>0</v>
      </c>
      <c r="D214">
        <f>'Specific Names Main'!D214</f>
        <v>0</v>
      </c>
      <c r="E214">
        <f>'Specific Names Main'!E214</f>
        <v>0</v>
      </c>
    </row>
    <row r="215" spans="1:5" x14ac:dyDescent="0.25">
      <c r="A215">
        <f>'Specific Names Main'!A215</f>
        <v>0</v>
      </c>
      <c r="B215">
        <f>'Specific Names Main'!B215</f>
        <v>0</v>
      </c>
      <c r="C215">
        <f>'Specific Names Main'!C215</f>
        <v>0</v>
      </c>
      <c r="D215">
        <f>'Specific Names Main'!D215</f>
        <v>0</v>
      </c>
      <c r="E215">
        <f>'Specific Names Main'!E215</f>
        <v>0</v>
      </c>
    </row>
    <row r="216" spans="1:5" x14ac:dyDescent="0.25">
      <c r="A216">
        <f>'Specific Names Main'!A216</f>
        <v>0</v>
      </c>
      <c r="B216">
        <f>'Specific Names Main'!B216</f>
        <v>0</v>
      </c>
      <c r="C216">
        <f>'Specific Names Main'!C216</f>
        <v>0</v>
      </c>
      <c r="D216">
        <f>'Specific Names Main'!D216</f>
        <v>0</v>
      </c>
      <c r="E216">
        <f>'Specific Names Main'!E216</f>
        <v>0</v>
      </c>
    </row>
    <row r="217" spans="1:5" x14ac:dyDescent="0.25">
      <c r="A217">
        <f>'Specific Names Main'!A217</f>
        <v>0</v>
      </c>
      <c r="B217">
        <f>'Specific Names Main'!B217</f>
        <v>0</v>
      </c>
      <c r="C217">
        <f>'Specific Names Main'!C217</f>
        <v>0</v>
      </c>
      <c r="D217">
        <f>'Specific Names Main'!D217</f>
        <v>0</v>
      </c>
      <c r="E217">
        <f>'Specific Names Main'!E217</f>
        <v>0</v>
      </c>
    </row>
    <row r="218" spans="1:5" x14ac:dyDescent="0.25">
      <c r="A218">
        <f>'Specific Names Main'!A218</f>
        <v>0</v>
      </c>
      <c r="B218">
        <f>'Specific Names Main'!B218</f>
        <v>0</v>
      </c>
      <c r="C218">
        <f>'Specific Names Main'!C218</f>
        <v>0</v>
      </c>
      <c r="D218">
        <f>'Specific Names Main'!D218</f>
        <v>0</v>
      </c>
      <c r="E218">
        <f>'Specific Names Main'!E218</f>
        <v>0</v>
      </c>
    </row>
    <row r="219" spans="1:5" x14ac:dyDescent="0.25">
      <c r="A219">
        <f>'Specific Names Main'!A219</f>
        <v>0</v>
      </c>
      <c r="B219">
        <f>'Specific Names Main'!B219</f>
        <v>0</v>
      </c>
      <c r="C219">
        <f>'Specific Names Main'!C219</f>
        <v>0</v>
      </c>
      <c r="D219">
        <f>'Specific Names Main'!D219</f>
        <v>0</v>
      </c>
      <c r="E219">
        <f>'Specific Names Main'!E219</f>
        <v>0</v>
      </c>
    </row>
    <row r="220" spans="1:5" x14ac:dyDescent="0.25">
      <c r="A220">
        <f>'Specific Names Main'!A220</f>
        <v>0</v>
      </c>
      <c r="B220">
        <f>'Specific Names Main'!B220</f>
        <v>0</v>
      </c>
      <c r="C220">
        <f>'Specific Names Main'!C220</f>
        <v>0</v>
      </c>
      <c r="D220">
        <f>'Specific Names Main'!D220</f>
        <v>0</v>
      </c>
      <c r="E220">
        <f>'Specific Names Main'!E220</f>
        <v>0</v>
      </c>
    </row>
    <row r="221" spans="1:5" x14ac:dyDescent="0.25">
      <c r="A221">
        <f>'Specific Names Main'!A221</f>
        <v>0</v>
      </c>
      <c r="B221">
        <f>'Specific Names Main'!B221</f>
        <v>0</v>
      </c>
      <c r="C221">
        <f>'Specific Names Main'!C221</f>
        <v>0</v>
      </c>
      <c r="D221">
        <f>'Specific Names Main'!D221</f>
        <v>0</v>
      </c>
      <c r="E221">
        <f>'Specific Names Main'!E221</f>
        <v>0</v>
      </c>
    </row>
    <row r="222" spans="1:5" x14ac:dyDescent="0.25">
      <c r="A222">
        <f>'Specific Names Main'!A222</f>
        <v>0</v>
      </c>
      <c r="B222">
        <f>'Specific Names Main'!B222</f>
        <v>0</v>
      </c>
      <c r="C222">
        <f>'Specific Names Main'!C222</f>
        <v>0</v>
      </c>
      <c r="D222">
        <f>'Specific Names Main'!D222</f>
        <v>0</v>
      </c>
      <c r="E222">
        <f>'Specific Names Main'!E222</f>
        <v>0</v>
      </c>
    </row>
    <row r="223" spans="1:5" x14ac:dyDescent="0.25">
      <c r="A223">
        <f>'Specific Names Main'!A223</f>
        <v>0</v>
      </c>
      <c r="B223">
        <f>'Specific Names Main'!B223</f>
        <v>0</v>
      </c>
      <c r="C223">
        <f>'Specific Names Main'!C223</f>
        <v>0</v>
      </c>
      <c r="D223">
        <f>'Specific Names Main'!D223</f>
        <v>0</v>
      </c>
      <c r="E223">
        <f>'Specific Names Main'!E223</f>
        <v>0</v>
      </c>
    </row>
    <row r="224" spans="1:5" x14ac:dyDescent="0.25">
      <c r="A224">
        <f>'Specific Names Main'!A224</f>
        <v>0</v>
      </c>
      <c r="B224">
        <f>'Specific Names Main'!B224</f>
        <v>0</v>
      </c>
      <c r="C224">
        <f>'Specific Names Main'!C224</f>
        <v>0</v>
      </c>
      <c r="D224">
        <f>'Specific Names Main'!D224</f>
        <v>0</v>
      </c>
      <c r="E224">
        <f>'Specific Names Main'!E224</f>
        <v>0</v>
      </c>
    </row>
    <row r="225" spans="1:5" x14ac:dyDescent="0.25">
      <c r="A225">
        <f>'Specific Names Main'!A225</f>
        <v>0</v>
      </c>
      <c r="B225">
        <f>'Specific Names Main'!B225</f>
        <v>0</v>
      </c>
      <c r="C225">
        <f>'Specific Names Main'!C225</f>
        <v>0</v>
      </c>
      <c r="D225">
        <f>'Specific Names Main'!D225</f>
        <v>0</v>
      </c>
      <c r="E225">
        <f>'Specific Names Main'!E225</f>
        <v>0</v>
      </c>
    </row>
    <row r="226" spans="1:5" x14ac:dyDescent="0.25">
      <c r="A226">
        <f>'Specific Names Main'!A226</f>
        <v>0</v>
      </c>
      <c r="B226">
        <f>'Specific Names Main'!B226</f>
        <v>0</v>
      </c>
      <c r="C226">
        <f>'Specific Names Main'!C226</f>
        <v>0</v>
      </c>
      <c r="D226">
        <f>'Specific Names Main'!D226</f>
        <v>0</v>
      </c>
      <c r="E226">
        <f>'Specific Names Main'!E226</f>
        <v>0</v>
      </c>
    </row>
    <row r="227" spans="1:5" x14ac:dyDescent="0.25">
      <c r="A227">
        <f>'Specific Names Main'!A227</f>
        <v>0</v>
      </c>
      <c r="B227">
        <f>'Specific Names Main'!B227</f>
        <v>0</v>
      </c>
      <c r="C227">
        <f>'Specific Names Main'!C227</f>
        <v>0</v>
      </c>
      <c r="D227">
        <f>'Specific Names Main'!D227</f>
        <v>0</v>
      </c>
      <c r="E227">
        <f>'Specific Names Main'!E227</f>
        <v>0</v>
      </c>
    </row>
    <row r="228" spans="1:5" x14ac:dyDescent="0.25">
      <c r="A228">
        <f>'Specific Names Main'!A228</f>
        <v>0</v>
      </c>
      <c r="B228">
        <f>'Specific Names Main'!B228</f>
        <v>0</v>
      </c>
      <c r="C228">
        <f>'Specific Names Main'!C228</f>
        <v>0</v>
      </c>
      <c r="D228">
        <f>'Specific Names Main'!D228</f>
        <v>0</v>
      </c>
      <c r="E228">
        <f>'Specific Names Main'!E228</f>
        <v>0</v>
      </c>
    </row>
    <row r="229" spans="1:5" x14ac:dyDescent="0.25">
      <c r="A229">
        <f>'Specific Names Main'!A229</f>
        <v>0</v>
      </c>
      <c r="B229">
        <f>'Specific Names Main'!B229</f>
        <v>0</v>
      </c>
      <c r="C229">
        <f>'Specific Names Main'!C229</f>
        <v>0</v>
      </c>
      <c r="D229">
        <f>'Specific Names Main'!D229</f>
        <v>0</v>
      </c>
      <c r="E229">
        <f>'Specific Names Main'!E229</f>
        <v>0</v>
      </c>
    </row>
    <row r="230" spans="1:5" x14ac:dyDescent="0.25">
      <c r="A230">
        <f>'Specific Names Main'!A230</f>
        <v>0</v>
      </c>
      <c r="B230">
        <f>'Specific Names Main'!B230</f>
        <v>0</v>
      </c>
      <c r="C230">
        <f>'Specific Names Main'!C230</f>
        <v>0</v>
      </c>
      <c r="D230">
        <f>'Specific Names Main'!D230</f>
        <v>0</v>
      </c>
      <c r="E230">
        <f>'Specific Names Main'!E230</f>
        <v>0</v>
      </c>
    </row>
    <row r="231" spans="1:5" x14ac:dyDescent="0.25">
      <c r="A231">
        <f>'Specific Names Main'!A231</f>
        <v>0</v>
      </c>
      <c r="B231">
        <f>'Specific Names Main'!B231</f>
        <v>0</v>
      </c>
      <c r="C231">
        <f>'Specific Names Main'!C231</f>
        <v>0</v>
      </c>
      <c r="D231">
        <f>'Specific Names Main'!D231</f>
        <v>0</v>
      </c>
      <c r="E231">
        <f>'Specific Names Main'!E231</f>
        <v>0</v>
      </c>
    </row>
    <row r="232" spans="1:5" x14ac:dyDescent="0.25">
      <c r="A232">
        <f>'Specific Names Main'!A232</f>
        <v>0</v>
      </c>
      <c r="B232">
        <f>'Specific Names Main'!B232</f>
        <v>0</v>
      </c>
      <c r="C232">
        <f>'Specific Names Main'!C232</f>
        <v>0</v>
      </c>
      <c r="D232">
        <f>'Specific Names Main'!D232</f>
        <v>0</v>
      </c>
      <c r="E232">
        <f>'Specific Names Main'!E232</f>
        <v>0</v>
      </c>
    </row>
    <row r="233" spans="1:5" x14ac:dyDescent="0.25">
      <c r="A233">
        <f>'Specific Names Main'!A233</f>
        <v>0</v>
      </c>
      <c r="B233">
        <f>'Specific Names Main'!B233</f>
        <v>0</v>
      </c>
      <c r="C233">
        <f>'Specific Names Main'!C233</f>
        <v>0</v>
      </c>
      <c r="D233">
        <f>'Specific Names Main'!D233</f>
        <v>0</v>
      </c>
      <c r="E233">
        <f>'Specific Names Main'!E233</f>
        <v>0</v>
      </c>
    </row>
    <row r="234" spans="1:5" x14ac:dyDescent="0.25">
      <c r="A234">
        <f>'Specific Names Main'!A234</f>
        <v>0</v>
      </c>
      <c r="B234">
        <f>'Specific Names Main'!B234</f>
        <v>0</v>
      </c>
      <c r="C234">
        <f>'Specific Names Main'!C234</f>
        <v>0</v>
      </c>
      <c r="D234">
        <f>'Specific Names Main'!D234</f>
        <v>0</v>
      </c>
      <c r="E234">
        <f>'Specific Names Main'!E234</f>
        <v>0</v>
      </c>
    </row>
    <row r="235" spans="1:5" x14ac:dyDescent="0.25">
      <c r="A235">
        <f>'Specific Names Main'!A235</f>
        <v>0</v>
      </c>
      <c r="B235">
        <f>'Specific Names Main'!B235</f>
        <v>0</v>
      </c>
      <c r="C235">
        <f>'Specific Names Main'!C235</f>
        <v>0</v>
      </c>
      <c r="D235">
        <f>'Specific Names Main'!D235</f>
        <v>0</v>
      </c>
      <c r="E235">
        <f>'Specific Names Main'!E235</f>
        <v>0</v>
      </c>
    </row>
    <row r="236" spans="1:5" x14ac:dyDescent="0.25">
      <c r="A236">
        <f>'Specific Names Main'!A236</f>
        <v>0</v>
      </c>
      <c r="B236">
        <f>'Specific Names Main'!B236</f>
        <v>0</v>
      </c>
      <c r="C236">
        <f>'Specific Names Main'!C236</f>
        <v>0</v>
      </c>
      <c r="D236">
        <f>'Specific Names Main'!D236</f>
        <v>0</v>
      </c>
      <c r="E236">
        <f>'Specific Names Main'!E236</f>
        <v>0</v>
      </c>
    </row>
    <row r="237" spans="1:5" x14ac:dyDescent="0.25">
      <c r="A237">
        <f>'Specific Names Main'!A237</f>
        <v>0</v>
      </c>
      <c r="B237">
        <f>'Specific Names Main'!B237</f>
        <v>0</v>
      </c>
      <c r="C237">
        <f>'Specific Names Main'!C237</f>
        <v>0</v>
      </c>
      <c r="D237">
        <f>'Specific Names Main'!D237</f>
        <v>0</v>
      </c>
      <c r="E237">
        <f>'Specific Names Main'!E237</f>
        <v>0</v>
      </c>
    </row>
    <row r="238" spans="1:5" x14ac:dyDescent="0.25">
      <c r="A238">
        <f>'Specific Names Main'!A238</f>
        <v>0</v>
      </c>
      <c r="B238">
        <f>'Specific Names Main'!B238</f>
        <v>0</v>
      </c>
      <c r="C238">
        <f>'Specific Names Main'!C238</f>
        <v>0</v>
      </c>
      <c r="D238">
        <f>'Specific Names Main'!D238</f>
        <v>0</v>
      </c>
      <c r="E238">
        <f>'Specific Names Main'!E238</f>
        <v>0</v>
      </c>
    </row>
    <row r="239" spans="1:5" x14ac:dyDescent="0.25">
      <c r="A239">
        <f>'Specific Names Main'!A239</f>
        <v>0</v>
      </c>
      <c r="B239">
        <f>'Specific Names Main'!B239</f>
        <v>0</v>
      </c>
      <c r="C239">
        <f>'Specific Names Main'!C239</f>
        <v>0</v>
      </c>
      <c r="D239">
        <f>'Specific Names Main'!D239</f>
        <v>0</v>
      </c>
      <c r="E239">
        <f>'Specific Names Main'!E239</f>
        <v>0</v>
      </c>
    </row>
    <row r="240" spans="1:5" x14ac:dyDescent="0.25">
      <c r="A240">
        <f>'Specific Names Main'!A240</f>
        <v>0</v>
      </c>
      <c r="B240">
        <f>'Specific Names Main'!B240</f>
        <v>0</v>
      </c>
      <c r="C240">
        <f>'Specific Names Main'!C240</f>
        <v>0</v>
      </c>
      <c r="D240">
        <f>'Specific Names Main'!D240</f>
        <v>0</v>
      </c>
      <c r="E240">
        <f>'Specific Names Main'!E240</f>
        <v>0</v>
      </c>
    </row>
    <row r="241" spans="1:5" x14ac:dyDescent="0.25">
      <c r="A241">
        <f>'Specific Names Main'!A241</f>
        <v>0</v>
      </c>
      <c r="B241">
        <f>'Specific Names Main'!B241</f>
        <v>0</v>
      </c>
      <c r="C241">
        <f>'Specific Names Main'!C241</f>
        <v>0</v>
      </c>
      <c r="D241">
        <f>'Specific Names Main'!D241</f>
        <v>0</v>
      </c>
      <c r="E241">
        <f>'Specific Names Main'!E241</f>
        <v>0</v>
      </c>
    </row>
    <row r="242" spans="1:5" x14ac:dyDescent="0.25">
      <c r="A242">
        <f>'Specific Names Main'!A242</f>
        <v>0</v>
      </c>
      <c r="B242">
        <f>'Specific Names Main'!B242</f>
        <v>0</v>
      </c>
      <c r="C242">
        <f>'Specific Names Main'!C242</f>
        <v>0</v>
      </c>
      <c r="D242">
        <f>'Specific Names Main'!D242</f>
        <v>0</v>
      </c>
      <c r="E242">
        <f>'Specific Names Main'!E242</f>
        <v>0</v>
      </c>
    </row>
    <row r="243" spans="1:5" x14ac:dyDescent="0.25">
      <c r="A243">
        <f>'Specific Names Main'!A243</f>
        <v>0</v>
      </c>
      <c r="B243">
        <f>'Specific Names Main'!B243</f>
        <v>0</v>
      </c>
      <c r="C243">
        <f>'Specific Names Main'!C243</f>
        <v>0</v>
      </c>
      <c r="D243">
        <f>'Specific Names Main'!D243</f>
        <v>0</v>
      </c>
      <c r="E243">
        <f>'Specific Names Main'!E243</f>
        <v>0</v>
      </c>
    </row>
    <row r="244" spans="1:5" x14ac:dyDescent="0.25">
      <c r="A244">
        <f>'Specific Names Main'!A244</f>
        <v>0</v>
      </c>
      <c r="B244">
        <f>'Specific Names Main'!B244</f>
        <v>0</v>
      </c>
      <c r="C244">
        <f>'Specific Names Main'!C244</f>
        <v>0</v>
      </c>
      <c r="D244">
        <f>'Specific Names Main'!D244</f>
        <v>0</v>
      </c>
      <c r="E244">
        <f>'Specific Names Main'!E244</f>
        <v>0</v>
      </c>
    </row>
    <row r="245" spans="1:5" x14ac:dyDescent="0.25">
      <c r="A245">
        <f>'Specific Names Main'!A245</f>
        <v>0</v>
      </c>
      <c r="B245">
        <f>'Specific Names Main'!B245</f>
        <v>0</v>
      </c>
      <c r="C245">
        <f>'Specific Names Main'!C245</f>
        <v>0</v>
      </c>
      <c r="D245">
        <f>'Specific Names Main'!D245</f>
        <v>0</v>
      </c>
      <c r="E245">
        <f>'Specific Names Main'!E245</f>
        <v>0</v>
      </c>
    </row>
    <row r="246" spans="1:5" x14ac:dyDescent="0.25">
      <c r="A246">
        <f>'Specific Names Main'!A246</f>
        <v>0</v>
      </c>
      <c r="B246">
        <f>'Specific Names Main'!B246</f>
        <v>0</v>
      </c>
      <c r="C246">
        <f>'Specific Names Main'!C246</f>
        <v>0</v>
      </c>
      <c r="D246">
        <f>'Specific Names Main'!D246</f>
        <v>0</v>
      </c>
      <c r="E246">
        <f>'Specific Names Main'!E246</f>
        <v>0</v>
      </c>
    </row>
    <row r="247" spans="1:5" x14ac:dyDescent="0.25">
      <c r="A247">
        <f>'Specific Names Main'!A247</f>
        <v>0</v>
      </c>
      <c r="B247">
        <f>'Specific Names Main'!B247</f>
        <v>0</v>
      </c>
      <c r="C247">
        <f>'Specific Names Main'!C247</f>
        <v>0</v>
      </c>
      <c r="D247">
        <f>'Specific Names Main'!D247</f>
        <v>0</v>
      </c>
      <c r="E247">
        <f>'Specific Names Main'!E247</f>
        <v>0</v>
      </c>
    </row>
    <row r="248" spans="1:5" x14ac:dyDescent="0.25">
      <c r="A248">
        <f>'Specific Names Main'!A248</f>
        <v>0</v>
      </c>
      <c r="B248">
        <f>'Specific Names Main'!B248</f>
        <v>0</v>
      </c>
      <c r="C248">
        <f>'Specific Names Main'!C248</f>
        <v>0</v>
      </c>
      <c r="D248">
        <f>'Specific Names Main'!D248</f>
        <v>0</v>
      </c>
      <c r="E248">
        <f>'Specific Names Main'!E248</f>
        <v>0</v>
      </c>
    </row>
    <row r="249" spans="1:5" x14ac:dyDescent="0.25">
      <c r="A249">
        <f>'Specific Names Main'!A249</f>
        <v>0</v>
      </c>
      <c r="B249">
        <f>'Specific Names Main'!B249</f>
        <v>0</v>
      </c>
      <c r="C249">
        <f>'Specific Names Main'!C249</f>
        <v>0</v>
      </c>
      <c r="D249">
        <f>'Specific Names Main'!D249</f>
        <v>0</v>
      </c>
      <c r="E249">
        <f>'Specific Names Main'!E249</f>
        <v>0</v>
      </c>
    </row>
    <row r="250" spans="1:5" x14ac:dyDescent="0.25">
      <c r="A250">
        <f>'Specific Names Main'!A250</f>
        <v>0</v>
      </c>
      <c r="B250">
        <f>'Specific Names Main'!B250</f>
        <v>0</v>
      </c>
      <c r="C250">
        <f>'Specific Names Main'!C250</f>
        <v>0</v>
      </c>
      <c r="D250">
        <f>'Specific Names Main'!D250</f>
        <v>0</v>
      </c>
      <c r="E250">
        <f>'Specific Names Main'!E250</f>
        <v>0</v>
      </c>
    </row>
    <row r="251" spans="1:5" x14ac:dyDescent="0.25">
      <c r="A251">
        <f>'Specific Names Main'!A251</f>
        <v>0</v>
      </c>
      <c r="B251">
        <f>'Specific Names Main'!B251</f>
        <v>0</v>
      </c>
      <c r="C251">
        <f>'Specific Names Main'!C251</f>
        <v>0</v>
      </c>
      <c r="D251">
        <f>'Specific Names Main'!D251</f>
        <v>0</v>
      </c>
      <c r="E251">
        <f>'Specific Names Main'!E251</f>
        <v>0</v>
      </c>
    </row>
    <row r="252" spans="1:5" x14ac:dyDescent="0.25">
      <c r="A252">
        <f>'Specific Names Main'!A252</f>
        <v>0</v>
      </c>
      <c r="B252">
        <f>'Specific Names Main'!B252</f>
        <v>0</v>
      </c>
      <c r="C252">
        <f>'Specific Names Main'!C252</f>
        <v>0</v>
      </c>
      <c r="D252">
        <f>'Specific Names Main'!D252</f>
        <v>0</v>
      </c>
      <c r="E252">
        <f>'Specific Names Main'!E252</f>
        <v>0</v>
      </c>
    </row>
    <row r="253" spans="1:5" x14ac:dyDescent="0.25">
      <c r="A253">
        <f>'Specific Names Main'!A253</f>
        <v>0</v>
      </c>
      <c r="B253">
        <f>'Specific Names Main'!B253</f>
        <v>0</v>
      </c>
      <c r="C253">
        <f>'Specific Names Main'!C253</f>
        <v>0</v>
      </c>
      <c r="D253">
        <f>'Specific Names Main'!D253</f>
        <v>0</v>
      </c>
      <c r="E253">
        <f>'Specific Names Main'!E253</f>
        <v>0</v>
      </c>
    </row>
    <row r="254" spans="1:5" x14ac:dyDescent="0.25">
      <c r="A254">
        <f>'Specific Names Main'!A254</f>
        <v>0</v>
      </c>
      <c r="B254">
        <f>'Specific Names Main'!B254</f>
        <v>0</v>
      </c>
      <c r="C254">
        <f>'Specific Names Main'!C254</f>
        <v>0</v>
      </c>
      <c r="D254">
        <f>'Specific Names Main'!D254</f>
        <v>0</v>
      </c>
      <c r="E254">
        <f>'Specific Names Main'!E254</f>
        <v>0</v>
      </c>
    </row>
    <row r="255" spans="1:5" x14ac:dyDescent="0.25">
      <c r="A255">
        <f>'Specific Names Main'!A255</f>
        <v>0</v>
      </c>
      <c r="B255">
        <f>'Specific Names Main'!B255</f>
        <v>0</v>
      </c>
      <c r="C255">
        <f>'Specific Names Main'!C255</f>
        <v>0</v>
      </c>
      <c r="D255">
        <f>'Specific Names Main'!D255</f>
        <v>0</v>
      </c>
      <c r="E255">
        <f>'Specific Names Main'!E255</f>
        <v>0</v>
      </c>
    </row>
    <row r="256" spans="1:5" x14ac:dyDescent="0.25">
      <c r="A256">
        <f>'Specific Names Main'!A256</f>
        <v>0</v>
      </c>
      <c r="B256">
        <f>'Specific Names Main'!B256</f>
        <v>0</v>
      </c>
      <c r="C256">
        <f>'Specific Names Main'!C256</f>
        <v>0</v>
      </c>
      <c r="D256">
        <f>'Specific Names Main'!D256</f>
        <v>0</v>
      </c>
      <c r="E256">
        <f>'Specific Names Main'!E256</f>
        <v>0</v>
      </c>
    </row>
    <row r="257" spans="1:5" x14ac:dyDescent="0.25">
      <c r="A257">
        <f>'Specific Names Main'!A257</f>
        <v>0</v>
      </c>
      <c r="B257">
        <f>'Specific Names Main'!B257</f>
        <v>0</v>
      </c>
      <c r="C257">
        <f>'Specific Names Main'!C257</f>
        <v>0</v>
      </c>
      <c r="D257">
        <f>'Specific Names Main'!D257</f>
        <v>0</v>
      </c>
      <c r="E257">
        <f>'Specific Names Main'!E257</f>
        <v>0</v>
      </c>
    </row>
    <row r="258" spans="1:5" x14ac:dyDescent="0.25">
      <c r="A258">
        <f>'Specific Names Main'!A258</f>
        <v>0</v>
      </c>
      <c r="B258">
        <f>'Specific Names Main'!B258</f>
        <v>0</v>
      </c>
      <c r="C258">
        <f>'Specific Names Main'!C258</f>
        <v>0</v>
      </c>
      <c r="D258">
        <f>'Specific Names Main'!D258</f>
        <v>0</v>
      </c>
      <c r="E258">
        <f>'Specific Names Main'!E258</f>
        <v>0</v>
      </c>
    </row>
    <row r="259" spans="1:5" x14ac:dyDescent="0.25">
      <c r="A259">
        <f>'Specific Names Main'!A259</f>
        <v>0</v>
      </c>
      <c r="B259">
        <f>'Specific Names Main'!B259</f>
        <v>0</v>
      </c>
      <c r="C259">
        <f>'Specific Names Main'!C259</f>
        <v>0</v>
      </c>
      <c r="D259">
        <f>'Specific Names Main'!D259</f>
        <v>0</v>
      </c>
      <c r="E259">
        <f>'Specific Names Main'!E259</f>
        <v>0</v>
      </c>
    </row>
    <row r="260" spans="1:5" x14ac:dyDescent="0.25">
      <c r="A260">
        <f>'Specific Names Main'!A260</f>
        <v>0</v>
      </c>
      <c r="B260">
        <f>'Specific Names Main'!B260</f>
        <v>0</v>
      </c>
      <c r="C260">
        <f>'Specific Names Main'!C260</f>
        <v>0</v>
      </c>
      <c r="D260">
        <f>'Specific Names Main'!D260</f>
        <v>0</v>
      </c>
      <c r="E260">
        <f>'Specific Names Main'!E260</f>
        <v>0</v>
      </c>
    </row>
    <row r="261" spans="1:5" x14ac:dyDescent="0.25">
      <c r="A261">
        <f>'Specific Names Main'!A261</f>
        <v>0</v>
      </c>
      <c r="B261">
        <f>'Specific Names Main'!B261</f>
        <v>0</v>
      </c>
      <c r="C261">
        <f>'Specific Names Main'!C261</f>
        <v>0</v>
      </c>
      <c r="D261">
        <f>'Specific Names Main'!D261</f>
        <v>0</v>
      </c>
      <c r="E261">
        <f>'Specific Names Main'!E261</f>
        <v>0</v>
      </c>
    </row>
    <row r="262" spans="1:5" x14ac:dyDescent="0.25">
      <c r="A262">
        <f>'Specific Names Main'!A262</f>
        <v>0</v>
      </c>
      <c r="B262">
        <f>'Specific Names Main'!B262</f>
        <v>0</v>
      </c>
      <c r="C262">
        <f>'Specific Names Main'!C262</f>
        <v>0</v>
      </c>
      <c r="D262">
        <f>'Specific Names Main'!D262</f>
        <v>0</v>
      </c>
      <c r="E262">
        <f>'Specific Names Main'!E262</f>
        <v>0</v>
      </c>
    </row>
    <row r="263" spans="1:5" x14ac:dyDescent="0.25">
      <c r="A263">
        <f>'Specific Names Main'!A263</f>
        <v>0</v>
      </c>
      <c r="B263">
        <f>'Specific Names Main'!B263</f>
        <v>0</v>
      </c>
      <c r="C263">
        <f>'Specific Names Main'!C263</f>
        <v>0</v>
      </c>
      <c r="D263">
        <f>'Specific Names Main'!D263</f>
        <v>0</v>
      </c>
      <c r="E263">
        <f>'Specific Names Main'!E263</f>
        <v>0</v>
      </c>
    </row>
    <row r="264" spans="1:5" x14ac:dyDescent="0.25">
      <c r="A264">
        <f>'Specific Names Main'!A264</f>
        <v>0</v>
      </c>
      <c r="B264">
        <f>'Specific Names Main'!B264</f>
        <v>0</v>
      </c>
      <c r="C264">
        <f>'Specific Names Main'!C264</f>
        <v>0</v>
      </c>
      <c r="D264">
        <f>'Specific Names Main'!D264</f>
        <v>0</v>
      </c>
      <c r="E264">
        <f>'Specific Names Main'!E264</f>
        <v>0</v>
      </c>
    </row>
    <row r="265" spans="1:5" x14ac:dyDescent="0.25">
      <c r="A265">
        <f>'Specific Names Main'!A265</f>
        <v>0</v>
      </c>
      <c r="B265">
        <f>'Specific Names Main'!B265</f>
        <v>0</v>
      </c>
      <c r="C265">
        <f>'Specific Names Main'!C265</f>
        <v>0</v>
      </c>
      <c r="D265">
        <f>'Specific Names Main'!D265</f>
        <v>0</v>
      </c>
      <c r="E265">
        <f>'Specific Names Main'!E265</f>
        <v>0</v>
      </c>
    </row>
    <row r="266" spans="1:5" x14ac:dyDescent="0.25">
      <c r="A266">
        <f>'Specific Names Main'!A266</f>
        <v>0</v>
      </c>
      <c r="B266">
        <f>'Specific Names Main'!B266</f>
        <v>0</v>
      </c>
      <c r="C266">
        <f>'Specific Names Main'!C266</f>
        <v>0</v>
      </c>
      <c r="D266">
        <f>'Specific Names Main'!D266</f>
        <v>0</v>
      </c>
      <c r="E266">
        <f>'Specific Names Main'!E266</f>
        <v>0</v>
      </c>
    </row>
    <row r="267" spans="1:5" x14ac:dyDescent="0.25">
      <c r="A267">
        <f>'Specific Names Main'!A267</f>
        <v>0</v>
      </c>
      <c r="B267">
        <f>'Specific Names Main'!B267</f>
        <v>0</v>
      </c>
      <c r="C267">
        <f>'Specific Names Main'!C267</f>
        <v>0</v>
      </c>
      <c r="D267">
        <f>'Specific Names Main'!D267</f>
        <v>0</v>
      </c>
      <c r="E267">
        <f>'Specific Names Main'!E267</f>
        <v>0</v>
      </c>
    </row>
    <row r="268" spans="1:5" x14ac:dyDescent="0.25">
      <c r="A268">
        <f>'Specific Names Main'!A268</f>
        <v>0</v>
      </c>
      <c r="B268">
        <f>'Specific Names Main'!B268</f>
        <v>0</v>
      </c>
      <c r="C268">
        <f>'Specific Names Main'!C268</f>
        <v>0</v>
      </c>
      <c r="D268">
        <f>'Specific Names Main'!D268</f>
        <v>0</v>
      </c>
      <c r="E268">
        <f>'Specific Names Main'!E268</f>
        <v>0</v>
      </c>
    </row>
    <row r="269" spans="1:5" x14ac:dyDescent="0.25">
      <c r="A269">
        <f>'Specific Names Main'!A269</f>
        <v>0</v>
      </c>
      <c r="B269">
        <f>'Specific Names Main'!B269</f>
        <v>0</v>
      </c>
      <c r="C269">
        <f>'Specific Names Main'!C269</f>
        <v>0</v>
      </c>
      <c r="D269">
        <f>'Specific Names Main'!D269</f>
        <v>0</v>
      </c>
      <c r="E269">
        <f>'Specific Names Main'!E269</f>
        <v>0</v>
      </c>
    </row>
    <row r="270" spans="1:5" x14ac:dyDescent="0.25">
      <c r="A270">
        <f>'Specific Names Main'!A270</f>
        <v>0</v>
      </c>
      <c r="B270">
        <f>'Specific Names Main'!B270</f>
        <v>0</v>
      </c>
      <c r="C270">
        <f>'Specific Names Main'!C270</f>
        <v>0</v>
      </c>
      <c r="D270">
        <f>'Specific Names Main'!D270</f>
        <v>0</v>
      </c>
      <c r="E270">
        <f>'Specific Names Main'!E270</f>
        <v>0</v>
      </c>
    </row>
    <row r="271" spans="1:5" x14ac:dyDescent="0.25">
      <c r="A271">
        <f>'Specific Names Main'!A271</f>
        <v>0</v>
      </c>
      <c r="B271">
        <f>'Specific Names Main'!B271</f>
        <v>0</v>
      </c>
      <c r="C271">
        <f>'Specific Names Main'!C271</f>
        <v>0</v>
      </c>
      <c r="D271">
        <f>'Specific Names Main'!D271</f>
        <v>0</v>
      </c>
      <c r="E271">
        <f>'Specific Names Main'!E271</f>
        <v>0</v>
      </c>
    </row>
    <row r="272" spans="1:5" x14ac:dyDescent="0.25">
      <c r="A272">
        <f>'Specific Names Main'!A272</f>
        <v>0</v>
      </c>
      <c r="B272">
        <f>'Specific Names Main'!B272</f>
        <v>0</v>
      </c>
      <c r="C272">
        <f>'Specific Names Main'!C272</f>
        <v>0</v>
      </c>
      <c r="D272">
        <f>'Specific Names Main'!D272</f>
        <v>0</v>
      </c>
      <c r="E272">
        <f>'Specific Names Main'!E272</f>
        <v>0</v>
      </c>
    </row>
    <row r="273" spans="1:5" x14ac:dyDescent="0.25">
      <c r="A273">
        <f>'Specific Names Main'!A273</f>
        <v>0</v>
      </c>
      <c r="B273">
        <f>'Specific Names Main'!B273</f>
        <v>0</v>
      </c>
      <c r="C273">
        <f>'Specific Names Main'!C273</f>
        <v>0</v>
      </c>
      <c r="D273">
        <f>'Specific Names Main'!D273</f>
        <v>0</v>
      </c>
      <c r="E273">
        <f>'Specific Names Main'!E273</f>
        <v>0</v>
      </c>
    </row>
    <row r="274" spans="1:5" x14ac:dyDescent="0.25">
      <c r="A274">
        <f>'Specific Names Main'!A274</f>
        <v>0</v>
      </c>
      <c r="B274">
        <f>'Specific Names Main'!B274</f>
        <v>0</v>
      </c>
      <c r="C274">
        <f>'Specific Names Main'!C274</f>
        <v>0</v>
      </c>
      <c r="D274">
        <f>'Specific Names Main'!D274</f>
        <v>0</v>
      </c>
      <c r="E274">
        <f>'Specific Names Main'!E274</f>
        <v>0</v>
      </c>
    </row>
    <row r="275" spans="1:5" x14ac:dyDescent="0.25">
      <c r="A275">
        <f>'Specific Names Main'!A275</f>
        <v>0</v>
      </c>
      <c r="B275">
        <f>'Specific Names Main'!B275</f>
        <v>0</v>
      </c>
      <c r="C275">
        <f>'Specific Names Main'!C275</f>
        <v>0</v>
      </c>
      <c r="D275">
        <f>'Specific Names Main'!D275</f>
        <v>0</v>
      </c>
      <c r="E275">
        <f>'Specific Names Main'!E275</f>
        <v>0</v>
      </c>
    </row>
    <row r="276" spans="1:5" x14ac:dyDescent="0.25">
      <c r="A276">
        <f>'Specific Names Main'!A276</f>
        <v>0</v>
      </c>
      <c r="B276">
        <f>'Specific Names Main'!B276</f>
        <v>0</v>
      </c>
      <c r="C276">
        <f>'Specific Names Main'!C276</f>
        <v>0</v>
      </c>
      <c r="D276">
        <f>'Specific Names Main'!D276</f>
        <v>0</v>
      </c>
      <c r="E276">
        <f>'Specific Names Main'!E276</f>
        <v>0</v>
      </c>
    </row>
    <row r="277" spans="1:5" x14ac:dyDescent="0.25">
      <c r="A277">
        <f>'Specific Names Main'!A277</f>
        <v>0</v>
      </c>
      <c r="B277">
        <f>'Specific Names Main'!B277</f>
        <v>0</v>
      </c>
      <c r="C277">
        <f>'Specific Names Main'!C277</f>
        <v>0</v>
      </c>
      <c r="D277">
        <f>'Specific Names Main'!D277</f>
        <v>0</v>
      </c>
      <c r="E277">
        <f>'Specific Names Main'!E277</f>
        <v>0</v>
      </c>
    </row>
    <row r="278" spans="1:5" x14ac:dyDescent="0.25">
      <c r="A278">
        <f>'Specific Names Main'!A278</f>
        <v>0</v>
      </c>
      <c r="B278">
        <f>'Specific Names Main'!B278</f>
        <v>0</v>
      </c>
      <c r="C278">
        <f>'Specific Names Main'!C278</f>
        <v>0</v>
      </c>
      <c r="D278">
        <f>'Specific Names Main'!D278</f>
        <v>0</v>
      </c>
      <c r="E278">
        <f>'Specific Names Main'!E278</f>
        <v>0</v>
      </c>
    </row>
    <row r="279" spans="1:5" x14ac:dyDescent="0.25">
      <c r="A279">
        <f>'Specific Names Main'!A279</f>
        <v>0</v>
      </c>
      <c r="B279">
        <f>'Specific Names Main'!B279</f>
        <v>0</v>
      </c>
      <c r="C279">
        <f>'Specific Names Main'!C279</f>
        <v>0</v>
      </c>
      <c r="D279">
        <f>'Specific Names Main'!D279</f>
        <v>0</v>
      </c>
      <c r="E279">
        <f>'Specific Names Main'!E279</f>
        <v>0</v>
      </c>
    </row>
    <row r="280" spans="1:5" x14ac:dyDescent="0.25">
      <c r="A280">
        <f>'Specific Names Main'!A280</f>
        <v>0</v>
      </c>
      <c r="B280">
        <f>'Specific Names Main'!B280</f>
        <v>0</v>
      </c>
      <c r="C280">
        <f>'Specific Names Main'!C280</f>
        <v>0</v>
      </c>
      <c r="D280">
        <f>'Specific Names Main'!D280</f>
        <v>0</v>
      </c>
      <c r="E280">
        <f>'Specific Names Main'!E280</f>
        <v>0</v>
      </c>
    </row>
    <row r="281" spans="1:5" x14ac:dyDescent="0.25">
      <c r="A281">
        <f>'Specific Names Main'!A281</f>
        <v>0</v>
      </c>
      <c r="B281">
        <f>'Specific Names Main'!B281</f>
        <v>0</v>
      </c>
      <c r="C281">
        <f>'Specific Names Main'!C281</f>
        <v>0</v>
      </c>
      <c r="D281">
        <f>'Specific Names Main'!D281</f>
        <v>0</v>
      </c>
      <c r="E281">
        <f>'Specific Names Main'!E281</f>
        <v>0</v>
      </c>
    </row>
    <row r="282" spans="1:5" x14ac:dyDescent="0.25">
      <c r="A282">
        <f>'Specific Names Main'!A282</f>
        <v>0</v>
      </c>
      <c r="B282">
        <f>'Specific Names Main'!B282</f>
        <v>0</v>
      </c>
      <c r="C282">
        <f>'Specific Names Main'!C282</f>
        <v>0</v>
      </c>
      <c r="D282">
        <f>'Specific Names Main'!D282</f>
        <v>0</v>
      </c>
      <c r="E282">
        <f>'Specific Names Main'!E282</f>
        <v>0</v>
      </c>
    </row>
    <row r="283" spans="1:5" x14ac:dyDescent="0.25">
      <c r="A283">
        <f>'Specific Names Main'!A283</f>
        <v>0</v>
      </c>
      <c r="B283">
        <f>'Specific Names Main'!B283</f>
        <v>0</v>
      </c>
      <c r="C283">
        <f>'Specific Names Main'!C283</f>
        <v>0</v>
      </c>
      <c r="D283">
        <f>'Specific Names Main'!D283</f>
        <v>0</v>
      </c>
      <c r="E283">
        <f>'Specific Names Main'!E283</f>
        <v>0</v>
      </c>
    </row>
    <row r="284" spans="1:5" x14ac:dyDescent="0.25">
      <c r="A284">
        <f>'Specific Names Main'!A284</f>
        <v>0</v>
      </c>
      <c r="B284">
        <f>'Specific Names Main'!B284</f>
        <v>0</v>
      </c>
      <c r="C284">
        <f>'Specific Names Main'!C284</f>
        <v>0</v>
      </c>
      <c r="D284">
        <f>'Specific Names Main'!D284</f>
        <v>0</v>
      </c>
      <c r="E284">
        <f>'Specific Names Main'!E284</f>
        <v>0</v>
      </c>
    </row>
    <row r="285" spans="1:5" x14ac:dyDescent="0.25">
      <c r="A285">
        <f>'Specific Names Main'!A285</f>
        <v>0</v>
      </c>
      <c r="B285">
        <f>'Specific Names Main'!B285</f>
        <v>0</v>
      </c>
      <c r="C285">
        <f>'Specific Names Main'!C285</f>
        <v>0</v>
      </c>
      <c r="D285">
        <f>'Specific Names Main'!D285</f>
        <v>0</v>
      </c>
      <c r="E285">
        <f>'Specific Names Main'!E285</f>
        <v>0</v>
      </c>
    </row>
    <row r="286" spans="1:5" x14ac:dyDescent="0.25">
      <c r="A286">
        <f>'Specific Names Main'!A286</f>
        <v>0</v>
      </c>
      <c r="B286">
        <f>'Specific Names Main'!B286</f>
        <v>0</v>
      </c>
      <c r="C286">
        <f>'Specific Names Main'!C286</f>
        <v>0</v>
      </c>
      <c r="D286">
        <f>'Specific Names Main'!D286</f>
        <v>0</v>
      </c>
      <c r="E286">
        <f>'Specific Names Main'!E286</f>
        <v>0</v>
      </c>
    </row>
    <row r="287" spans="1:5" x14ac:dyDescent="0.25">
      <c r="A287">
        <f>'Specific Names Main'!A287</f>
        <v>0</v>
      </c>
      <c r="B287">
        <f>'Specific Names Main'!B287</f>
        <v>0</v>
      </c>
      <c r="C287">
        <f>'Specific Names Main'!C287</f>
        <v>0</v>
      </c>
      <c r="D287">
        <f>'Specific Names Main'!D287</f>
        <v>0</v>
      </c>
      <c r="E287">
        <f>'Specific Names Main'!E287</f>
        <v>0</v>
      </c>
    </row>
    <row r="288" spans="1:5" x14ac:dyDescent="0.25">
      <c r="A288">
        <f>'Specific Names Main'!A288</f>
        <v>0</v>
      </c>
      <c r="B288">
        <f>'Specific Names Main'!B288</f>
        <v>0</v>
      </c>
      <c r="C288">
        <f>'Specific Names Main'!C288</f>
        <v>0</v>
      </c>
      <c r="D288">
        <f>'Specific Names Main'!D288</f>
        <v>0</v>
      </c>
      <c r="E288">
        <f>'Specific Names Main'!E288</f>
        <v>0</v>
      </c>
    </row>
    <row r="289" spans="1:5" x14ac:dyDescent="0.25">
      <c r="A289">
        <f>'Specific Names Main'!A289</f>
        <v>0</v>
      </c>
      <c r="B289">
        <f>'Specific Names Main'!B289</f>
        <v>0</v>
      </c>
      <c r="C289">
        <f>'Specific Names Main'!C289</f>
        <v>0</v>
      </c>
      <c r="D289">
        <f>'Specific Names Main'!D289</f>
        <v>0</v>
      </c>
      <c r="E289">
        <f>'Specific Names Main'!E289</f>
        <v>0</v>
      </c>
    </row>
    <row r="290" spans="1:5" x14ac:dyDescent="0.25">
      <c r="A290">
        <f>'Specific Names Main'!A290</f>
        <v>0</v>
      </c>
      <c r="B290">
        <f>'Specific Names Main'!B290</f>
        <v>0</v>
      </c>
      <c r="C290">
        <f>'Specific Names Main'!C290</f>
        <v>0</v>
      </c>
      <c r="D290">
        <f>'Specific Names Main'!D290</f>
        <v>0</v>
      </c>
      <c r="E290">
        <f>'Specific Names Main'!E290</f>
        <v>0</v>
      </c>
    </row>
    <row r="291" spans="1:5" x14ac:dyDescent="0.25">
      <c r="A291">
        <f>'Specific Names Main'!A291</f>
        <v>0</v>
      </c>
      <c r="B291">
        <f>'Specific Names Main'!B291</f>
        <v>0</v>
      </c>
      <c r="C291">
        <f>'Specific Names Main'!C291</f>
        <v>0</v>
      </c>
      <c r="D291">
        <f>'Specific Names Main'!D291</f>
        <v>0</v>
      </c>
      <c r="E291">
        <f>'Specific Names Main'!E291</f>
        <v>0</v>
      </c>
    </row>
    <row r="292" spans="1:5" x14ac:dyDescent="0.25">
      <c r="A292">
        <f>'Specific Names Main'!A292</f>
        <v>0</v>
      </c>
      <c r="B292">
        <f>'Specific Names Main'!B292</f>
        <v>0</v>
      </c>
      <c r="C292">
        <f>'Specific Names Main'!C292</f>
        <v>0</v>
      </c>
      <c r="D292">
        <f>'Specific Names Main'!D292</f>
        <v>0</v>
      </c>
      <c r="E292">
        <f>'Specific Names Main'!E292</f>
        <v>0</v>
      </c>
    </row>
    <row r="293" spans="1:5" x14ac:dyDescent="0.25">
      <c r="A293">
        <f>'Specific Names Main'!A293</f>
        <v>0</v>
      </c>
      <c r="B293">
        <f>'Specific Names Main'!B293</f>
        <v>0</v>
      </c>
      <c r="C293">
        <f>'Specific Names Main'!C293</f>
        <v>0</v>
      </c>
      <c r="D293">
        <f>'Specific Names Main'!D293</f>
        <v>0</v>
      </c>
      <c r="E293">
        <f>'Specific Names Main'!E293</f>
        <v>0</v>
      </c>
    </row>
    <row r="294" spans="1:5" x14ac:dyDescent="0.25">
      <c r="A294">
        <f>'Specific Names Main'!A294</f>
        <v>0</v>
      </c>
      <c r="B294">
        <f>'Specific Names Main'!B294</f>
        <v>0</v>
      </c>
      <c r="C294">
        <f>'Specific Names Main'!C294</f>
        <v>0</v>
      </c>
      <c r="D294">
        <f>'Specific Names Main'!D294</f>
        <v>0</v>
      </c>
      <c r="E294">
        <f>'Specific Names Main'!E294</f>
        <v>0</v>
      </c>
    </row>
    <row r="295" spans="1:5" x14ac:dyDescent="0.25">
      <c r="A295">
        <f>'Specific Names Main'!A295</f>
        <v>0</v>
      </c>
      <c r="B295">
        <f>'Specific Names Main'!B295</f>
        <v>0</v>
      </c>
      <c r="C295">
        <f>'Specific Names Main'!C295</f>
        <v>0</v>
      </c>
      <c r="D295">
        <f>'Specific Names Main'!D295</f>
        <v>0</v>
      </c>
      <c r="E295">
        <f>'Specific Names Main'!E295</f>
        <v>0</v>
      </c>
    </row>
    <row r="296" spans="1:5" x14ac:dyDescent="0.25">
      <c r="A296">
        <f>'Specific Names Main'!A296</f>
        <v>0</v>
      </c>
      <c r="B296">
        <f>'Specific Names Main'!B296</f>
        <v>0</v>
      </c>
      <c r="C296">
        <f>'Specific Names Main'!C296</f>
        <v>0</v>
      </c>
      <c r="D296">
        <f>'Specific Names Main'!D296</f>
        <v>0</v>
      </c>
      <c r="E296">
        <f>'Specific Names Main'!E296</f>
        <v>0</v>
      </c>
    </row>
    <row r="297" spans="1:5" x14ac:dyDescent="0.25">
      <c r="A297">
        <f>'Specific Names Main'!A297</f>
        <v>0</v>
      </c>
      <c r="B297">
        <f>'Specific Names Main'!B297</f>
        <v>0</v>
      </c>
      <c r="C297">
        <f>'Specific Names Main'!C297</f>
        <v>0</v>
      </c>
      <c r="D297">
        <f>'Specific Names Main'!D297</f>
        <v>0</v>
      </c>
      <c r="E297">
        <f>'Specific Names Main'!E297</f>
        <v>0</v>
      </c>
    </row>
    <row r="298" spans="1:5" x14ac:dyDescent="0.25">
      <c r="A298">
        <f>'Specific Names Main'!A298</f>
        <v>0</v>
      </c>
      <c r="B298">
        <f>'Specific Names Main'!B298</f>
        <v>0</v>
      </c>
      <c r="C298">
        <f>'Specific Names Main'!C298</f>
        <v>0</v>
      </c>
      <c r="D298">
        <f>'Specific Names Main'!D298</f>
        <v>0</v>
      </c>
      <c r="E298">
        <f>'Specific Names Main'!E298</f>
        <v>0</v>
      </c>
    </row>
    <row r="299" spans="1:5" x14ac:dyDescent="0.25">
      <c r="A299">
        <f>'Specific Names Main'!A299</f>
        <v>0</v>
      </c>
      <c r="B299">
        <f>'Specific Names Main'!B299</f>
        <v>0</v>
      </c>
      <c r="C299">
        <f>'Specific Names Main'!C299</f>
        <v>0</v>
      </c>
      <c r="D299">
        <f>'Specific Names Main'!D299</f>
        <v>0</v>
      </c>
      <c r="E299">
        <f>'Specific Names Main'!E299</f>
        <v>0</v>
      </c>
    </row>
    <row r="300" spans="1:5" x14ac:dyDescent="0.25">
      <c r="A300">
        <f>'Specific Names Main'!A300</f>
        <v>0</v>
      </c>
      <c r="B300">
        <f>'Specific Names Main'!B300</f>
        <v>0</v>
      </c>
      <c r="C300">
        <f>'Specific Names Main'!C300</f>
        <v>0</v>
      </c>
      <c r="D300">
        <f>'Specific Names Main'!D300</f>
        <v>0</v>
      </c>
      <c r="E300">
        <f>'Specific Names Main'!E300</f>
        <v>0</v>
      </c>
    </row>
    <row r="301" spans="1:5" x14ac:dyDescent="0.25">
      <c r="A301">
        <f>'Specific Names Main'!A301</f>
        <v>0</v>
      </c>
      <c r="B301">
        <f>'Specific Names Main'!B301</f>
        <v>0</v>
      </c>
      <c r="C301">
        <f>'Specific Names Main'!C301</f>
        <v>0</v>
      </c>
      <c r="D301">
        <f>'Specific Names Main'!D301</f>
        <v>0</v>
      </c>
      <c r="E301">
        <f>'Specific Names Main'!E301</f>
        <v>0</v>
      </c>
    </row>
    <row r="302" spans="1:5" x14ac:dyDescent="0.25">
      <c r="A302">
        <f>'Specific Names Main'!A302</f>
        <v>0</v>
      </c>
      <c r="B302">
        <f>'Specific Names Main'!B302</f>
        <v>0</v>
      </c>
      <c r="C302">
        <f>'Specific Names Main'!C302</f>
        <v>0</v>
      </c>
      <c r="D302">
        <f>'Specific Names Main'!D302</f>
        <v>0</v>
      </c>
      <c r="E302">
        <f>'Specific Names Main'!E302</f>
        <v>0</v>
      </c>
    </row>
    <row r="303" spans="1:5" x14ac:dyDescent="0.25">
      <c r="A303">
        <f>'Specific Names Main'!A303</f>
        <v>0</v>
      </c>
      <c r="B303">
        <f>'Specific Names Main'!B303</f>
        <v>0</v>
      </c>
      <c r="C303">
        <f>'Specific Names Main'!C303</f>
        <v>0</v>
      </c>
      <c r="D303">
        <f>'Specific Names Main'!D303</f>
        <v>0</v>
      </c>
      <c r="E303">
        <f>'Specific Names Main'!E303</f>
        <v>0</v>
      </c>
    </row>
    <row r="304" spans="1:5" x14ac:dyDescent="0.25">
      <c r="A304">
        <f>'Specific Names Main'!A304</f>
        <v>0</v>
      </c>
      <c r="B304">
        <f>'Specific Names Main'!B304</f>
        <v>0</v>
      </c>
      <c r="C304">
        <f>'Specific Names Main'!C304</f>
        <v>0</v>
      </c>
      <c r="D304">
        <f>'Specific Names Main'!D304</f>
        <v>0</v>
      </c>
      <c r="E304">
        <f>'Specific Names Main'!E304</f>
        <v>0</v>
      </c>
    </row>
    <row r="305" spans="1:5" x14ac:dyDescent="0.25">
      <c r="A305">
        <f>'Specific Names Main'!A305</f>
        <v>0</v>
      </c>
      <c r="B305">
        <f>'Specific Names Main'!B305</f>
        <v>0</v>
      </c>
      <c r="C305">
        <f>'Specific Names Main'!C305</f>
        <v>0</v>
      </c>
      <c r="D305">
        <f>'Specific Names Main'!D305</f>
        <v>0</v>
      </c>
      <c r="E305">
        <f>'Specific Names Main'!E305</f>
        <v>0</v>
      </c>
    </row>
    <row r="306" spans="1:5" x14ac:dyDescent="0.25">
      <c r="A306">
        <f>'Specific Names Main'!A306</f>
        <v>0</v>
      </c>
      <c r="B306">
        <f>'Specific Names Main'!B306</f>
        <v>0</v>
      </c>
      <c r="C306">
        <f>'Specific Names Main'!C306</f>
        <v>0</v>
      </c>
      <c r="D306">
        <f>'Specific Names Main'!D306</f>
        <v>0</v>
      </c>
      <c r="E306">
        <f>'Specific Names Main'!E306</f>
        <v>0</v>
      </c>
    </row>
    <row r="307" spans="1:5" x14ac:dyDescent="0.25">
      <c r="A307">
        <f>'Specific Names Main'!A307</f>
        <v>0</v>
      </c>
      <c r="B307">
        <f>'Specific Names Main'!B307</f>
        <v>0</v>
      </c>
      <c r="C307">
        <f>'Specific Names Main'!C307</f>
        <v>0</v>
      </c>
      <c r="D307">
        <f>'Specific Names Main'!D307</f>
        <v>0</v>
      </c>
      <c r="E307">
        <f>'Specific Names Main'!E307</f>
        <v>0</v>
      </c>
    </row>
    <row r="308" spans="1:5" x14ac:dyDescent="0.25">
      <c r="A308">
        <f>'Specific Names Main'!A308</f>
        <v>0</v>
      </c>
      <c r="B308">
        <f>'Specific Names Main'!B308</f>
        <v>0</v>
      </c>
      <c r="C308">
        <f>'Specific Names Main'!C308</f>
        <v>0</v>
      </c>
      <c r="D308">
        <f>'Specific Names Main'!D308</f>
        <v>0</v>
      </c>
      <c r="E308">
        <f>'Specific Names Main'!E308</f>
        <v>0</v>
      </c>
    </row>
    <row r="309" spans="1:5" x14ac:dyDescent="0.25">
      <c r="A309">
        <f>'Specific Names Main'!A309</f>
        <v>0</v>
      </c>
      <c r="B309">
        <f>'Specific Names Main'!B309</f>
        <v>0</v>
      </c>
      <c r="C309">
        <f>'Specific Names Main'!C309</f>
        <v>0</v>
      </c>
      <c r="D309">
        <f>'Specific Names Main'!D309</f>
        <v>0</v>
      </c>
      <c r="E309">
        <f>'Specific Names Main'!E309</f>
        <v>0</v>
      </c>
    </row>
    <row r="310" spans="1:5" x14ac:dyDescent="0.25">
      <c r="A310">
        <f>'Specific Names Main'!A310</f>
        <v>0</v>
      </c>
      <c r="B310">
        <f>'Specific Names Main'!B310</f>
        <v>0</v>
      </c>
      <c r="C310">
        <f>'Specific Names Main'!C310</f>
        <v>0</v>
      </c>
      <c r="D310">
        <f>'Specific Names Main'!D310</f>
        <v>0</v>
      </c>
      <c r="E310">
        <f>'Specific Names Main'!E310</f>
        <v>0</v>
      </c>
    </row>
    <row r="311" spans="1:5" x14ac:dyDescent="0.25">
      <c r="A311">
        <f>'Specific Names Main'!A311</f>
        <v>0</v>
      </c>
      <c r="B311">
        <f>'Specific Names Main'!B311</f>
        <v>0</v>
      </c>
      <c r="C311">
        <f>'Specific Names Main'!C311</f>
        <v>0</v>
      </c>
      <c r="D311">
        <f>'Specific Names Main'!D311</f>
        <v>0</v>
      </c>
      <c r="E311">
        <f>'Specific Names Main'!E311</f>
        <v>0</v>
      </c>
    </row>
    <row r="312" spans="1:5" x14ac:dyDescent="0.25">
      <c r="A312">
        <f>'Specific Names Main'!A312</f>
        <v>0</v>
      </c>
      <c r="B312">
        <f>'Specific Names Main'!B312</f>
        <v>0</v>
      </c>
      <c r="C312">
        <f>'Specific Names Main'!C312</f>
        <v>0</v>
      </c>
      <c r="D312">
        <f>'Specific Names Main'!D312</f>
        <v>0</v>
      </c>
      <c r="E312">
        <f>'Specific Names Main'!E312</f>
        <v>0</v>
      </c>
    </row>
    <row r="313" spans="1:5" x14ac:dyDescent="0.25">
      <c r="A313">
        <f>'Specific Names Main'!A313</f>
        <v>0</v>
      </c>
      <c r="B313">
        <f>'Specific Names Main'!B313</f>
        <v>0</v>
      </c>
      <c r="C313">
        <f>'Specific Names Main'!C313</f>
        <v>0</v>
      </c>
      <c r="D313">
        <f>'Specific Names Main'!D313</f>
        <v>0</v>
      </c>
      <c r="E313">
        <f>'Specific Names Main'!E313</f>
        <v>0</v>
      </c>
    </row>
    <row r="314" spans="1:5" x14ac:dyDescent="0.25">
      <c r="A314">
        <f>'Specific Names Main'!A314</f>
        <v>0</v>
      </c>
      <c r="B314">
        <f>'Specific Names Main'!B314</f>
        <v>0</v>
      </c>
      <c r="C314">
        <f>'Specific Names Main'!C314</f>
        <v>0</v>
      </c>
      <c r="D314">
        <f>'Specific Names Main'!D314</f>
        <v>0</v>
      </c>
      <c r="E314">
        <f>'Specific Names Main'!E314</f>
        <v>0</v>
      </c>
    </row>
    <row r="315" spans="1:5" x14ac:dyDescent="0.25">
      <c r="A315">
        <f>'Specific Names Main'!A315</f>
        <v>0</v>
      </c>
      <c r="B315">
        <f>'Specific Names Main'!B315</f>
        <v>0</v>
      </c>
      <c r="C315">
        <f>'Specific Names Main'!C315</f>
        <v>0</v>
      </c>
      <c r="D315">
        <f>'Specific Names Main'!D315</f>
        <v>0</v>
      </c>
      <c r="E315">
        <f>'Specific Names Main'!E315</f>
        <v>0</v>
      </c>
    </row>
    <row r="316" spans="1:5" x14ac:dyDescent="0.25">
      <c r="A316">
        <f>'Specific Names Main'!A316</f>
        <v>0</v>
      </c>
      <c r="B316">
        <f>'Specific Names Main'!B316</f>
        <v>0</v>
      </c>
      <c r="C316">
        <f>'Specific Names Main'!C316</f>
        <v>0</v>
      </c>
      <c r="D316">
        <f>'Specific Names Main'!D316</f>
        <v>0</v>
      </c>
      <c r="E316">
        <f>'Specific Names Main'!E316</f>
        <v>0</v>
      </c>
    </row>
    <row r="317" spans="1:5" x14ac:dyDescent="0.25">
      <c r="A317">
        <f>'Specific Names Main'!A317</f>
        <v>0</v>
      </c>
      <c r="B317">
        <f>'Specific Names Main'!B317</f>
        <v>0</v>
      </c>
      <c r="C317">
        <f>'Specific Names Main'!C317</f>
        <v>0</v>
      </c>
      <c r="D317">
        <f>'Specific Names Main'!D317</f>
        <v>0</v>
      </c>
      <c r="E317">
        <f>'Specific Names Main'!E317</f>
        <v>0</v>
      </c>
    </row>
    <row r="318" spans="1:5" x14ac:dyDescent="0.25">
      <c r="A318">
        <f>'Specific Names Main'!A318</f>
        <v>0</v>
      </c>
      <c r="B318">
        <f>'Specific Names Main'!B318</f>
        <v>0</v>
      </c>
      <c r="C318">
        <f>'Specific Names Main'!C318</f>
        <v>0</v>
      </c>
      <c r="D318">
        <f>'Specific Names Main'!D318</f>
        <v>0</v>
      </c>
      <c r="E318">
        <f>'Specific Names Main'!E318</f>
        <v>0</v>
      </c>
    </row>
    <row r="319" spans="1:5" x14ac:dyDescent="0.25">
      <c r="A319">
        <f>'Specific Names Main'!A319</f>
        <v>0</v>
      </c>
      <c r="B319">
        <f>'Specific Names Main'!B319</f>
        <v>0</v>
      </c>
      <c r="C319">
        <f>'Specific Names Main'!C319</f>
        <v>0</v>
      </c>
      <c r="D319">
        <f>'Specific Names Main'!D319</f>
        <v>0</v>
      </c>
      <c r="E319">
        <f>'Specific Names Main'!E319</f>
        <v>0</v>
      </c>
    </row>
    <row r="320" spans="1:5" x14ac:dyDescent="0.25">
      <c r="A320">
        <f>'Specific Names Main'!A320</f>
        <v>0</v>
      </c>
      <c r="B320">
        <f>'Specific Names Main'!B320</f>
        <v>0</v>
      </c>
      <c r="C320">
        <f>'Specific Names Main'!C320</f>
        <v>0</v>
      </c>
      <c r="D320">
        <f>'Specific Names Main'!D320</f>
        <v>0</v>
      </c>
      <c r="E320">
        <f>'Specific Names Main'!E320</f>
        <v>0</v>
      </c>
    </row>
    <row r="321" spans="1:5" x14ac:dyDescent="0.25">
      <c r="A321">
        <f>'Specific Names Main'!A321</f>
        <v>0</v>
      </c>
      <c r="B321">
        <f>'Specific Names Main'!B321</f>
        <v>0</v>
      </c>
      <c r="C321">
        <f>'Specific Names Main'!C321</f>
        <v>0</v>
      </c>
      <c r="D321">
        <f>'Specific Names Main'!D321</f>
        <v>0</v>
      </c>
      <c r="E321">
        <f>'Specific Names Main'!E321</f>
        <v>0</v>
      </c>
    </row>
    <row r="322" spans="1:5" x14ac:dyDescent="0.25">
      <c r="A322">
        <f>'Specific Names Main'!A322</f>
        <v>0</v>
      </c>
      <c r="B322">
        <f>'Specific Names Main'!B322</f>
        <v>0</v>
      </c>
      <c r="C322">
        <f>'Specific Names Main'!C322</f>
        <v>0</v>
      </c>
      <c r="D322">
        <f>'Specific Names Main'!D322</f>
        <v>0</v>
      </c>
      <c r="E322">
        <f>'Specific Names Main'!E322</f>
        <v>0</v>
      </c>
    </row>
    <row r="323" spans="1:5" x14ac:dyDescent="0.25">
      <c r="A323">
        <f>'Specific Names Main'!A323</f>
        <v>0</v>
      </c>
      <c r="B323">
        <f>'Specific Names Main'!B323</f>
        <v>0</v>
      </c>
      <c r="C323">
        <f>'Specific Names Main'!C323</f>
        <v>0</v>
      </c>
      <c r="D323">
        <f>'Specific Names Main'!D323</f>
        <v>0</v>
      </c>
      <c r="E323">
        <f>'Specific Names Main'!E323</f>
        <v>0</v>
      </c>
    </row>
    <row r="324" spans="1:5" x14ac:dyDescent="0.25">
      <c r="A324">
        <f>'Specific Names Main'!A324</f>
        <v>0</v>
      </c>
      <c r="B324">
        <f>'Specific Names Main'!B324</f>
        <v>0</v>
      </c>
      <c r="C324">
        <f>'Specific Names Main'!C324</f>
        <v>0</v>
      </c>
      <c r="D324">
        <f>'Specific Names Main'!D324</f>
        <v>0</v>
      </c>
      <c r="E324">
        <f>'Specific Names Main'!E324</f>
        <v>0</v>
      </c>
    </row>
    <row r="325" spans="1:5" x14ac:dyDescent="0.25">
      <c r="A325">
        <f>'Specific Names Main'!A325</f>
        <v>0</v>
      </c>
      <c r="B325">
        <f>'Specific Names Main'!B325</f>
        <v>0</v>
      </c>
      <c r="C325">
        <f>'Specific Names Main'!C325</f>
        <v>0</v>
      </c>
      <c r="D325">
        <f>'Specific Names Main'!D325</f>
        <v>0</v>
      </c>
      <c r="E325">
        <f>'Specific Names Main'!E325</f>
        <v>0</v>
      </c>
    </row>
    <row r="326" spans="1:5" x14ac:dyDescent="0.25">
      <c r="A326">
        <f>'Specific Names Main'!A326</f>
        <v>0</v>
      </c>
      <c r="B326">
        <f>'Specific Names Main'!B326</f>
        <v>0</v>
      </c>
      <c r="C326">
        <f>'Specific Names Main'!C326</f>
        <v>0</v>
      </c>
      <c r="D326">
        <f>'Specific Names Main'!D326</f>
        <v>0</v>
      </c>
      <c r="E326">
        <f>'Specific Names Main'!E326</f>
        <v>0</v>
      </c>
    </row>
    <row r="327" spans="1:5" x14ac:dyDescent="0.25">
      <c r="A327">
        <f>'Specific Names Main'!A327</f>
        <v>0</v>
      </c>
      <c r="B327">
        <f>'Specific Names Main'!B327</f>
        <v>0</v>
      </c>
      <c r="C327">
        <f>'Specific Names Main'!C327</f>
        <v>0</v>
      </c>
      <c r="D327">
        <f>'Specific Names Main'!D327</f>
        <v>0</v>
      </c>
      <c r="E327">
        <f>'Specific Names Main'!E327</f>
        <v>0</v>
      </c>
    </row>
    <row r="328" spans="1:5" x14ac:dyDescent="0.25">
      <c r="A328">
        <f>'Specific Names Main'!A328</f>
        <v>0</v>
      </c>
      <c r="B328">
        <f>'Specific Names Main'!B328</f>
        <v>0</v>
      </c>
      <c r="C328">
        <f>'Specific Names Main'!C328</f>
        <v>0</v>
      </c>
      <c r="D328">
        <f>'Specific Names Main'!D328</f>
        <v>0</v>
      </c>
      <c r="E328">
        <f>'Specific Names Main'!E328</f>
        <v>0</v>
      </c>
    </row>
    <row r="329" spans="1:5" x14ac:dyDescent="0.25">
      <c r="A329">
        <f>'Specific Names Main'!A329</f>
        <v>0</v>
      </c>
      <c r="B329">
        <f>'Specific Names Main'!B329</f>
        <v>0</v>
      </c>
      <c r="C329">
        <f>'Specific Names Main'!C329</f>
        <v>0</v>
      </c>
      <c r="D329">
        <f>'Specific Names Main'!D329</f>
        <v>0</v>
      </c>
      <c r="E329">
        <f>'Specific Names Main'!E329</f>
        <v>0</v>
      </c>
    </row>
    <row r="330" spans="1:5" x14ac:dyDescent="0.25">
      <c r="A330">
        <f>'Specific Names Main'!A330</f>
        <v>0</v>
      </c>
      <c r="B330">
        <f>'Specific Names Main'!B330</f>
        <v>0</v>
      </c>
      <c r="C330">
        <f>'Specific Names Main'!C330</f>
        <v>0</v>
      </c>
      <c r="D330">
        <f>'Specific Names Main'!D330</f>
        <v>0</v>
      </c>
      <c r="E330">
        <f>'Specific Names Main'!E330</f>
        <v>0</v>
      </c>
    </row>
    <row r="331" spans="1:5" x14ac:dyDescent="0.25">
      <c r="A331">
        <f>'Specific Names Main'!A331</f>
        <v>0</v>
      </c>
      <c r="B331">
        <f>'Specific Names Main'!B331</f>
        <v>0</v>
      </c>
      <c r="C331">
        <f>'Specific Names Main'!C331</f>
        <v>0</v>
      </c>
      <c r="D331">
        <f>'Specific Names Main'!D331</f>
        <v>0</v>
      </c>
      <c r="E331">
        <f>'Specific Names Main'!E331</f>
        <v>0</v>
      </c>
    </row>
    <row r="332" spans="1:5" x14ac:dyDescent="0.25">
      <c r="A332">
        <f>'Specific Names Main'!A332</f>
        <v>0</v>
      </c>
      <c r="B332">
        <f>'Specific Names Main'!B332</f>
        <v>0</v>
      </c>
      <c r="C332">
        <f>'Specific Names Main'!C332</f>
        <v>0</v>
      </c>
      <c r="D332">
        <f>'Specific Names Main'!D332</f>
        <v>0</v>
      </c>
      <c r="E332">
        <f>'Specific Names Main'!E332</f>
        <v>0</v>
      </c>
    </row>
    <row r="333" spans="1:5" x14ac:dyDescent="0.25">
      <c r="A333">
        <f>'Specific Names Main'!A333</f>
        <v>0</v>
      </c>
      <c r="B333">
        <f>'Specific Names Main'!B333</f>
        <v>0</v>
      </c>
      <c r="C333">
        <f>'Specific Names Main'!C333</f>
        <v>0</v>
      </c>
      <c r="D333">
        <f>'Specific Names Main'!D333</f>
        <v>0</v>
      </c>
      <c r="E333">
        <f>'Specific Names Main'!E333</f>
        <v>0</v>
      </c>
    </row>
    <row r="334" spans="1:5" x14ac:dyDescent="0.25">
      <c r="A334">
        <f>'Specific Names Main'!A334</f>
        <v>0</v>
      </c>
      <c r="B334">
        <f>'Specific Names Main'!B334</f>
        <v>0</v>
      </c>
      <c r="C334">
        <f>'Specific Names Main'!C334</f>
        <v>0</v>
      </c>
      <c r="D334">
        <f>'Specific Names Main'!D334</f>
        <v>0</v>
      </c>
      <c r="E334">
        <f>'Specific Names Main'!E334</f>
        <v>0</v>
      </c>
    </row>
    <row r="335" spans="1:5" x14ac:dyDescent="0.25">
      <c r="A335">
        <f>'Specific Names Main'!A335</f>
        <v>0</v>
      </c>
      <c r="B335">
        <f>'Specific Names Main'!B335</f>
        <v>0</v>
      </c>
      <c r="C335">
        <f>'Specific Names Main'!C335</f>
        <v>0</v>
      </c>
      <c r="D335">
        <f>'Specific Names Main'!D335</f>
        <v>0</v>
      </c>
      <c r="E335">
        <f>'Specific Names Main'!E335</f>
        <v>0</v>
      </c>
    </row>
    <row r="336" spans="1:5" x14ac:dyDescent="0.25">
      <c r="A336">
        <f>'Specific Names Main'!A336</f>
        <v>0</v>
      </c>
      <c r="B336">
        <f>'Specific Names Main'!B336</f>
        <v>0</v>
      </c>
      <c r="C336">
        <f>'Specific Names Main'!C336</f>
        <v>0</v>
      </c>
      <c r="D336">
        <f>'Specific Names Main'!D336</f>
        <v>0</v>
      </c>
      <c r="E336">
        <f>'Specific Names Main'!E336</f>
        <v>0</v>
      </c>
    </row>
    <row r="337" spans="1:5" x14ac:dyDescent="0.25">
      <c r="A337">
        <f>'Specific Names Main'!A337</f>
        <v>0</v>
      </c>
      <c r="B337">
        <f>'Specific Names Main'!B337</f>
        <v>0</v>
      </c>
      <c r="C337">
        <f>'Specific Names Main'!C337</f>
        <v>0</v>
      </c>
      <c r="D337">
        <f>'Specific Names Main'!D337</f>
        <v>0</v>
      </c>
      <c r="E337">
        <f>'Specific Names Main'!E337</f>
        <v>0</v>
      </c>
    </row>
    <row r="338" spans="1:5" x14ac:dyDescent="0.25">
      <c r="A338">
        <f>'Specific Names Main'!A338</f>
        <v>0</v>
      </c>
      <c r="B338">
        <f>'Specific Names Main'!B338</f>
        <v>0</v>
      </c>
      <c r="C338">
        <f>'Specific Names Main'!C338</f>
        <v>0</v>
      </c>
      <c r="D338">
        <f>'Specific Names Main'!D338</f>
        <v>0</v>
      </c>
      <c r="E338">
        <f>'Specific Names Main'!E338</f>
        <v>0</v>
      </c>
    </row>
    <row r="339" spans="1:5" x14ac:dyDescent="0.25">
      <c r="A339">
        <f>'Specific Names Main'!A339</f>
        <v>0</v>
      </c>
      <c r="B339">
        <f>'Specific Names Main'!B339</f>
        <v>0</v>
      </c>
      <c r="C339">
        <f>'Specific Names Main'!C339</f>
        <v>0</v>
      </c>
      <c r="D339">
        <f>'Specific Names Main'!D339</f>
        <v>0</v>
      </c>
      <c r="E339">
        <f>'Specific Names Main'!E339</f>
        <v>0</v>
      </c>
    </row>
    <row r="340" spans="1:5" x14ac:dyDescent="0.25">
      <c r="A340">
        <f>'Specific Names Main'!A340</f>
        <v>0</v>
      </c>
      <c r="B340">
        <f>'Specific Names Main'!B340</f>
        <v>0</v>
      </c>
      <c r="C340">
        <f>'Specific Names Main'!C340</f>
        <v>0</v>
      </c>
      <c r="D340">
        <f>'Specific Names Main'!D340</f>
        <v>0</v>
      </c>
      <c r="E340">
        <f>'Specific Names Main'!E340</f>
        <v>0</v>
      </c>
    </row>
    <row r="341" spans="1:5" x14ac:dyDescent="0.25">
      <c r="A341">
        <f>'Specific Names Main'!A341</f>
        <v>0</v>
      </c>
      <c r="B341">
        <f>'Specific Names Main'!B341</f>
        <v>0</v>
      </c>
      <c r="C341">
        <f>'Specific Names Main'!C341</f>
        <v>0</v>
      </c>
      <c r="D341">
        <f>'Specific Names Main'!D341</f>
        <v>0</v>
      </c>
      <c r="E341">
        <f>'Specific Names Main'!E341</f>
        <v>0</v>
      </c>
    </row>
    <row r="342" spans="1:5" x14ac:dyDescent="0.25">
      <c r="A342">
        <f>'Specific Names Main'!A342</f>
        <v>0</v>
      </c>
      <c r="B342">
        <f>'Specific Names Main'!B342</f>
        <v>0</v>
      </c>
      <c r="C342">
        <f>'Specific Names Main'!C342</f>
        <v>0</v>
      </c>
      <c r="D342">
        <f>'Specific Names Main'!D342</f>
        <v>0</v>
      </c>
      <c r="E342">
        <f>'Specific Names Main'!E342</f>
        <v>0</v>
      </c>
    </row>
    <row r="343" spans="1:5" x14ac:dyDescent="0.25">
      <c r="A343">
        <f>'Specific Names Main'!A343</f>
        <v>0</v>
      </c>
      <c r="B343">
        <f>'Specific Names Main'!B343</f>
        <v>0</v>
      </c>
      <c r="C343">
        <f>'Specific Names Main'!C343</f>
        <v>0</v>
      </c>
      <c r="D343">
        <f>'Specific Names Main'!D343</f>
        <v>0</v>
      </c>
      <c r="E343">
        <f>'Specific Names Main'!E343</f>
        <v>0</v>
      </c>
    </row>
    <row r="344" spans="1:5" x14ac:dyDescent="0.25">
      <c r="A344">
        <f>'Specific Names Main'!A344</f>
        <v>0</v>
      </c>
      <c r="B344">
        <f>'Specific Names Main'!B344</f>
        <v>0</v>
      </c>
      <c r="C344">
        <f>'Specific Names Main'!C344</f>
        <v>0</v>
      </c>
      <c r="D344">
        <f>'Specific Names Main'!D344</f>
        <v>0</v>
      </c>
      <c r="E344">
        <f>'Specific Names Main'!E344</f>
        <v>0</v>
      </c>
    </row>
    <row r="345" spans="1:5" x14ac:dyDescent="0.25">
      <c r="A345">
        <f>'Specific Names Main'!A345</f>
        <v>0</v>
      </c>
      <c r="B345">
        <f>'Specific Names Main'!B345</f>
        <v>0</v>
      </c>
      <c r="C345">
        <f>'Specific Names Main'!C345</f>
        <v>0</v>
      </c>
      <c r="D345">
        <f>'Specific Names Main'!D345</f>
        <v>0</v>
      </c>
      <c r="E345">
        <f>'Specific Names Main'!E345</f>
        <v>0</v>
      </c>
    </row>
    <row r="346" spans="1:5" x14ac:dyDescent="0.25">
      <c r="A346">
        <f>'Specific Names Main'!A346</f>
        <v>0</v>
      </c>
      <c r="B346">
        <f>'Specific Names Main'!B346</f>
        <v>0</v>
      </c>
      <c r="C346">
        <f>'Specific Names Main'!C346</f>
        <v>0</v>
      </c>
      <c r="D346">
        <f>'Specific Names Main'!D346</f>
        <v>0</v>
      </c>
      <c r="E346">
        <f>'Specific Names Main'!E346</f>
        <v>0</v>
      </c>
    </row>
    <row r="347" spans="1:5" x14ac:dyDescent="0.25">
      <c r="A347">
        <f>'Specific Names Main'!A347</f>
        <v>0</v>
      </c>
      <c r="B347">
        <f>'Specific Names Main'!B347</f>
        <v>0</v>
      </c>
      <c r="C347">
        <f>'Specific Names Main'!C347</f>
        <v>0</v>
      </c>
      <c r="D347">
        <f>'Specific Names Main'!D347</f>
        <v>0</v>
      </c>
      <c r="E347">
        <f>'Specific Names Main'!E347</f>
        <v>0</v>
      </c>
    </row>
    <row r="348" spans="1:5" x14ac:dyDescent="0.25">
      <c r="A348">
        <f>'Specific Names Main'!A348</f>
        <v>0</v>
      </c>
      <c r="B348">
        <f>'Specific Names Main'!B348</f>
        <v>0</v>
      </c>
      <c r="C348">
        <f>'Specific Names Main'!C348</f>
        <v>0</v>
      </c>
      <c r="D348">
        <f>'Specific Names Main'!D348</f>
        <v>0</v>
      </c>
      <c r="E348">
        <f>'Specific Names Main'!E348</f>
        <v>0</v>
      </c>
    </row>
    <row r="349" spans="1:5" x14ac:dyDescent="0.25">
      <c r="A349">
        <f>'Specific Names Main'!A349</f>
        <v>0</v>
      </c>
      <c r="B349">
        <f>'Specific Names Main'!B349</f>
        <v>0</v>
      </c>
      <c r="C349">
        <f>'Specific Names Main'!C349</f>
        <v>0</v>
      </c>
      <c r="D349">
        <f>'Specific Names Main'!D349</f>
        <v>0</v>
      </c>
      <c r="E349">
        <f>'Specific Names Main'!E349</f>
        <v>0</v>
      </c>
    </row>
    <row r="350" spans="1:5" x14ac:dyDescent="0.25">
      <c r="A350">
        <f>'Specific Names Main'!A350</f>
        <v>0</v>
      </c>
      <c r="B350">
        <f>'Specific Names Main'!B350</f>
        <v>0</v>
      </c>
      <c r="C350">
        <f>'Specific Names Main'!C350</f>
        <v>0</v>
      </c>
      <c r="D350">
        <f>'Specific Names Main'!D350</f>
        <v>0</v>
      </c>
      <c r="E350">
        <f>'Specific Names Main'!E350</f>
        <v>0</v>
      </c>
    </row>
    <row r="351" spans="1:5" x14ac:dyDescent="0.25">
      <c r="A351">
        <f>'Specific Names Main'!A351</f>
        <v>0</v>
      </c>
      <c r="B351">
        <f>'Specific Names Main'!B351</f>
        <v>0</v>
      </c>
      <c r="C351">
        <f>'Specific Names Main'!C351</f>
        <v>0</v>
      </c>
      <c r="D351">
        <f>'Specific Names Main'!D351</f>
        <v>0</v>
      </c>
      <c r="E351">
        <f>'Specific Names Main'!E351</f>
        <v>0</v>
      </c>
    </row>
    <row r="352" spans="1:5" x14ac:dyDescent="0.25">
      <c r="A352">
        <f>'Specific Names Main'!A352</f>
        <v>0</v>
      </c>
      <c r="B352">
        <f>'Specific Names Main'!B352</f>
        <v>0</v>
      </c>
      <c r="C352">
        <f>'Specific Names Main'!C352</f>
        <v>0</v>
      </c>
      <c r="D352">
        <f>'Specific Names Main'!D352</f>
        <v>0</v>
      </c>
      <c r="E352">
        <f>'Specific Names Main'!E352</f>
        <v>0</v>
      </c>
    </row>
    <row r="353" spans="1:5" x14ac:dyDescent="0.25">
      <c r="A353">
        <f>'Specific Names Main'!A353</f>
        <v>0</v>
      </c>
      <c r="B353">
        <f>'Specific Names Main'!B353</f>
        <v>0</v>
      </c>
      <c r="C353">
        <f>'Specific Names Main'!C353</f>
        <v>0</v>
      </c>
      <c r="D353">
        <f>'Specific Names Main'!D353</f>
        <v>0</v>
      </c>
      <c r="E353">
        <f>'Specific Names Main'!E353</f>
        <v>0</v>
      </c>
    </row>
    <row r="354" spans="1:5" x14ac:dyDescent="0.25">
      <c r="A354">
        <f>'Specific Names Main'!A354</f>
        <v>0</v>
      </c>
      <c r="B354">
        <f>'Specific Names Main'!B354</f>
        <v>0</v>
      </c>
      <c r="C354">
        <f>'Specific Names Main'!C354</f>
        <v>0</v>
      </c>
      <c r="D354">
        <f>'Specific Names Main'!D354</f>
        <v>0</v>
      </c>
      <c r="E354">
        <f>'Specific Names Main'!E354</f>
        <v>0</v>
      </c>
    </row>
    <row r="355" spans="1:5" x14ac:dyDescent="0.25">
      <c r="A355">
        <f>'Specific Names Main'!A355</f>
        <v>0</v>
      </c>
      <c r="B355">
        <f>'Specific Names Main'!B355</f>
        <v>0</v>
      </c>
      <c r="C355">
        <f>'Specific Names Main'!C355</f>
        <v>0</v>
      </c>
      <c r="D355">
        <f>'Specific Names Main'!D355</f>
        <v>0</v>
      </c>
      <c r="E355">
        <f>'Specific Names Main'!E355</f>
        <v>0</v>
      </c>
    </row>
    <row r="356" spans="1:5" x14ac:dyDescent="0.25">
      <c r="A356">
        <f>'Specific Names Main'!A356</f>
        <v>0</v>
      </c>
      <c r="B356">
        <f>'Specific Names Main'!B356</f>
        <v>0</v>
      </c>
      <c r="C356">
        <f>'Specific Names Main'!C356</f>
        <v>0</v>
      </c>
      <c r="D356">
        <f>'Specific Names Main'!D356</f>
        <v>0</v>
      </c>
      <c r="E356">
        <f>'Specific Names Main'!E356</f>
        <v>0</v>
      </c>
    </row>
    <row r="357" spans="1:5" x14ac:dyDescent="0.25">
      <c r="A357">
        <f>'Specific Names Main'!A357</f>
        <v>0</v>
      </c>
      <c r="B357">
        <f>'Specific Names Main'!B357</f>
        <v>0</v>
      </c>
      <c r="C357">
        <f>'Specific Names Main'!C357</f>
        <v>0</v>
      </c>
      <c r="D357">
        <f>'Specific Names Main'!D357</f>
        <v>0</v>
      </c>
      <c r="E357">
        <f>'Specific Names Main'!E357</f>
        <v>0</v>
      </c>
    </row>
    <row r="358" spans="1:5" x14ac:dyDescent="0.25">
      <c r="A358">
        <f>'Specific Names Main'!A358</f>
        <v>0</v>
      </c>
      <c r="B358">
        <f>'Specific Names Main'!B358</f>
        <v>0</v>
      </c>
      <c r="C358">
        <f>'Specific Names Main'!C358</f>
        <v>0</v>
      </c>
      <c r="D358">
        <f>'Specific Names Main'!D358</f>
        <v>0</v>
      </c>
      <c r="E358">
        <f>'Specific Names Main'!E358</f>
        <v>0</v>
      </c>
    </row>
    <row r="359" spans="1:5" x14ac:dyDescent="0.25">
      <c r="A359">
        <f>'Specific Names Main'!A359</f>
        <v>0</v>
      </c>
      <c r="B359">
        <f>'Specific Names Main'!B359</f>
        <v>0</v>
      </c>
      <c r="C359">
        <f>'Specific Names Main'!C359</f>
        <v>0</v>
      </c>
      <c r="D359">
        <f>'Specific Names Main'!D359</f>
        <v>0</v>
      </c>
      <c r="E359">
        <f>'Specific Names Main'!E359</f>
        <v>0</v>
      </c>
    </row>
    <row r="360" spans="1:5" x14ac:dyDescent="0.25">
      <c r="A360">
        <f>'Specific Names Main'!A360</f>
        <v>0</v>
      </c>
      <c r="B360">
        <f>'Specific Names Main'!B360</f>
        <v>0</v>
      </c>
      <c r="C360">
        <f>'Specific Names Main'!C360</f>
        <v>0</v>
      </c>
      <c r="D360">
        <f>'Specific Names Main'!D360</f>
        <v>0</v>
      </c>
      <c r="E360">
        <f>'Specific Names Main'!E360</f>
        <v>0</v>
      </c>
    </row>
    <row r="361" spans="1:5" x14ac:dyDescent="0.25">
      <c r="A361">
        <f>'Specific Names Main'!A361</f>
        <v>0</v>
      </c>
      <c r="B361">
        <f>'Specific Names Main'!B361</f>
        <v>0</v>
      </c>
      <c r="C361">
        <f>'Specific Names Main'!C361</f>
        <v>0</v>
      </c>
      <c r="D361">
        <f>'Specific Names Main'!D361</f>
        <v>0</v>
      </c>
      <c r="E361">
        <f>'Specific Names Main'!E361</f>
        <v>0</v>
      </c>
    </row>
    <row r="362" spans="1:5" x14ac:dyDescent="0.25">
      <c r="A362">
        <f>'Specific Names Main'!A362</f>
        <v>0</v>
      </c>
      <c r="B362">
        <f>'Specific Names Main'!B362</f>
        <v>0</v>
      </c>
      <c r="C362">
        <f>'Specific Names Main'!C362</f>
        <v>0</v>
      </c>
      <c r="D362">
        <f>'Specific Names Main'!D362</f>
        <v>0</v>
      </c>
      <c r="E362">
        <f>'Specific Names Main'!E362</f>
        <v>0</v>
      </c>
    </row>
    <row r="363" spans="1:5" x14ac:dyDescent="0.25">
      <c r="A363">
        <f>'Specific Names Main'!A363</f>
        <v>0</v>
      </c>
      <c r="B363">
        <f>'Specific Names Main'!B363</f>
        <v>0</v>
      </c>
      <c r="C363">
        <f>'Specific Names Main'!C363</f>
        <v>0</v>
      </c>
      <c r="D363">
        <f>'Specific Names Main'!D363</f>
        <v>0</v>
      </c>
      <c r="E363">
        <f>'Specific Names Main'!E363</f>
        <v>0</v>
      </c>
    </row>
    <row r="364" spans="1:5" x14ac:dyDescent="0.25">
      <c r="A364">
        <f>'Specific Names Main'!A364</f>
        <v>0</v>
      </c>
      <c r="B364">
        <f>'Specific Names Main'!B364</f>
        <v>0</v>
      </c>
      <c r="C364">
        <f>'Specific Names Main'!C364</f>
        <v>0</v>
      </c>
      <c r="D364">
        <f>'Specific Names Main'!D364</f>
        <v>0</v>
      </c>
      <c r="E364">
        <f>'Specific Names Main'!E364</f>
        <v>0</v>
      </c>
    </row>
    <row r="365" spans="1:5" x14ac:dyDescent="0.25">
      <c r="A365">
        <f>'Specific Names Main'!A365</f>
        <v>0</v>
      </c>
      <c r="B365">
        <f>'Specific Names Main'!B365</f>
        <v>0</v>
      </c>
      <c r="C365">
        <f>'Specific Names Main'!C365</f>
        <v>0</v>
      </c>
      <c r="D365">
        <f>'Specific Names Main'!D365</f>
        <v>0</v>
      </c>
      <c r="E365">
        <f>'Specific Names Main'!E365</f>
        <v>0</v>
      </c>
    </row>
    <row r="366" spans="1:5" x14ac:dyDescent="0.25">
      <c r="A366">
        <f>'Specific Names Main'!A366</f>
        <v>0</v>
      </c>
      <c r="B366">
        <f>'Specific Names Main'!B366</f>
        <v>0</v>
      </c>
      <c r="C366">
        <f>'Specific Names Main'!C366</f>
        <v>0</v>
      </c>
      <c r="D366">
        <f>'Specific Names Main'!D366</f>
        <v>0</v>
      </c>
      <c r="E366">
        <f>'Specific Names Main'!E366</f>
        <v>0</v>
      </c>
    </row>
    <row r="367" spans="1:5" x14ac:dyDescent="0.25">
      <c r="A367">
        <f>'Specific Names Main'!A367</f>
        <v>0</v>
      </c>
      <c r="B367">
        <f>'Specific Names Main'!B367</f>
        <v>0</v>
      </c>
      <c r="C367">
        <f>'Specific Names Main'!C367</f>
        <v>0</v>
      </c>
      <c r="D367">
        <f>'Specific Names Main'!D367</f>
        <v>0</v>
      </c>
      <c r="E367">
        <f>'Specific Names Main'!E367</f>
        <v>0</v>
      </c>
    </row>
    <row r="368" spans="1:5" x14ac:dyDescent="0.25">
      <c r="A368">
        <f>'Specific Names Main'!A368</f>
        <v>0</v>
      </c>
      <c r="B368">
        <f>'Specific Names Main'!B368</f>
        <v>0</v>
      </c>
      <c r="C368">
        <f>'Specific Names Main'!C368</f>
        <v>0</v>
      </c>
      <c r="D368">
        <f>'Specific Names Main'!D368</f>
        <v>0</v>
      </c>
      <c r="E368">
        <f>'Specific Names Main'!E368</f>
        <v>0</v>
      </c>
    </row>
    <row r="369" spans="1:5" x14ac:dyDescent="0.25">
      <c r="A369">
        <f>'Specific Names Main'!A369</f>
        <v>0</v>
      </c>
      <c r="B369">
        <f>'Specific Names Main'!B369</f>
        <v>0</v>
      </c>
      <c r="C369">
        <f>'Specific Names Main'!C369</f>
        <v>0</v>
      </c>
      <c r="D369">
        <f>'Specific Names Main'!D369</f>
        <v>0</v>
      </c>
      <c r="E369">
        <f>'Specific Names Main'!E369</f>
        <v>0</v>
      </c>
    </row>
    <row r="370" spans="1:5" x14ac:dyDescent="0.25">
      <c r="A370">
        <f>'Specific Names Main'!A370</f>
        <v>0</v>
      </c>
      <c r="B370">
        <f>'Specific Names Main'!B370</f>
        <v>0</v>
      </c>
      <c r="C370">
        <f>'Specific Names Main'!C370</f>
        <v>0</v>
      </c>
      <c r="D370">
        <f>'Specific Names Main'!D370</f>
        <v>0</v>
      </c>
      <c r="E370">
        <f>'Specific Names Main'!E370</f>
        <v>0</v>
      </c>
    </row>
    <row r="371" spans="1:5" x14ac:dyDescent="0.25">
      <c r="A371">
        <f>'Specific Names Main'!A371</f>
        <v>0</v>
      </c>
      <c r="B371">
        <f>'Specific Names Main'!B371</f>
        <v>0</v>
      </c>
      <c r="C371">
        <f>'Specific Names Main'!C371</f>
        <v>0</v>
      </c>
      <c r="D371">
        <f>'Specific Names Main'!D371</f>
        <v>0</v>
      </c>
      <c r="E371">
        <f>'Specific Names Main'!E371</f>
        <v>0</v>
      </c>
    </row>
    <row r="372" spans="1:5" x14ac:dyDescent="0.25">
      <c r="A372">
        <f>'Specific Names Main'!A372</f>
        <v>0</v>
      </c>
      <c r="B372">
        <f>'Specific Names Main'!B372</f>
        <v>0</v>
      </c>
      <c r="C372">
        <f>'Specific Names Main'!C372</f>
        <v>0</v>
      </c>
      <c r="D372">
        <f>'Specific Names Main'!D372</f>
        <v>0</v>
      </c>
      <c r="E372">
        <f>'Specific Names Main'!E372</f>
        <v>0</v>
      </c>
    </row>
    <row r="373" spans="1:5" x14ac:dyDescent="0.25">
      <c r="A373">
        <f>'Specific Names Main'!A373</f>
        <v>0</v>
      </c>
      <c r="B373">
        <f>'Specific Names Main'!B373</f>
        <v>0</v>
      </c>
      <c r="C373">
        <f>'Specific Names Main'!C373</f>
        <v>0</v>
      </c>
      <c r="D373">
        <f>'Specific Names Main'!D373</f>
        <v>0</v>
      </c>
      <c r="E373">
        <f>'Specific Names Main'!E373</f>
        <v>0</v>
      </c>
    </row>
    <row r="374" spans="1:5" x14ac:dyDescent="0.25">
      <c r="A374">
        <f>'Specific Names Main'!A374</f>
        <v>0</v>
      </c>
      <c r="B374">
        <f>'Specific Names Main'!B374</f>
        <v>0</v>
      </c>
      <c r="C374">
        <f>'Specific Names Main'!C374</f>
        <v>0</v>
      </c>
      <c r="D374">
        <f>'Specific Names Main'!D374</f>
        <v>0</v>
      </c>
      <c r="E374">
        <f>'Specific Names Main'!E374</f>
        <v>0</v>
      </c>
    </row>
    <row r="375" spans="1:5" x14ac:dyDescent="0.25">
      <c r="A375">
        <f>'Specific Names Main'!A375</f>
        <v>0</v>
      </c>
      <c r="B375">
        <f>'Specific Names Main'!B375</f>
        <v>0</v>
      </c>
      <c r="C375">
        <f>'Specific Names Main'!C375</f>
        <v>0</v>
      </c>
      <c r="D375">
        <f>'Specific Names Main'!D375</f>
        <v>0</v>
      </c>
      <c r="E375">
        <f>'Specific Names Main'!E375</f>
        <v>0</v>
      </c>
    </row>
    <row r="376" spans="1:5" x14ac:dyDescent="0.25">
      <c r="A376">
        <f>'Specific Names Main'!A376</f>
        <v>0</v>
      </c>
      <c r="B376">
        <f>'Specific Names Main'!B376</f>
        <v>0</v>
      </c>
      <c r="C376">
        <f>'Specific Names Main'!C376</f>
        <v>0</v>
      </c>
      <c r="D376">
        <f>'Specific Names Main'!D376</f>
        <v>0</v>
      </c>
      <c r="E376">
        <f>'Specific Names Main'!E376</f>
        <v>0</v>
      </c>
    </row>
    <row r="377" spans="1:5" x14ac:dyDescent="0.25">
      <c r="A377">
        <f>'Specific Names Main'!A377</f>
        <v>0</v>
      </c>
      <c r="B377">
        <f>'Specific Names Main'!B377</f>
        <v>0</v>
      </c>
      <c r="C377">
        <f>'Specific Names Main'!C377</f>
        <v>0</v>
      </c>
      <c r="D377">
        <f>'Specific Names Main'!D377</f>
        <v>0</v>
      </c>
      <c r="E377">
        <f>'Specific Names Main'!E377</f>
        <v>0</v>
      </c>
    </row>
    <row r="378" spans="1:5" x14ac:dyDescent="0.25">
      <c r="A378">
        <f>'Specific Names Main'!A378</f>
        <v>0</v>
      </c>
      <c r="B378">
        <f>'Specific Names Main'!B378</f>
        <v>0</v>
      </c>
      <c r="C378">
        <f>'Specific Names Main'!C378</f>
        <v>0</v>
      </c>
      <c r="D378">
        <f>'Specific Names Main'!D378</f>
        <v>0</v>
      </c>
      <c r="E378">
        <f>'Specific Names Main'!E378</f>
        <v>0</v>
      </c>
    </row>
    <row r="379" spans="1:5" x14ac:dyDescent="0.25">
      <c r="A379">
        <f>'Specific Names Main'!A379</f>
        <v>0</v>
      </c>
      <c r="B379">
        <f>'Specific Names Main'!B379</f>
        <v>0</v>
      </c>
      <c r="C379">
        <f>'Specific Names Main'!C379</f>
        <v>0</v>
      </c>
      <c r="D379">
        <f>'Specific Names Main'!D379</f>
        <v>0</v>
      </c>
      <c r="E379">
        <f>'Specific Names Main'!E379</f>
        <v>0</v>
      </c>
    </row>
    <row r="380" spans="1:5" x14ac:dyDescent="0.25">
      <c r="A380">
        <f>'Specific Names Main'!A380</f>
        <v>0</v>
      </c>
      <c r="B380">
        <f>'Specific Names Main'!B380</f>
        <v>0</v>
      </c>
      <c r="C380">
        <f>'Specific Names Main'!C380</f>
        <v>0</v>
      </c>
      <c r="D380">
        <f>'Specific Names Main'!D380</f>
        <v>0</v>
      </c>
      <c r="E380">
        <f>'Specific Names Main'!E380</f>
        <v>0</v>
      </c>
    </row>
    <row r="381" spans="1:5" x14ac:dyDescent="0.25">
      <c r="A381">
        <f>'Specific Names Main'!A381</f>
        <v>0</v>
      </c>
      <c r="B381">
        <f>'Specific Names Main'!B381</f>
        <v>0</v>
      </c>
      <c r="C381">
        <f>'Specific Names Main'!C381</f>
        <v>0</v>
      </c>
      <c r="D381">
        <f>'Specific Names Main'!D381</f>
        <v>0</v>
      </c>
      <c r="E381">
        <f>'Specific Names Main'!E381</f>
        <v>0</v>
      </c>
    </row>
    <row r="382" spans="1:5" x14ac:dyDescent="0.25">
      <c r="A382">
        <f>'Specific Names Main'!A382</f>
        <v>0</v>
      </c>
      <c r="B382">
        <f>'Specific Names Main'!B382</f>
        <v>0</v>
      </c>
      <c r="C382">
        <f>'Specific Names Main'!C382</f>
        <v>0</v>
      </c>
      <c r="D382">
        <f>'Specific Names Main'!D382</f>
        <v>0</v>
      </c>
      <c r="E382">
        <f>'Specific Names Main'!E382</f>
        <v>0</v>
      </c>
    </row>
    <row r="383" spans="1:5" x14ac:dyDescent="0.25">
      <c r="A383">
        <f>'Specific Names Main'!A383</f>
        <v>0</v>
      </c>
      <c r="B383">
        <f>'Specific Names Main'!B383</f>
        <v>0</v>
      </c>
      <c r="C383">
        <f>'Specific Names Main'!C383</f>
        <v>0</v>
      </c>
      <c r="D383">
        <f>'Specific Names Main'!D383</f>
        <v>0</v>
      </c>
      <c r="E383">
        <f>'Specific Names Main'!E383</f>
        <v>0</v>
      </c>
    </row>
    <row r="384" spans="1:5" x14ac:dyDescent="0.25">
      <c r="A384">
        <f>'Specific Names Main'!A384</f>
        <v>0</v>
      </c>
      <c r="B384">
        <f>'Specific Names Main'!B384</f>
        <v>0</v>
      </c>
      <c r="C384">
        <f>'Specific Names Main'!C384</f>
        <v>0</v>
      </c>
      <c r="D384">
        <f>'Specific Names Main'!D384</f>
        <v>0</v>
      </c>
      <c r="E384">
        <f>'Specific Names Main'!E384</f>
        <v>0</v>
      </c>
    </row>
    <row r="385" spans="1:5" x14ac:dyDescent="0.25">
      <c r="A385">
        <f>'Specific Names Main'!A385</f>
        <v>0</v>
      </c>
      <c r="B385">
        <f>'Specific Names Main'!B385</f>
        <v>0</v>
      </c>
      <c r="C385">
        <f>'Specific Names Main'!C385</f>
        <v>0</v>
      </c>
      <c r="D385">
        <f>'Specific Names Main'!D385</f>
        <v>0</v>
      </c>
      <c r="E385">
        <f>'Specific Names Main'!E385</f>
        <v>0</v>
      </c>
    </row>
    <row r="386" spans="1:5" x14ac:dyDescent="0.25">
      <c r="A386">
        <f>'Specific Names Main'!A386</f>
        <v>0</v>
      </c>
      <c r="B386">
        <f>'Specific Names Main'!B386</f>
        <v>0</v>
      </c>
      <c r="C386">
        <f>'Specific Names Main'!C386</f>
        <v>0</v>
      </c>
      <c r="D386">
        <f>'Specific Names Main'!D386</f>
        <v>0</v>
      </c>
      <c r="E386">
        <f>'Specific Names Main'!E386</f>
        <v>0</v>
      </c>
    </row>
    <row r="387" spans="1:5" x14ac:dyDescent="0.25">
      <c r="A387">
        <f>'Specific Names Main'!A387</f>
        <v>0</v>
      </c>
      <c r="B387">
        <f>'Specific Names Main'!B387</f>
        <v>0</v>
      </c>
      <c r="C387">
        <f>'Specific Names Main'!C387</f>
        <v>0</v>
      </c>
      <c r="D387">
        <f>'Specific Names Main'!D387</f>
        <v>0</v>
      </c>
      <c r="E387">
        <f>'Specific Names Main'!E387</f>
        <v>0</v>
      </c>
    </row>
    <row r="388" spans="1:5" x14ac:dyDescent="0.25">
      <c r="A388">
        <f>'Specific Names Main'!A388</f>
        <v>0</v>
      </c>
      <c r="B388">
        <f>'Specific Names Main'!B388</f>
        <v>0</v>
      </c>
      <c r="C388">
        <f>'Specific Names Main'!C388</f>
        <v>0</v>
      </c>
      <c r="D388">
        <f>'Specific Names Main'!D388</f>
        <v>0</v>
      </c>
      <c r="E388">
        <f>'Specific Names Main'!E388</f>
        <v>0</v>
      </c>
    </row>
    <row r="389" spans="1:5" x14ac:dyDescent="0.25">
      <c r="A389">
        <f>'Specific Names Main'!A389</f>
        <v>0</v>
      </c>
      <c r="B389">
        <f>'Specific Names Main'!B389</f>
        <v>0</v>
      </c>
      <c r="C389">
        <f>'Specific Names Main'!C389</f>
        <v>0</v>
      </c>
      <c r="D389">
        <f>'Specific Names Main'!D389</f>
        <v>0</v>
      </c>
      <c r="E389">
        <f>'Specific Names Main'!E389</f>
        <v>0</v>
      </c>
    </row>
    <row r="390" spans="1:5" x14ac:dyDescent="0.25">
      <c r="A390">
        <f>'Specific Names Main'!A390</f>
        <v>0</v>
      </c>
      <c r="B390">
        <f>'Specific Names Main'!B390</f>
        <v>0</v>
      </c>
      <c r="C390">
        <f>'Specific Names Main'!C390</f>
        <v>0</v>
      </c>
      <c r="D390">
        <f>'Specific Names Main'!D390</f>
        <v>0</v>
      </c>
      <c r="E390">
        <f>'Specific Names Main'!E390</f>
        <v>0</v>
      </c>
    </row>
    <row r="391" spans="1:5" x14ac:dyDescent="0.25">
      <c r="A391">
        <f>'Specific Names Main'!A391</f>
        <v>0</v>
      </c>
      <c r="B391">
        <f>'Specific Names Main'!B391</f>
        <v>0</v>
      </c>
      <c r="C391">
        <f>'Specific Names Main'!C391</f>
        <v>0</v>
      </c>
      <c r="D391">
        <f>'Specific Names Main'!D391</f>
        <v>0</v>
      </c>
      <c r="E391">
        <f>'Specific Names Main'!E391</f>
        <v>0</v>
      </c>
    </row>
    <row r="392" spans="1:5" x14ac:dyDescent="0.25">
      <c r="A392">
        <f>'Specific Names Main'!A392</f>
        <v>0</v>
      </c>
      <c r="B392">
        <f>'Specific Names Main'!B392</f>
        <v>0</v>
      </c>
      <c r="C392">
        <f>'Specific Names Main'!C392</f>
        <v>0</v>
      </c>
      <c r="D392">
        <f>'Specific Names Main'!D392</f>
        <v>0</v>
      </c>
      <c r="E392">
        <f>'Specific Names Main'!E392</f>
        <v>0</v>
      </c>
    </row>
    <row r="393" spans="1:5" x14ac:dyDescent="0.25">
      <c r="A393">
        <f>'Specific Names Main'!A393</f>
        <v>0</v>
      </c>
      <c r="B393">
        <f>'Specific Names Main'!B393</f>
        <v>0</v>
      </c>
      <c r="C393">
        <f>'Specific Names Main'!C393</f>
        <v>0</v>
      </c>
      <c r="D393">
        <f>'Specific Names Main'!D393</f>
        <v>0</v>
      </c>
      <c r="E393">
        <f>'Specific Names Main'!E393</f>
        <v>0</v>
      </c>
    </row>
    <row r="394" spans="1:5" x14ac:dyDescent="0.25">
      <c r="A394">
        <f>'Specific Names Main'!A394</f>
        <v>0</v>
      </c>
      <c r="B394">
        <f>'Specific Names Main'!B394</f>
        <v>0</v>
      </c>
      <c r="C394">
        <f>'Specific Names Main'!C394</f>
        <v>0</v>
      </c>
      <c r="D394">
        <f>'Specific Names Main'!D394</f>
        <v>0</v>
      </c>
      <c r="E394">
        <f>'Specific Names Main'!E394</f>
        <v>0</v>
      </c>
    </row>
    <row r="395" spans="1:5" x14ac:dyDescent="0.25">
      <c r="A395">
        <f>'Specific Names Main'!A395</f>
        <v>0</v>
      </c>
      <c r="B395">
        <f>'Specific Names Main'!B395</f>
        <v>0</v>
      </c>
      <c r="C395">
        <f>'Specific Names Main'!C395</f>
        <v>0</v>
      </c>
      <c r="D395">
        <f>'Specific Names Main'!D395</f>
        <v>0</v>
      </c>
      <c r="E395">
        <f>'Specific Names Main'!E395</f>
        <v>0</v>
      </c>
    </row>
    <row r="396" spans="1:5" x14ac:dyDescent="0.25">
      <c r="A396">
        <f>'Specific Names Main'!A396</f>
        <v>0</v>
      </c>
      <c r="B396">
        <f>'Specific Names Main'!B396</f>
        <v>0</v>
      </c>
      <c r="C396">
        <f>'Specific Names Main'!C396</f>
        <v>0</v>
      </c>
      <c r="D396">
        <f>'Specific Names Main'!D396</f>
        <v>0</v>
      </c>
      <c r="E396">
        <f>'Specific Names Main'!E396</f>
        <v>0</v>
      </c>
    </row>
    <row r="397" spans="1:5" x14ac:dyDescent="0.25">
      <c r="A397">
        <f>'Specific Names Main'!A397</f>
        <v>0</v>
      </c>
      <c r="B397">
        <f>'Specific Names Main'!B397</f>
        <v>0</v>
      </c>
      <c r="C397">
        <f>'Specific Names Main'!C397</f>
        <v>0</v>
      </c>
      <c r="D397">
        <f>'Specific Names Main'!D397</f>
        <v>0</v>
      </c>
      <c r="E397">
        <f>'Specific Names Main'!E397</f>
        <v>0</v>
      </c>
    </row>
    <row r="398" spans="1:5" x14ac:dyDescent="0.25">
      <c r="A398">
        <f>'Specific Names Main'!A398</f>
        <v>0</v>
      </c>
      <c r="B398">
        <f>'Specific Names Main'!B398</f>
        <v>0</v>
      </c>
      <c r="C398">
        <f>'Specific Names Main'!C398</f>
        <v>0</v>
      </c>
      <c r="D398">
        <f>'Specific Names Main'!D398</f>
        <v>0</v>
      </c>
      <c r="E398">
        <f>'Specific Names Main'!E398</f>
        <v>0</v>
      </c>
    </row>
    <row r="399" spans="1:5" x14ac:dyDescent="0.25">
      <c r="A399">
        <f>'Specific Names Main'!A399</f>
        <v>0</v>
      </c>
      <c r="B399">
        <f>'Specific Names Main'!B399</f>
        <v>0</v>
      </c>
      <c r="C399">
        <f>'Specific Names Main'!C399</f>
        <v>0</v>
      </c>
      <c r="D399">
        <f>'Specific Names Main'!D399</f>
        <v>0</v>
      </c>
      <c r="E399">
        <f>'Specific Names Main'!E399</f>
        <v>0</v>
      </c>
    </row>
    <row r="400" spans="1:5" x14ac:dyDescent="0.25">
      <c r="A400">
        <f>'Specific Names Main'!A400</f>
        <v>0</v>
      </c>
      <c r="B400">
        <f>'Specific Names Main'!B400</f>
        <v>0</v>
      </c>
      <c r="C400">
        <f>'Specific Names Main'!C400</f>
        <v>0</v>
      </c>
      <c r="D400">
        <f>'Specific Names Main'!D400</f>
        <v>0</v>
      </c>
      <c r="E400">
        <f>'Specific Names Main'!E400</f>
        <v>0</v>
      </c>
    </row>
    <row r="401" spans="1:5" x14ac:dyDescent="0.25">
      <c r="A401">
        <f>'Specific Names Main'!A401</f>
        <v>0</v>
      </c>
      <c r="B401">
        <f>'Specific Names Main'!B401</f>
        <v>0</v>
      </c>
      <c r="C401">
        <f>'Specific Names Main'!C401</f>
        <v>0</v>
      </c>
      <c r="D401">
        <f>'Specific Names Main'!D401</f>
        <v>0</v>
      </c>
      <c r="E401">
        <f>'Specific Names Main'!E401</f>
        <v>0</v>
      </c>
    </row>
    <row r="402" spans="1:5" x14ac:dyDescent="0.25">
      <c r="A402">
        <f>'Specific Names Main'!A402</f>
        <v>0</v>
      </c>
      <c r="B402">
        <f>'Specific Names Main'!B402</f>
        <v>0</v>
      </c>
      <c r="C402">
        <f>'Specific Names Main'!C402</f>
        <v>0</v>
      </c>
      <c r="D402">
        <f>'Specific Names Main'!D402</f>
        <v>0</v>
      </c>
      <c r="E402">
        <f>'Specific Names Main'!E402</f>
        <v>0</v>
      </c>
    </row>
    <row r="403" spans="1:5" x14ac:dyDescent="0.25">
      <c r="A403">
        <f>'Specific Names Main'!A403</f>
        <v>0</v>
      </c>
      <c r="B403">
        <f>'Specific Names Main'!B403</f>
        <v>0</v>
      </c>
      <c r="C403">
        <f>'Specific Names Main'!C403</f>
        <v>0</v>
      </c>
      <c r="D403">
        <f>'Specific Names Main'!D403</f>
        <v>0</v>
      </c>
      <c r="E403">
        <f>'Specific Names Main'!E403</f>
        <v>0</v>
      </c>
    </row>
    <row r="404" spans="1:5" x14ac:dyDescent="0.25">
      <c r="A404">
        <f>'Specific Names Main'!A404</f>
        <v>0</v>
      </c>
      <c r="B404">
        <f>'Specific Names Main'!B404</f>
        <v>0</v>
      </c>
      <c r="C404">
        <f>'Specific Names Main'!C404</f>
        <v>0</v>
      </c>
      <c r="D404">
        <f>'Specific Names Main'!D404</f>
        <v>0</v>
      </c>
      <c r="E404">
        <f>'Specific Names Main'!E404</f>
        <v>0</v>
      </c>
    </row>
    <row r="405" spans="1:5" x14ac:dyDescent="0.25">
      <c r="A405">
        <f>'Specific Names Main'!A405</f>
        <v>0</v>
      </c>
      <c r="B405">
        <f>'Specific Names Main'!B405</f>
        <v>0</v>
      </c>
      <c r="C405">
        <f>'Specific Names Main'!C405</f>
        <v>0</v>
      </c>
      <c r="D405">
        <f>'Specific Names Main'!D405</f>
        <v>0</v>
      </c>
      <c r="E405">
        <f>'Specific Names Main'!E405</f>
        <v>0</v>
      </c>
    </row>
    <row r="406" spans="1:5" x14ac:dyDescent="0.25">
      <c r="A406">
        <f>'Specific Names Main'!A406</f>
        <v>0</v>
      </c>
      <c r="B406">
        <f>'Specific Names Main'!B406</f>
        <v>0</v>
      </c>
      <c r="C406">
        <f>'Specific Names Main'!C406</f>
        <v>0</v>
      </c>
      <c r="D406">
        <f>'Specific Names Main'!D406</f>
        <v>0</v>
      </c>
      <c r="E406">
        <f>'Specific Names Main'!E406</f>
        <v>0</v>
      </c>
    </row>
    <row r="407" spans="1:5" x14ac:dyDescent="0.25">
      <c r="A407">
        <f>'Specific Names Main'!A407</f>
        <v>0</v>
      </c>
      <c r="B407">
        <f>'Specific Names Main'!B407</f>
        <v>0</v>
      </c>
      <c r="C407">
        <f>'Specific Names Main'!C407</f>
        <v>0</v>
      </c>
      <c r="D407">
        <f>'Specific Names Main'!D407</f>
        <v>0</v>
      </c>
      <c r="E407">
        <f>'Specific Names Main'!E407</f>
        <v>0</v>
      </c>
    </row>
    <row r="408" spans="1:5" x14ac:dyDescent="0.25">
      <c r="A408">
        <f>'Specific Names Main'!A408</f>
        <v>0</v>
      </c>
      <c r="B408">
        <f>'Specific Names Main'!B408</f>
        <v>0</v>
      </c>
      <c r="C408">
        <f>'Specific Names Main'!C408</f>
        <v>0</v>
      </c>
      <c r="D408">
        <f>'Specific Names Main'!D408</f>
        <v>0</v>
      </c>
      <c r="E408">
        <f>'Specific Names Main'!E408</f>
        <v>0</v>
      </c>
    </row>
    <row r="409" spans="1:5" x14ac:dyDescent="0.25">
      <c r="A409">
        <f>'Specific Names Main'!A409</f>
        <v>0</v>
      </c>
      <c r="B409">
        <f>'Specific Names Main'!B409</f>
        <v>0</v>
      </c>
      <c r="C409">
        <f>'Specific Names Main'!C409</f>
        <v>0</v>
      </c>
      <c r="D409">
        <f>'Specific Names Main'!D409</f>
        <v>0</v>
      </c>
      <c r="E409">
        <f>'Specific Names Main'!E409</f>
        <v>0</v>
      </c>
    </row>
    <row r="410" spans="1:5" x14ac:dyDescent="0.25">
      <c r="A410">
        <f>'Specific Names Main'!A410</f>
        <v>0</v>
      </c>
      <c r="B410">
        <f>'Specific Names Main'!B410</f>
        <v>0</v>
      </c>
      <c r="C410">
        <f>'Specific Names Main'!C410</f>
        <v>0</v>
      </c>
      <c r="D410">
        <f>'Specific Names Main'!D410</f>
        <v>0</v>
      </c>
      <c r="E410">
        <f>'Specific Names Main'!E410</f>
        <v>0</v>
      </c>
    </row>
    <row r="411" spans="1:5" x14ac:dyDescent="0.25">
      <c r="A411">
        <f>'Specific Names Main'!A411</f>
        <v>0</v>
      </c>
      <c r="B411">
        <f>'Specific Names Main'!B411</f>
        <v>0</v>
      </c>
      <c r="C411">
        <f>'Specific Names Main'!C411</f>
        <v>0</v>
      </c>
      <c r="D411">
        <f>'Specific Names Main'!D411</f>
        <v>0</v>
      </c>
      <c r="E411">
        <f>'Specific Names Main'!E411</f>
        <v>0</v>
      </c>
    </row>
    <row r="412" spans="1:5" x14ac:dyDescent="0.25">
      <c r="A412">
        <f>'Specific Names Main'!A412</f>
        <v>0</v>
      </c>
      <c r="B412">
        <f>'Specific Names Main'!B412</f>
        <v>0</v>
      </c>
      <c r="C412">
        <f>'Specific Names Main'!C412</f>
        <v>0</v>
      </c>
      <c r="D412">
        <f>'Specific Names Main'!D412</f>
        <v>0</v>
      </c>
      <c r="E412">
        <f>'Specific Names Main'!E412</f>
        <v>0</v>
      </c>
    </row>
    <row r="413" spans="1:5" x14ac:dyDescent="0.25">
      <c r="A413">
        <f>'Specific Names Main'!A413</f>
        <v>0</v>
      </c>
      <c r="B413">
        <f>'Specific Names Main'!B413</f>
        <v>0</v>
      </c>
      <c r="C413">
        <f>'Specific Names Main'!C413</f>
        <v>0</v>
      </c>
      <c r="D413">
        <f>'Specific Names Main'!D413</f>
        <v>0</v>
      </c>
      <c r="E413">
        <f>'Specific Names Main'!E413</f>
        <v>0</v>
      </c>
    </row>
    <row r="414" spans="1:5" x14ac:dyDescent="0.25">
      <c r="A414">
        <f>'Specific Names Main'!A414</f>
        <v>0</v>
      </c>
      <c r="B414">
        <f>'Specific Names Main'!B414</f>
        <v>0</v>
      </c>
      <c r="C414">
        <f>'Specific Names Main'!C414</f>
        <v>0</v>
      </c>
      <c r="D414">
        <f>'Specific Names Main'!D414</f>
        <v>0</v>
      </c>
      <c r="E414">
        <f>'Specific Names Main'!E414</f>
        <v>0</v>
      </c>
    </row>
    <row r="415" spans="1:5" x14ac:dyDescent="0.25">
      <c r="A415">
        <f>'Specific Names Main'!A415</f>
        <v>0</v>
      </c>
      <c r="B415">
        <f>'Specific Names Main'!B415</f>
        <v>0</v>
      </c>
      <c r="C415">
        <f>'Specific Names Main'!C415</f>
        <v>0</v>
      </c>
      <c r="D415">
        <f>'Specific Names Main'!D415</f>
        <v>0</v>
      </c>
      <c r="E415">
        <f>'Specific Names Main'!E415</f>
        <v>0</v>
      </c>
    </row>
    <row r="416" spans="1:5" x14ac:dyDescent="0.25">
      <c r="A416">
        <f>'Specific Names Main'!A416</f>
        <v>0</v>
      </c>
      <c r="B416">
        <f>'Specific Names Main'!B416</f>
        <v>0</v>
      </c>
      <c r="C416">
        <f>'Specific Names Main'!C416</f>
        <v>0</v>
      </c>
      <c r="D416">
        <f>'Specific Names Main'!D416</f>
        <v>0</v>
      </c>
      <c r="E416">
        <f>'Specific Names Main'!E416</f>
        <v>0</v>
      </c>
    </row>
    <row r="417" spans="1:5" x14ac:dyDescent="0.25">
      <c r="A417">
        <f>'Specific Names Main'!A417</f>
        <v>0</v>
      </c>
      <c r="B417">
        <f>'Specific Names Main'!B417</f>
        <v>0</v>
      </c>
      <c r="C417">
        <f>'Specific Names Main'!C417</f>
        <v>0</v>
      </c>
      <c r="D417">
        <f>'Specific Names Main'!D417</f>
        <v>0</v>
      </c>
      <c r="E417">
        <f>'Specific Names Main'!E417</f>
        <v>0</v>
      </c>
    </row>
    <row r="418" spans="1:5" x14ac:dyDescent="0.25">
      <c r="A418">
        <f>'Specific Names Main'!A418</f>
        <v>0</v>
      </c>
      <c r="B418">
        <f>'Specific Names Main'!B418</f>
        <v>0</v>
      </c>
      <c r="C418">
        <f>'Specific Names Main'!C418</f>
        <v>0</v>
      </c>
      <c r="D418">
        <f>'Specific Names Main'!D418</f>
        <v>0</v>
      </c>
      <c r="E418">
        <f>'Specific Names Main'!E418</f>
        <v>0</v>
      </c>
    </row>
    <row r="419" spans="1:5" x14ac:dyDescent="0.25">
      <c r="A419">
        <f>'Specific Names Main'!A419</f>
        <v>0</v>
      </c>
      <c r="B419">
        <f>'Specific Names Main'!B419</f>
        <v>0</v>
      </c>
      <c r="C419">
        <f>'Specific Names Main'!C419</f>
        <v>0</v>
      </c>
      <c r="D419">
        <f>'Specific Names Main'!D419</f>
        <v>0</v>
      </c>
      <c r="E419">
        <f>'Specific Names Main'!E419</f>
        <v>0</v>
      </c>
    </row>
    <row r="420" spans="1:5" x14ac:dyDescent="0.25">
      <c r="A420">
        <f>'Specific Names Main'!A420</f>
        <v>0</v>
      </c>
      <c r="B420">
        <f>'Specific Names Main'!B420</f>
        <v>0</v>
      </c>
      <c r="C420">
        <f>'Specific Names Main'!C420</f>
        <v>0</v>
      </c>
      <c r="D420">
        <f>'Specific Names Main'!D420</f>
        <v>0</v>
      </c>
      <c r="E420">
        <f>'Specific Names Main'!E420</f>
        <v>0</v>
      </c>
    </row>
    <row r="421" spans="1:5" x14ac:dyDescent="0.25">
      <c r="A421">
        <f>'Specific Names Main'!A421</f>
        <v>0</v>
      </c>
      <c r="B421">
        <f>'Specific Names Main'!B421</f>
        <v>0</v>
      </c>
      <c r="C421">
        <f>'Specific Names Main'!C421</f>
        <v>0</v>
      </c>
      <c r="D421">
        <f>'Specific Names Main'!D421</f>
        <v>0</v>
      </c>
      <c r="E421">
        <f>'Specific Names Main'!E421</f>
        <v>0</v>
      </c>
    </row>
    <row r="422" spans="1:5" x14ac:dyDescent="0.25">
      <c r="A422">
        <f>'Specific Names Main'!A422</f>
        <v>0</v>
      </c>
      <c r="B422">
        <f>'Specific Names Main'!B422</f>
        <v>0</v>
      </c>
      <c r="C422">
        <f>'Specific Names Main'!C422</f>
        <v>0</v>
      </c>
      <c r="D422">
        <f>'Specific Names Main'!D422</f>
        <v>0</v>
      </c>
      <c r="E422">
        <f>'Specific Names Main'!E422</f>
        <v>0</v>
      </c>
    </row>
    <row r="423" spans="1:5" x14ac:dyDescent="0.25">
      <c r="A423">
        <f>'Specific Names Main'!A423</f>
        <v>0</v>
      </c>
      <c r="B423">
        <f>'Specific Names Main'!B423</f>
        <v>0</v>
      </c>
      <c r="C423">
        <f>'Specific Names Main'!C423</f>
        <v>0</v>
      </c>
      <c r="D423">
        <f>'Specific Names Main'!D423</f>
        <v>0</v>
      </c>
      <c r="E423">
        <f>'Specific Names Main'!E423</f>
        <v>0</v>
      </c>
    </row>
    <row r="424" spans="1:5" x14ac:dyDescent="0.25">
      <c r="A424">
        <f>'Specific Names Main'!A424</f>
        <v>0</v>
      </c>
      <c r="B424">
        <f>'Specific Names Main'!B424</f>
        <v>0</v>
      </c>
      <c r="C424">
        <f>'Specific Names Main'!C424</f>
        <v>0</v>
      </c>
      <c r="D424">
        <f>'Specific Names Main'!D424</f>
        <v>0</v>
      </c>
      <c r="E424">
        <f>'Specific Names Main'!E424</f>
        <v>0</v>
      </c>
    </row>
    <row r="425" spans="1:5" x14ac:dyDescent="0.25">
      <c r="A425">
        <f>'Specific Names Main'!A425</f>
        <v>0</v>
      </c>
      <c r="B425">
        <f>'Specific Names Main'!B425</f>
        <v>0</v>
      </c>
      <c r="C425">
        <f>'Specific Names Main'!C425</f>
        <v>0</v>
      </c>
      <c r="D425">
        <f>'Specific Names Main'!D425</f>
        <v>0</v>
      </c>
      <c r="E425">
        <f>'Specific Names Main'!E425</f>
        <v>0</v>
      </c>
    </row>
    <row r="426" spans="1:5" x14ac:dyDescent="0.25">
      <c r="A426">
        <f>'Specific Names Main'!A426</f>
        <v>0</v>
      </c>
      <c r="B426">
        <f>'Specific Names Main'!B426</f>
        <v>0</v>
      </c>
      <c r="C426">
        <f>'Specific Names Main'!C426</f>
        <v>0</v>
      </c>
      <c r="D426">
        <f>'Specific Names Main'!D426</f>
        <v>0</v>
      </c>
      <c r="E426">
        <f>'Specific Names Main'!E426</f>
        <v>0</v>
      </c>
    </row>
    <row r="427" spans="1:5" x14ac:dyDescent="0.25">
      <c r="A427">
        <f>'Specific Names Main'!A427</f>
        <v>0</v>
      </c>
      <c r="B427">
        <f>'Specific Names Main'!B427</f>
        <v>0</v>
      </c>
      <c r="C427">
        <f>'Specific Names Main'!C427</f>
        <v>0</v>
      </c>
      <c r="D427">
        <f>'Specific Names Main'!D427</f>
        <v>0</v>
      </c>
      <c r="E427">
        <f>'Specific Names Main'!E427</f>
        <v>0</v>
      </c>
    </row>
    <row r="428" spans="1:5" x14ac:dyDescent="0.25">
      <c r="A428">
        <f>'Specific Names Main'!A428</f>
        <v>0</v>
      </c>
      <c r="B428">
        <f>'Specific Names Main'!B428</f>
        <v>0</v>
      </c>
      <c r="C428">
        <f>'Specific Names Main'!C428</f>
        <v>0</v>
      </c>
      <c r="D428">
        <f>'Specific Names Main'!D428</f>
        <v>0</v>
      </c>
      <c r="E428">
        <f>'Specific Names Main'!E428</f>
        <v>0</v>
      </c>
    </row>
    <row r="429" spans="1:5" x14ac:dyDescent="0.25">
      <c r="A429">
        <f>'Specific Names Main'!A429</f>
        <v>0</v>
      </c>
      <c r="B429">
        <f>'Specific Names Main'!B429</f>
        <v>0</v>
      </c>
      <c r="C429">
        <f>'Specific Names Main'!C429</f>
        <v>0</v>
      </c>
      <c r="D429">
        <f>'Specific Names Main'!D429</f>
        <v>0</v>
      </c>
      <c r="E429">
        <f>'Specific Names Main'!E429</f>
        <v>0</v>
      </c>
    </row>
    <row r="430" spans="1:5" x14ac:dyDescent="0.25">
      <c r="A430">
        <f>'Specific Names Main'!A430</f>
        <v>0</v>
      </c>
      <c r="B430">
        <f>'Specific Names Main'!B430</f>
        <v>0</v>
      </c>
      <c r="C430">
        <f>'Specific Names Main'!C430</f>
        <v>0</v>
      </c>
      <c r="D430">
        <f>'Specific Names Main'!D430</f>
        <v>0</v>
      </c>
      <c r="E430">
        <f>'Specific Names Main'!E430</f>
        <v>0</v>
      </c>
    </row>
    <row r="431" spans="1:5" x14ac:dyDescent="0.25">
      <c r="A431">
        <f>'Specific Names Main'!A431</f>
        <v>0</v>
      </c>
      <c r="B431">
        <f>'Specific Names Main'!B431</f>
        <v>0</v>
      </c>
      <c r="C431">
        <f>'Specific Names Main'!C431</f>
        <v>0</v>
      </c>
      <c r="D431">
        <f>'Specific Names Main'!D431</f>
        <v>0</v>
      </c>
      <c r="E431">
        <f>'Specific Names Main'!E431</f>
        <v>0</v>
      </c>
    </row>
    <row r="432" spans="1:5" x14ac:dyDescent="0.25">
      <c r="A432">
        <f>'Specific Names Main'!A432</f>
        <v>0</v>
      </c>
      <c r="B432">
        <f>'Specific Names Main'!B432</f>
        <v>0</v>
      </c>
      <c r="C432">
        <f>'Specific Names Main'!C432</f>
        <v>0</v>
      </c>
      <c r="D432">
        <f>'Specific Names Main'!D432</f>
        <v>0</v>
      </c>
      <c r="E432">
        <f>'Specific Names Main'!E432</f>
        <v>0</v>
      </c>
    </row>
    <row r="433" spans="1:5" x14ac:dyDescent="0.25">
      <c r="A433">
        <f>'Specific Names Main'!A433</f>
        <v>0</v>
      </c>
      <c r="B433">
        <f>'Specific Names Main'!B433</f>
        <v>0</v>
      </c>
      <c r="C433">
        <f>'Specific Names Main'!C433</f>
        <v>0</v>
      </c>
      <c r="D433">
        <f>'Specific Names Main'!D433</f>
        <v>0</v>
      </c>
      <c r="E433">
        <f>'Specific Names Main'!E433</f>
        <v>0</v>
      </c>
    </row>
    <row r="434" spans="1:5" x14ac:dyDescent="0.25">
      <c r="A434">
        <f>'Specific Names Main'!A434</f>
        <v>0</v>
      </c>
      <c r="B434">
        <f>'Specific Names Main'!B434</f>
        <v>0</v>
      </c>
      <c r="C434">
        <f>'Specific Names Main'!C434</f>
        <v>0</v>
      </c>
      <c r="D434">
        <f>'Specific Names Main'!D434</f>
        <v>0</v>
      </c>
      <c r="E434">
        <f>'Specific Names Main'!E434</f>
        <v>0</v>
      </c>
    </row>
    <row r="435" spans="1:5" x14ac:dyDescent="0.25">
      <c r="A435">
        <f>'Specific Names Main'!A435</f>
        <v>0</v>
      </c>
      <c r="B435">
        <f>'Specific Names Main'!B435</f>
        <v>0</v>
      </c>
      <c r="C435">
        <f>'Specific Names Main'!C435</f>
        <v>0</v>
      </c>
      <c r="D435">
        <f>'Specific Names Main'!D435</f>
        <v>0</v>
      </c>
      <c r="E435">
        <f>'Specific Names Main'!E435</f>
        <v>0</v>
      </c>
    </row>
    <row r="436" spans="1:5" x14ac:dyDescent="0.25">
      <c r="A436">
        <f>'Specific Names Main'!A436</f>
        <v>0</v>
      </c>
      <c r="B436">
        <f>'Specific Names Main'!B436</f>
        <v>0</v>
      </c>
      <c r="C436">
        <f>'Specific Names Main'!C436</f>
        <v>0</v>
      </c>
      <c r="D436">
        <f>'Specific Names Main'!D436</f>
        <v>0</v>
      </c>
      <c r="E436">
        <f>'Specific Names Main'!E436</f>
        <v>0</v>
      </c>
    </row>
    <row r="437" spans="1:5" x14ac:dyDescent="0.25">
      <c r="A437">
        <f>'Specific Names Main'!A437</f>
        <v>0</v>
      </c>
      <c r="B437">
        <f>'Specific Names Main'!B437</f>
        <v>0</v>
      </c>
      <c r="C437">
        <f>'Specific Names Main'!C437</f>
        <v>0</v>
      </c>
      <c r="D437">
        <f>'Specific Names Main'!D437</f>
        <v>0</v>
      </c>
      <c r="E437">
        <f>'Specific Names Main'!E437</f>
        <v>0</v>
      </c>
    </row>
    <row r="438" spans="1:5" x14ac:dyDescent="0.25">
      <c r="A438">
        <f>'Specific Names Main'!A438</f>
        <v>0</v>
      </c>
      <c r="B438">
        <f>'Specific Names Main'!B438</f>
        <v>0</v>
      </c>
      <c r="C438">
        <f>'Specific Names Main'!C438</f>
        <v>0</v>
      </c>
      <c r="D438">
        <f>'Specific Names Main'!D438</f>
        <v>0</v>
      </c>
      <c r="E438">
        <f>'Specific Names Main'!E438</f>
        <v>0</v>
      </c>
    </row>
    <row r="439" spans="1:5" x14ac:dyDescent="0.25">
      <c r="A439">
        <f>'Specific Names Main'!A439</f>
        <v>0</v>
      </c>
      <c r="B439">
        <f>'Specific Names Main'!B439</f>
        <v>0</v>
      </c>
      <c r="C439">
        <f>'Specific Names Main'!C439</f>
        <v>0</v>
      </c>
      <c r="D439">
        <f>'Specific Names Main'!D439</f>
        <v>0</v>
      </c>
      <c r="E439">
        <f>'Specific Names Main'!E439</f>
        <v>0</v>
      </c>
    </row>
    <row r="440" spans="1:5" x14ac:dyDescent="0.25">
      <c r="A440">
        <f>'Specific Names Main'!A440</f>
        <v>0</v>
      </c>
      <c r="B440">
        <f>'Specific Names Main'!B440</f>
        <v>0</v>
      </c>
      <c r="C440">
        <f>'Specific Names Main'!C440</f>
        <v>0</v>
      </c>
      <c r="D440">
        <f>'Specific Names Main'!D440</f>
        <v>0</v>
      </c>
      <c r="E440">
        <f>'Specific Names Main'!E440</f>
        <v>0</v>
      </c>
    </row>
    <row r="441" spans="1:5" x14ac:dyDescent="0.25">
      <c r="A441">
        <f>'Specific Names Main'!A441</f>
        <v>0</v>
      </c>
      <c r="B441">
        <f>'Specific Names Main'!B441</f>
        <v>0</v>
      </c>
      <c r="C441">
        <f>'Specific Names Main'!C441</f>
        <v>0</v>
      </c>
      <c r="D441">
        <f>'Specific Names Main'!D441</f>
        <v>0</v>
      </c>
      <c r="E441">
        <f>'Specific Names Main'!E441</f>
        <v>0</v>
      </c>
    </row>
    <row r="442" spans="1:5" x14ac:dyDescent="0.25">
      <c r="A442">
        <f>'Specific Names Main'!A442</f>
        <v>0</v>
      </c>
      <c r="B442">
        <f>'Specific Names Main'!B442</f>
        <v>0</v>
      </c>
      <c r="C442">
        <f>'Specific Names Main'!C442</f>
        <v>0</v>
      </c>
      <c r="D442">
        <f>'Specific Names Main'!D442</f>
        <v>0</v>
      </c>
      <c r="E442">
        <f>'Specific Names Main'!E442</f>
        <v>0</v>
      </c>
    </row>
    <row r="443" spans="1:5" x14ac:dyDescent="0.25">
      <c r="A443">
        <f>'Specific Names Main'!A443</f>
        <v>0</v>
      </c>
      <c r="B443">
        <f>'Specific Names Main'!B443</f>
        <v>0</v>
      </c>
      <c r="C443">
        <f>'Specific Names Main'!C443</f>
        <v>0</v>
      </c>
      <c r="D443">
        <f>'Specific Names Main'!D443</f>
        <v>0</v>
      </c>
      <c r="E443">
        <f>'Specific Names Main'!E443</f>
        <v>0</v>
      </c>
    </row>
    <row r="444" spans="1:5" x14ac:dyDescent="0.25">
      <c r="A444">
        <f>'Specific Names Main'!A444</f>
        <v>0</v>
      </c>
      <c r="B444">
        <f>'Specific Names Main'!B444</f>
        <v>0</v>
      </c>
      <c r="C444">
        <f>'Specific Names Main'!C444</f>
        <v>0</v>
      </c>
      <c r="D444">
        <f>'Specific Names Main'!D444</f>
        <v>0</v>
      </c>
      <c r="E444">
        <f>'Specific Names Main'!E444</f>
        <v>0</v>
      </c>
    </row>
    <row r="445" spans="1:5" x14ac:dyDescent="0.25">
      <c r="A445">
        <f>'Specific Names Main'!A445</f>
        <v>0</v>
      </c>
      <c r="B445">
        <f>'Specific Names Main'!B445</f>
        <v>0</v>
      </c>
      <c r="C445">
        <f>'Specific Names Main'!C445</f>
        <v>0</v>
      </c>
      <c r="D445">
        <f>'Specific Names Main'!D445</f>
        <v>0</v>
      </c>
      <c r="E445">
        <f>'Specific Names Main'!E445</f>
        <v>0</v>
      </c>
    </row>
    <row r="446" spans="1:5" x14ac:dyDescent="0.25">
      <c r="A446">
        <f>'Specific Names Main'!A446</f>
        <v>0</v>
      </c>
      <c r="B446">
        <f>'Specific Names Main'!B446</f>
        <v>0</v>
      </c>
      <c r="C446">
        <f>'Specific Names Main'!C446</f>
        <v>0</v>
      </c>
      <c r="D446">
        <f>'Specific Names Main'!D446</f>
        <v>0</v>
      </c>
      <c r="E446">
        <f>'Specific Names Main'!E446</f>
        <v>0</v>
      </c>
    </row>
    <row r="447" spans="1:5" x14ac:dyDescent="0.25">
      <c r="A447">
        <f>'Specific Names Main'!A447</f>
        <v>0</v>
      </c>
      <c r="B447">
        <f>'Specific Names Main'!B447</f>
        <v>0</v>
      </c>
      <c r="C447">
        <f>'Specific Names Main'!C447</f>
        <v>0</v>
      </c>
      <c r="D447">
        <f>'Specific Names Main'!D447</f>
        <v>0</v>
      </c>
      <c r="E447">
        <f>'Specific Names Main'!E447</f>
        <v>0</v>
      </c>
    </row>
    <row r="448" spans="1:5" x14ac:dyDescent="0.25">
      <c r="A448">
        <f>'Specific Names Main'!A448</f>
        <v>0</v>
      </c>
      <c r="B448">
        <f>'Specific Names Main'!B448</f>
        <v>0</v>
      </c>
      <c r="C448">
        <f>'Specific Names Main'!C448</f>
        <v>0</v>
      </c>
      <c r="D448">
        <f>'Specific Names Main'!D448</f>
        <v>0</v>
      </c>
      <c r="E448">
        <f>'Specific Names Main'!E448</f>
        <v>0</v>
      </c>
    </row>
    <row r="449" spans="1:5" x14ac:dyDescent="0.25">
      <c r="A449">
        <f>'Specific Names Main'!A449</f>
        <v>0</v>
      </c>
      <c r="B449">
        <f>'Specific Names Main'!B449</f>
        <v>0</v>
      </c>
      <c r="C449">
        <f>'Specific Names Main'!C449</f>
        <v>0</v>
      </c>
      <c r="D449">
        <f>'Specific Names Main'!D449</f>
        <v>0</v>
      </c>
      <c r="E449">
        <f>'Specific Names Main'!E449</f>
        <v>0</v>
      </c>
    </row>
    <row r="450" spans="1:5" x14ac:dyDescent="0.25">
      <c r="A450">
        <f>'Specific Names Main'!A450</f>
        <v>0</v>
      </c>
      <c r="B450">
        <f>'Specific Names Main'!B450</f>
        <v>0</v>
      </c>
      <c r="C450">
        <f>'Specific Names Main'!C450</f>
        <v>0</v>
      </c>
      <c r="D450">
        <f>'Specific Names Main'!D450</f>
        <v>0</v>
      </c>
      <c r="E450">
        <f>'Specific Names Main'!E450</f>
        <v>0</v>
      </c>
    </row>
    <row r="451" spans="1:5" x14ac:dyDescent="0.25">
      <c r="A451">
        <f>'Specific Names Main'!A451</f>
        <v>0</v>
      </c>
      <c r="B451">
        <f>'Specific Names Main'!B451</f>
        <v>0</v>
      </c>
      <c r="C451">
        <f>'Specific Names Main'!C451</f>
        <v>0</v>
      </c>
      <c r="D451">
        <f>'Specific Names Main'!D451</f>
        <v>0</v>
      </c>
      <c r="E451">
        <f>'Specific Names Main'!E451</f>
        <v>0</v>
      </c>
    </row>
    <row r="452" spans="1:5" x14ac:dyDescent="0.25">
      <c r="A452">
        <f>'Specific Names Main'!A452</f>
        <v>0</v>
      </c>
      <c r="B452">
        <f>'Specific Names Main'!B452</f>
        <v>0</v>
      </c>
      <c r="C452">
        <f>'Specific Names Main'!C452</f>
        <v>0</v>
      </c>
      <c r="D452">
        <f>'Specific Names Main'!D452</f>
        <v>0</v>
      </c>
      <c r="E452">
        <f>'Specific Names Main'!E452</f>
        <v>0</v>
      </c>
    </row>
    <row r="453" spans="1:5" x14ac:dyDescent="0.25">
      <c r="A453">
        <f>'Specific Names Main'!A453</f>
        <v>0</v>
      </c>
      <c r="B453">
        <f>'Specific Names Main'!B453</f>
        <v>0</v>
      </c>
      <c r="C453">
        <f>'Specific Names Main'!C453</f>
        <v>0</v>
      </c>
      <c r="D453">
        <f>'Specific Names Main'!D453</f>
        <v>0</v>
      </c>
      <c r="E453">
        <f>'Specific Names Main'!E453</f>
        <v>0</v>
      </c>
    </row>
    <row r="454" spans="1:5" x14ac:dyDescent="0.25">
      <c r="A454">
        <f>'Specific Names Main'!A454</f>
        <v>0</v>
      </c>
      <c r="B454">
        <f>'Specific Names Main'!B454</f>
        <v>0</v>
      </c>
      <c r="C454">
        <f>'Specific Names Main'!C454</f>
        <v>0</v>
      </c>
      <c r="D454">
        <f>'Specific Names Main'!D454</f>
        <v>0</v>
      </c>
      <c r="E454">
        <f>'Specific Names Main'!E454</f>
        <v>0</v>
      </c>
    </row>
    <row r="455" spans="1:5" x14ac:dyDescent="0.25">
      <c r="A455">
        <f>'Specific Names Main'!A455</f>
        <v>0</v>
      </c>
      <c r="B455">
        <f>'Specific Names Main'!B455</f>
        <v>0</v>
      </c>
      <c r="C455">
        <f>'Specific Names Main'!C455</f>
        <v>0</v>
      </c>
      <c r="D455">
        <f>'Specific Names Main'!D455</f>
        <v>0</v>
      </c>
      <c r="E455">
        <f>'Specific Names Main'!E455</f>
        <v>0</v>
      </c>
    </row>
    <row r="456" spans="1:5" x14ac:dyDescent="0.25">
      <c r="A456">
        <f>'Specific Names Main'!A456</f>
        <v>0</v>
      </c>
      <c r="B456">
        <f>'Specific Names Main'!B456</f>
        <v>0</v>
      </c>
      <c r="C456">
        <f>'Specific Names Main'!C456</f>
        <v>0</v>
      </c>
      <c r="D456">
        <f>'Specific Names Main'!D456</f>
        <v>0</v>
      </c>
      <c r="E456">
        <f>'Specific Names Main'!E456</f>
        <v>0</v>
      </c>
    </row>
    <row r="457" spans="1:5" x14ac:dyDescent="0.25">
      <c r="A457">
        <f>'Specific Names Main'!A457</f>
        <v>0</v>
      </c>
      <c r="B457">
        <f>'Specific Names Main'!B457</f>
        <v>0</v>
      </c>
      <c r="C457">
        <f>'Specific Names Main'!C457</f>
        <v>0</v>
      </c>
      <c r="D457">
        <f>'Specific Names Main'!D457</f>
        <v>0</v>
      </c>
      <c r="E457">
        <f>'Specific Names Main'!E457</f>
        <v>0</v>
      </c>
    </row>
    <row r="458" spans="1:5" x14ac:dyDescent="0.25">
      <c r="A458">
        <f>'Specific Names Main'!A458</f>
        <v>0</v>
      </c>
      <c r="B458">
        <f>'Specific Names Main'!B458</f>
        <v>0</v>
      </c>
      <c r="C458">
        <f>'Specific Names Main'!C458</f>
        <v>0</v>
      </c>
      <c r="D458">
        <f>'Specific Names Main'!D458</f>
        <v>0</v>
      </c>
      <c r="E458">
        <f>'Specific Names Main'!E458</f>
        <v>0</v>
      </c>
    </row>
    <row r="459" spans="1:5" x14ac:dyDescent="0.25">
      <c r="A459">
        <f>'Specific Names Main'!A459</f>
        <v>0</v>
      </c>
      <c r="B459">
        <f>'Specific Names Main'!B459</f>
        <v>0</v>
      </c>
      <c r="C459">
        <f>'Specific Names Main'!C459</f>
        <v>0</v>
      </c>
      <c r="D459">
        <f>'Specific Names Main'!D459</f>
        <v>0</v>
      </c>
      <c r="E459">
        <f>'Specific Names Main'!E459</f>
        <v>0</v>
      </c>
    </row>
    <row r="460" spans="1:5" x14ac:dyDescent="0.25">
      <c r="A460">
        <f>'Specific Names Main'!A460</f>
        <v>0</v>
      </c>
      <c r="B460">
        <f>'Specific Names Main'!B460</f>
        <v>0</v>
      </c>
      <c r="C460">
        <f>'Specific Names Main'!C460</f>
        <v>0</v>
      </c>
      <c r="D460">
        <f>'Specific Names Main'!D460</f>
        <v>0</v>
      </c>
      <c r="E460">
        <f>'Specific Names Main'!E460</f>
        <v>0</v>
      </c>
    </row>
    <row r="461" spans="1:5" x14ac:dyDescent="0.25">
      <c r="A461">
        <f>'Specific Names Main'!A461</f>
        <v>0</v>
      </c>
      <c r="B461">
        <f>'Specific Names Main'!B461</f>
        <v>0</v>
      </c>
      <c r="C461">
        <f>'Specific Names Main'!C461</f>
        <v>0</v>
      </c>
      <c r="D461">
        <f>'Specific Names Main'!D461</f>
        <v>0</v>
      </c>
      <c r="E461">
        <f>'Specific Names Main'!E461</f>
        <v>0</v>
      </c>
    </row>
    <row r="462" spans="1:5" x14ac:dyDescent="0.25">
      <c r="A462">
        <f>'Specific Names Main'!A462</f>
        <v>0</v>
      </c>
      <c r="B462">
        <f>'Specific Names Main'!B462</f>
        <v>0</v>
      </c>
      <c r="C462">
        <f>'Specific Names Main'!C462</f>
        <v>0</v>
      </c>
      <c r="D462">
        <f>'Specific Names Main'!D462</f>
        <v>0</v>
      </c>
      <c r="E462">
        <f>'Specific Names Main'!E462</f>
        <v>0</v>
      </c>
    </row>
    <row r="463" spans="1:5" x14ac:dyDescent="0.25">
      <c r="A463">
        <f>'Specific Names Main'!A463</f>
        <v>0</v>
      </c>
      <c r="B463">
        <f>'Specific Names Main'!B463</f>
        <v>0</v>
      </c>
      <c r="C463">
        <f>'Specific Names Main'!C463</f>
        <v>0</v>
      </c>
      <c r="D463">
        <f>'Specific Names Main'!D463</f>
        <v>0</v>
      </c>
      <c r="E463">
        <f>'Specific Names Main'!E463</f>
        <v>0</v>
      </c>
    </row>
    <row r="464" spans="1:5" x14ac:dyDescent="0.25">
      <c r="A464">
        <f>'Specific Names Main'!A464</f>
        <v>0</v>
      </c>
      <c r="B464">
        <f>'Specific Names Main'!B464</f>
        <v>0</v>
      </c>
      <c r="C464">
        <f>'Specific Names Main'!C464</f>
        <v>0</v>
      </c>
      <c r="D464">
        <f>'Specific Names Main'!D464</f>
        <v>0</v>
      </c>
      <c r="E464">
        <f>'Specific Names Main'!E464</f>
        <v>0</v>
      </c>
    </row>
    <row r="465" spans="1:5" x14ac:dyDescent="0.25">
      <c r="A465">
        <f>'Specific Names Main'!A465</f>
        <v>0</v>
      </c>
      <c r="B465">
        <f>'Specific Names Main'!B465</f>
        <v>0</v>
      </c>
      <c r="C465">
        <f>'Specific Names Main'!C465</f>
        <v>0</v>
      </c>
      <c r="D465">
        <f>'Specific Names Main'!D465</f>
        <v>0</v>
      </c>
      <c r="E465">
        <f>'Specific Names Main'!E465</f>
        <v>0</v>
      </c>
    </row>
    <row r="466" spans="1:5" x14ac:dyDescent="0.25">
      <c r="A466">
        <f>'Specific Names Main'!A466</f>
        <v>0</v>
      </c>
      <c r="B466">
        <f>'Specific Names Main'!B466</f>
        <v>0</v>
      </c>
      <c r="C466">
        <f>'Specific Names Main'!C466</f>
        <v>0</v>
      </c>
      <c r="D466">
        <f>'Specific Names Main'!D466</f>
        <v>0</v>
      </c>
      <c r="E466">
        <f>'Specific Names Main'!E466</f>
        <v>0</v>
      </c>
    </row>
    <row r="467" spans="1:5" x14ac:dyDescent="0.25">
      <c r="A467">
        <f>'Specific Names Main'!A467</f>
        <v>0</v>
      </c>
      <c r="B467">
        <f>'Specific Names Main'!B467</f>
        <v>0</v>
      </c>
      <c r="C467">
        <f>'Specific Names Main'!C467</f>
        <v>0</v>
      </c>
      <c r="D467">
        <f>'Specific Names Main'!D467</f>
        <v>0</v>
      </c>
      <c r="E467">
        <f>'Specific Names Main'!E467</f>
        <v>0</v>
      </c>
    </row>
    <row r="468" spans="1:5" x14ac:dyDescent="0.25">
      <c r="A468">
        <f>'Specific Names Main'!A468</f>
        <v>0</v>
      </c>
      <c r="B468">
        <f>'Specific Names Main'!B468</f>
        <v>0</v>
      </c>
      <c r="C468">
        <f>'Specific Names Main'!C468</f>
        <v>0</v>
      </c>
      <c r="D468">
        <f>'Specific Names Main'!D468</f>
        <v>0</v>
      </c>
      <c r="E468">
        <f>'Specific Names Main'!E468</f>
        <v>0</v>
      </c>
    </row>
    <row r="469" spans="1:5" x14ac:dyDescent="0.25">
      <c r="A469">
        <f>'Specific Names Main'!A469</f>
        <v>0</v>
      </c>
      <c r="B469">
        <f>'Specific Names Main'!B469</f>
        <v>0</v>
      </c>
      <c r="C469">
        <f>'Specific Names Main'!C469</f>
        <v>0</v>
      </c>
      <c r="D469">
        <f>'Specific Names Main'!D469</f>
        <v>0</v>
      </c>
      <c r="E469">
        <f>'Specific Names Main'!E469</f>
        <v>0</v>
      </c>
    </row>
    <row r="470" spans="1:5" x14ac:dyDescent="0.25">
      <c r="A470">
        <f>'Specific Names Main'!A470</f>
        <v>0</v>
      </c>
      <c r="B470">
        <f>'Specific Names Main'!B470</f>
        <v>0</v>
      </c>
      <c r="C470">
        <f>'Specific Names Main'!C470</f>
        <v>0</v>
      </c>
      <c r="D470">
        <f>'Specific Names Main'!D470</f>
        <v>0</v>
      </c>
      <c r="E470">
        <f>'Specific Names Main'!E470</f>
        <v>0</v>
      </c>
    </row>
    <row r="471" spans="1:5" x14ac:dyDescent="0.25">
      <c r="A471">
        <f>'Specific Names Main'!A471</f>
        <v>0</v>
      </c>
      <c r="B471">
        <f>'Specific Names Main'!B471</f>
        <v>0</v>
      </c>
      <c r="C471">
        <f>'Specific Names Main'!C471</f>
        <v>0</v>
      </c>
      <c r="D471">
        <f>'Specific Names Main'!D471</f>
        <v>0</v>
      </c>
      <c r="E471">
        <f>'Specific Names Main'!E471</f>
        <v>0</v>
      </c>
    </row>
    <row r="472" spans="1:5" x14ac:dyDescent="0.25">
      <c r="A472">
        <f>'Specific Names Main'!A472</f>
        <v>0</v>
      </c>
      <c r="B472">
        <f>'Specific Names Main'!B472</f>
        <v>0</v>
      </c>
      <c r="C472">
        <f>'Specific Names Main'!C472</f>
        <v>0</v>
      </c>
      <c r="D472">
        <f>'Specific Names Main'!D472</f>
        <v>0</v>
      </c>
      <c r="E472">
        <f>'Specific Names Main'!E472</f>
        <v>0</v>
      </c>
    </row>
    <row r="473" spans="1:5" x14ac:dyDescent="0.25">
      <c r="A473">
        <f>'Specific Names Main'!A473</f>
        <v>0</v>
      </c>
      <c r="B473">
        <f>'Specific Names Main'!B473</f>
        <v>0</v>
      </c>
      <c r="C473">
        <f>'Specific Names Main'!C473</f>
        <v>0</v>
      </c>
      <c r="D473">
        <f>'Specific Names Main'!D473</f>
        <v>0</v>
      </c>
      <c r="E473">
        <f>'Specific Names Main'!E473</f>
        <v>0</v>
      </c>
    </row>
    <row r="474" spans="1:5" x14ac:dyDescent="0.25">
      <c r="A474">
        <f>'Specific Names Main'!A474</f>
        <v>0</v>
      </c>
      <c r="B474">
        <f>'Specific Names Main'!B474</f>
        <v>0</v>
      </c>
      <c r="C474">
        <f>'Specific Names Main'!C474</f>
        <v>0</v>
      </c>
      <c r="D474">
        <f>'Specific Names Main'!D474</f>
        <v>0</v>
      </c>
      <c r="E474">
        <f>'Specific Names Main'!E474</f>
        <v>0</v>
      </c>
    </row>
    <row r="475" spans="1:5" x14ac:dyDescent="0.25">
      <c r="A475">
        <f>'Specific Names Main'!A475</f>
        <v>0</v>
      </c>
      <c r="B475">
        <f>'Specific Names Main'!B475</f>
        <v>0</v>
      </c>
      <c r="C475">
        <f>'Specific Names Main'!C475</f>
        <v>0</v>
      </c>
      <c r="D475">
        <f>'Specific Names Main'!D475</f>
        <v>0</v>
      </c>
      <c r="E475">
        <f>'Specific Names Main'!E475</f>
        <v>0</v>
      </c>
    </row>
    <row r="476" spans="1:5" x14ac:dyDescent="0.25">
      <c r="A476">
        <f>'Specific Names Main'!A476</f>
        <v>0</v>
      </c>
      <c r="B476">
        <f>'Specific Names Main'!B476</f>
        <v>0</v>
      </c>
      <c r="C476">
        <f>'Specific Names Main'!C476</f>
        <v>0</v>
      </c>
      <c r="D476">
        <f>'Specific Names Main'!D476</f>
        <v>0</v>
      </c>
      <c r="E476">
        <f>'Specific Names Main'!E476</f>
        <v>0</v>
      </c>
    </row>
    <row r="477" spans="1:5" x14ac:dyDescent="0.25">
      <c r="A477">
        <f>'Specific Names Main'!A477</f>
        <v>0</v>
      </c>
      <c r="B477">
        <f>'Specific Names Main'!B477</f>
        <v>0</v>
      </c>
      <c r="C477">
        <f>'Specific Names Main'!C477</f>
        <v>0</v>
      </c>
      <c r="D477">
        <f>'Specific Names Main'!D477</f>
        <v>0</v>
      </c>
      <c r="E477">
        <f>'Specific Names Main'!E477</f>
        <v>0</v>
      </c>
    </row>
    <row r="478" spans="1:5" x14ac:dyDescent="0.25">
      <c r="A478">
        <f>'Specific Names Main'!A478</f>
        <v>0</v>
      </c>
      <c r="B478">
        <f>'Specific Names Main'!B478</f>
        <v>0</v>
      </c>
      <c r="C478">
        <f>'Specific Names Main'!C478</f>
        <v>0</v>
      </c>
      <c r="D478">
        <f>'Specific Names Main'!D478</f>
        <v>0</v>
      </c>
      <c r="E478">
        <f>'Specific Names Main'!E478</f>
        <v>0</v>
      </c>
    </row>
    <row r="479" spans="1:5" x14ac:dyDescent="0.25">
      <c r="A479">
        <f>'Specific Names Main'!A479</f>
        <v>0</v>
      </c>
      <c r="B479">
        <f>'Specific Names Main'!B479</f>
        <v>0</v>
      </c>
      <c r="C479">
        <f>'Specific Names Main'!C479</f>
        <v>0</v>
      </c>
      <c r="D479">
        <f>'Specific Names Main'!D479</f>
        <v>0</v>
      </c>
      <c r="E479">
        <f>'Specific Names Main'!E479</f>
        <v>0</v>
      </c>
    </row>
    <row r="480" spans="1:5" x14ac:dyDescent="0.25">
      <c r="A480">
        <f>'Specific Names Main'!A480</f>
        <v>0</v>
      </c>
      <c r="B480">
        <f>'Specific Names Main'!B480</f>
        <v>0</v>
      </c>
      <c r="C480">
        <f>'Specific Names Main'!C480</f>
        <v>0</v>
      </c>
      <c r="D480">
        <f>'Specific Names Main'!D480</f>
        <v>0</v>
      </c>
      <c r="E480">
        <f>'Specific Names Main'!E480</f>
        <v>0</v>
      </c>
    </row>
    <row r="481" spans="1:5" x14ac:dyDescent="0.25">
      <c r="A481">
        <f>'Specific Names Main'!A481</f>
        <v>0</v>
      </c>
      <c r="B481">
        <f>'Specific Names Main'!B481</f>
        <v>0</v>
      </c>
      <c r="C481">
        <f>'Specific Names Main'!C481</f>
        <v>0</v>
      </c>
      <c r="D481">
        <f>'Specific Names Main'!D481</f>
        <v>0</v>
      </c>
      <c r="E481">
        <f>'Specific Names Main'!E481</f>
        <v>0</v>
      </c>
    </row>
    <row r="482" spans="1:5" x14ac:dyDescent="0.25">
      <c r="A482">
        <f>'Specific Names Main'!A482</f>
        <v>0</v>
      </c>
      <c r="B482">
        <f>'Specific Names Main'!B482</f>
        <v>0</v>
      </c>
      <c r="C482">
        <f>'Specific Names Main'!C482</f>
        <v>0</v>
      </c>
      <c r="D482">
        <f>'Specific Names Main'!D482</f>
        <v>0</v>
      </c>
      <c r="E482">
        <f>'Specific Names Main'!E482</f>
        <v>0</v>
      </c>
    </row>
    <row r="483" spans="1:5" x14ac:dyDescent="0.25">
      <c r="A483">
        <f>'Specific Names Main'!A483</f>
        <v>0</v>
      </c>
      <c r="B483">
        <f>'Specific Names Main'!B483</f>
        <v>0</v>
      </c>
      <c r="C483">
        <f>'Specific Names Main'!C483</f>
        <v>0</v>
      </c>
      <c r="D483">
        <f>'Specific Names Main'!D483</f>
        <v>0</v>
      </c>
      <c r="E483">
        <f>'Specific Names Main'!E483</f>
        <v>0</v>
      </c>
    </row>
    <row r="484" spans="1:5" x14ac:dyDescent="0.25">
      <c r="A484">
        <f>'Specific Names Main'!A484</f>
        <v>0</v>
      </c>
      <c r="B484">
        <f>'Specific Names Main'!B484</f>
        <v>0</v>
      </c>
      <c r="C484">
        <f>'Specific Names Main'!C484</f>
        <v>0</v>
      </c>
      <c r="D484">
        <f>'Specific Names Main'!D484</f>
        <v>0</v>
      </c>
      <c r="E484">
        <f>'Specific Names Main'!E484</f>
        <v>0</v>
      </c>
    </row>
    <row r="485" spans="1:5" x14ac:dyDescent="0.25">
      <c r="A485">
        <f>'Specific Names Main'!A485</f>
        <v>0</v>
      </c>
      <c r="B485">
        <f>'Specific Names Main'!B485</f>
        <v>0</v>
      </c>
      <c r="C485">
        <f>'Specific Names Main'!C485</f>
        <v>0</v>
      </c>
      <c r="D485">
        <f>'Specific Names Main'!D485</f>
        <v>0</v>
      </c>
      <c r="E485">
        <f>'Specific Names Main'!E485</f>
        <v>0</v>
      </c>
    </row>
    <row r="486" spans="1:5" x14ac:dyDescent="0.25">
      <c r="A486">
        <f>'Specific Names Main'!A486</f>
        <v>0</v>
      </c>
      <c r="B486">
        <f>'Specific Names Main'!B486</f>
        <v>0</v>
      </c>
      <c r="C486">
        <f>'Specific Names Main'!C486</f>
        <v>0</v>
      </c>
      <c r="D486">
        <f>'Specific Names Main'!D486</f>
        <v>0</v>
      </c>
      <c r="E486">
        <f>'Specific Names Main'!E486</f>
        <v>0</v>
      </c>
    </row>
    <row r="487" spans="1:5" x14ac:dyDescent="0.25">
      <c r="A487">
        <f>'Specific Names Main'!A487</f>
        <v>0</v>
      </c>
      <c r="B487">
        <f>'Specific Names Main'!B487</f>
        <v>0</v>
      </c>
      <c r="C487">
        <f>'Specific Names Main'!C487</f>
        <v>0</v>
      </c>
      <c r="D487">
        <f>'Specific Names Main'!D487</f>
        <v>0</v>
      </c>
      <c r="E487">
        <f>'Specific Names Main'!E487</f>
        <v>0</v>
      </c>
    </row>
    <row r="488" spans="1:5" x14ac:dyDescent="0.25">
      <c r="A488">
        <f>'Specific Names Main'!A488</f>
        <v>0</v>
      </c>
      <c r="B488">
        <f>'Specific Names Main'!B488</f>
        <v>0</v>
      </c>
      <c r="C488">
        <f>'Specific Names Main'!C488</f>
        <v>0</v>
      </c>
      <c r="D488">
        <f>'Specific Names Main'!D488</f>
        <v>0</v>
      </c>
      <c r="E488">
        <f>'Specific Names Main'!E488</f>
        <v>0</v>
      </c>
    </row>
    <row r="489" spans="1:5" x14ac:dyDescent="0.25">
      <c r="A489">
        <f>'Specific Names Main'!A489</f>
        <v>0</v>
      </c>
      <c r="B489">
        <f>'Specific Names Main'!B489</f>
        <v>0</v>
      </c>
      <c r="C489">
        <f>'Specific Names Main'!C489</f>
        <v>0</v>
      </c>
      <c r="D489">
        <f>'Specific Names Main'!D489</f>
        <v>0</v>
      </c>
      <c r="E489">
        <f>'Specific Names Main'!E489</f>
        <v>0</v>
      </c>
    </row>
    <row r="490" spans="1:5" x14ac:dyDescent="0.25">
      <c r="A490">
        <f>'Specific Names Main'!A490</f>
        <v>0</v>
      </c>
      <c r="B490">
        <f>'Specific Names Main'!B490</f>
        <v>0</v>
      </c>
      <c r="C490">
        <f>'Specific Names Main'!C490</f>
        <v>0</v>
      </c>
      <c r="D490">
        <f>'Specific Names Main'!D490</f>
        <v>0</v>
      </c>
      <c r="E490">
        <f>'Specific Names Main'!E490</f>
        <v>0</v>
      </c>
    </row>
    <row r="491" spans="1:5" x14ac:dyDescent="0.25">
      <c r="A491">
        <f>'Specific Names Main'!A491</f>
        <v>0</v>
      </c>
      <c r="B491">
        <f>'Specific Names Main'!B491</f>
        <v>0</v>
      </c>
      <c r="C491">
        <f>'Specific Names Main'!C491</f>
        <v>0</v>
      </c>
      <c r="D491">
        <f>'Specific Names Main'!D491</f>
        <v>0</v>
      </c>
      <c r="E491">
        <f>'Specific Names Main'!E491</f>
        <v>0</v>
      </c>
    </row>
    <row r="492" spans="1:5" x14ac:dyDescent="0.25">
      <c r="A492">
        <f>'Specific Names Main'!A492</f>
        <v>0</v>
      </c>
      <c r="B492">
        <f>'Specific Names Main'!B492</f>
        <v>0</v>
      </c>
      <c r="C492">
        <f>'Specific Names Main'!C492</f>
        <v>0</v>
      </c>
      <c r="D492">
        <f>'Specific Names Main'!D492</f>
        <v>0</v>
      </c>
      <c r="E492">
        <f>'Specific Names Main'!E492</f>
        <v>0</v>
      </c>
    </row>
    <row r="493" spans="1:5" x14ac:dyDescent="0.25">
      <c r="A493">
        <f>'Specific Names Main'!A493</f>
        <v>0</v>
      </c>
      <c r="B493">
        <f>'Specific Names Main'!B493</f>
        <v>0</v>
      </c>
      <c r="C493">
        <f>'Specific Names Main'!C493</f>
        <v>0</v>
      </c>
      <c r="D493">
        <f>'Specific Names Main'!D493</f>
        <v>0</v>
      </c>
      <c r="E493">
        <f>'Specific Names Main'!E493</f>
        <v>0</v>
      </c>
    </row>
    <row r="494" spans="1:5" x14ac:dyDescent="0.25">
      <c r="A494">
        <f>'Specific Names Main'!A494</f>
        <v>0</v>
      </c>
      <c r="B494">
        <f>'Specific Names Main'!B494</f>
        <v>0</v>
      </c>
      <c r="C494">
        <f>'Specific Names Main'!C494</f>
        <v>0</v>
      </c>
      <c r="D494">
        <f>'Specific Names Main'!D494</f>
        <v>0</v>
      </c>
      <c r="E494">
        <f>'Specific Names Main'!E494</f>
        <v>0</v>
      </c>
    </row>
    <row r="495" spans="1:5" x14ac:dyDescent="0.25">
      <c r="A495">
        <f>'Specific Names Main'!A495</f>
        <v>0</v>
      </c>
      <c r="B495">
        <f>'Specific Names Main'!B495</f>
        <v>0</v>
      </c>
      <c r="C495">
        <f>'Specific Names Main'!C495</f>
        <v>0</v>
      </c>
      <c r="D495">
        <f>'Specific Names Main'!D495</f>
        <v>0</v>
      </c>
      <c r="E495">
        <f>'Specific Names Main'!E495</f>
        <v>0</v>
      </c>
    </row>
    <row r="496" spans="1:5" x14ac:dyDescent="0.25">
      <c r="A496">
        <f>'Specific Names Main'!A496</f>
        <v>0</v>
      </c>
      <c r="B496">
        <f>'Specific Names Main'!B496</f>
        <v>0</v>
      </c>
      <c r="C496">
        <f>'Specific Names Main'!C496</f>
        <v>0</v>
      </c>
      <c r="D496">
        <f>'Specific Names Main'!D496</f>
        <v>0</v>
      </c>
      <c r="E496">
        <f>'Specific Names Main'!E496</f>
        <v>0</v>
      </c>
    </row>
    <row r="497" spans="1:5" x14ac:dyDescent="0.25">
      <c r="A497">
        <f>'Specific Names Main'!A497</f>
        <v>0</v>
      </c>
      <c r="B497">
        <f>'Specific Names Main'!B497</f>
        <v>0</v>
      </c>
      <c r="C497">
        <f>'Specific Names Main'!C497</f>
        <v>0</v>
      </c>
      <c r="D497">
        <f>'Specific Names Main'!D497</f>
        <v>0</v>
      </c>
      <c r="E497">
        <f>'Specific Names Main'!E497</f>
        <v>0</v>
      </c>
    </row>
    <row r="498" spans="1:5" x14ac:dyDescent="0.25">
      <c r="A498">
        <f>'Specific Names Main'!A498</f>
        <v>0</v>
      </c>
      <c r="B498">
        <f>'Specific Names Main'!B498</f>
        <v>0</v>
      </c>
      <c r="C498">
        <f>'Specific Names Main'!C498</f>
        <v>0</v>
      </c>
      <c r="D498">
        <f>'Specific Names Main'!D498</f>
        <v>0</v>
      </c>
      <c r="E498">
        <f>'Specific Names Main'!E498</f>
        <v>0</v>
      </c>
    </row>
    <row r="499" spans="1:5" x14ac:dyDescent="0.25">
      <c r="A499">
        <f>'Specific Names Main'!A499</f>
        <v>0</v>
      </c>
      <c r="B499">
        <f>'Specific Names Main'!B499</f>
        <v>0</v>
      </c>
      <c r="C499">
        <f>'Specific Names Main'!C499</f>
        <v>0</v>
      </c>
      <c r="D499">
        <f>'Specific Names Main'!D499</f>
        <v>0</v>
      </c>
      <c r="E499">
        <f>'Specific Names Main'!E499</f>
        <v>0</v>
      </c>
    </row>
    <row r="500" spans="1:5" x14ac:dyDescent="0.25">
      <c r="A500">
        <f>'Specific Names Main'!A500</f>
        <v>0</v>
      </c>
      <c r="B500">
        <f>'Specific Names Main'!B500</f>
        <v>0</v>
      </c>
      <c r="C500">
        <f>'Specific Names Main'!C500</f>
        <v>0</v>
      </c>
      <c r="D500">
        <f>'Specific Names Main'!D500</f>
        <v>0</v>
      </c>
      <c r="E500">
        <f>'Specific Names Main'!E500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E500"/>
  <sheetViews>
    <sheetView topLeftCell="A4" zoomScale="115" zoomScaleNormal="115" workbookViewId="0">
      <selection activeCell="C17" sqref="C17"/>
    </sheetView>
  </sheetViews>
  <sheetFormatPr defaultColWidth="9.140625" defaultRowHeight="15" x14ac:dyDescent="0.25"/>
  <cols>
    <col min="1" max="2" width="46.7109375" style="37" bestFit="1" customWidth="1"/>
    <col min="3" max="3" width="7" style="37" bestFit="1" customWidth="1"/>
    <col min="4" max="4" width="12.42578125" style="37" bestFit="1" customWidth="1"/>
    <col min="5" max="5" width="7" style="37" bestFit="1" customWidth="1"/>
    <col min="6" max="11" width="9.140625" style="37" customWidth="1"/>
    <col min="12" max="16384" width="9.140625" style="37"/>
  </cols>
  <sheetData>
    <row r="1" spans="1:5" x14ac:dyDescent="0.25">
      <c r="A1" t="s">
        <v>1565</v>
      </c>
      <c r="B1" t="s">
        <v>1566</v>
      </c>
      <c r="C1" t="s">
        <v>1567</v>
      </c>
      <c r="D1" t="s">
        <v>1568</v>
      </c>
      <c r="E1" t="s">
        <v>1569</v>
      </c>
    </row>
    <row r="2" spans="1:5" x14ac:dyDescent="0.25">
      <c r="A2" t="s">
        <v>6</v>
      </c>
      <c r="B2" t="s">
        <v>6</v>
      </c>
      <c r="C2"/>
      <c r="D2"/>
      <c r="E2"/>
    </row>
    <row r="3" spans="1:5" x14ac:dyDescent="0.25">
      <c r="A3" t="s">
        <v>8</v>
      </c>
      <c r="B3" t="s">
        <v>8</v>
      </c>
      <c r="C3"/>
      <c r="D3"/>
      <c r="E3"/>
    </row>
    <row r="4" spans="1:5" x14ac:dyDescent="0.25">
      <c r="A4" t="s">
        <v>10</v>
      </c>
      <c r="B4" t="s">
        <v>10</v>
      </c>
      <c r="C4" t="s">
        <v>11</v>
      </c>
      <c r="D4"/>
      <c r="E4"/>
    </row>
    <row r="5" spans="1:5" x14ac:dyDescent="0.25">
      <c r="A5" t="s">
        <v>13</v>
      </c>
      <c r="B5" t="s">
        <v>14</v>
      </c>
      <c r="C5" t="s">
        <v>15</v>
      </c>
      <c r="D5"/>
      <c r="E5"/>
    </row>
    <row r="6" spans="1:5" x14ac:dyDescent="0.25">
      <c r="A6" t="s">
        <v>17</v>
      </c>
      <c r="B6" t="s">
        <v>14</v>
      </c>
      <c r="C6" t="s">
        <v>15</v>
      </c>
      <c r="D6"/>
      <c r="E6"/>
    </row>
    <row r="7" spans="1:5" x14ac:dyDescent="0.25">
      <c r="A7" t="s">
        <v>19</v>
      </c>
      <c r="B7" t="s">
        <v>14</v>
      </c>
      <c r="C7" t="s">
        <v>15</v>
      </c>
      <c r="D7"/>
      <c r="E7"/>
    </row>
    <row r="8" spans="1:5" x14ac:dyDescent="0.25">
      <c r="A8" t="s">
        <v>7</v>
      </c>
      <c r="B8" t="s">
        <v>7</v>
      </c>
      <c r="C8" t="s">
        <v>21</v>
      </c>
      <c r="D8"/>
      <c r="E8"/>
    </row>
    <row r="9" spans="1:5" x14ac:dyDescent="0.25">
      <c r="A9" t="s">
        <v>23</v>
      </c>
      <c r="B9" t="s">
        <v>24</v>
      </c>
      <c r="C9"/>
      <c r="D9"/>
      <c r="E9"/>
    </row>
    <row r="10" spans="1:5" x14ac:dyDescent="0.25">
      <c r="A10" t="s">
        <v>26</v>
      </c>
      <c r="B10" t="s">
        <v>24</v>
      </c>
      <c r="C10"/>
      <c r="D10"/>
      <c r="E10"/>
    </row>
    <row r="11" spans="1:5" x14ac:dyDescent="0.25">
      <c r="A11" t="s">
        <v>28</v>
      </c>
      <c r="B11" t="s">
        <v>24</v>
      </c>
      <c r="C11"/>
      <c r="D11"/>
      <c r="E11"/>
    </row>
    <row r="12" spans="1:5" x14ac:dyDescent="0.25">
      <c r="A12" t="s">
        <v>30</v>
      </c>
      <c r="B12" t="s">
        <v>31</v>
      </c>
      <c r="C12"/>
      <c r="D12"/>
      <c r="E12"/>
    </row>
    <row r="13" spans="1:5" x14ac:dyDescent="0.25">
      <c r="A13" t="s">
        <v>33</v>
      </c>
      <c r="B13" t="s">
        <v>31</v>
      </c>
      <c r="C13"/>
      <c r="D13"/>
      <c r="E13"/>
    </row>
    <row r="14" spans="1:5" x14ac:dyDescent="0.25">
      <c r="A14" t="s">
        <v>9</v>
      </c>
      <c r="B14" t="s">
        <v>12</v>
      </c>
      <c r="C14" t="s">
        <v>35</v>
      </c>
      <c r="D14"/>
      <c r="E14"/>
    </row>
    <row r="15" spans="1:5" x14ac:dyDescent="0.25">
      <c r="A15" t="s">
        <v>12</v>
      </c>
      <c r="B15" t="s">
        <v>12</v>
      </c>
      <c r="C15" t="s">
        <v>35</v>
      </c>
      <c r="D15"/>
      <c r="E15"/>
    </row>
    <row r="16" spans="1:5" x14ac:dyDescent="0.25">
      <c r="A16" t="s">
        <v>38</v>
      </c>
      <c r="B16" t="s">
        <v>38</v>
      </c>
      <c r="C16"/>
      <c r="D16"/>
      <c r="E16"/>
    </row>
    <row r="17" spans="1:5" x14ac:dyDescent="0.25">
      <c r="A17" t="s">
        <v>40</v>
      </c>
      <c r="B17" t="s">
        <v>40</v>
      </c>
      <c r="C17"/>
      <c r="D17"/>
      <c r="E17"/>
    </row>
    <row r="18" spans="1:5" x14ac:dyDescent="0.25">
      <c r="A18" t="s">
        <v>16</v>
      </c>
      <c r="B18" t="s">
        <v>16</v>
      </c>
      <c r="C18" t="s">
        <v>42</v>
      </c>
      <c r="D18"/>
      <c r="E18"/>
    </row>
    <row r="19" spans="1:5" x14ac:dyDescent="0.25">
      <c r="A19" t="s">
        <v>44</v>
      </c>
      <c r="B19" t="s">
        <v>40</v>
      </c>
      <c r="C19"/>
      <c r="D19"/>
      <c r="E19"/>
    </row>
    <row r="20" spans="1:5" x14ac:dyDescent="0.25">
      <c r="A20" t="s">
        <v>46</v>
      </c>
      <c r="B20" t="s">
        <v>40</v>
      </c>
      <c r="C20"/>
      <c r="D20"/>
      <c r="E20"/>
    </row>
    <row r="21" spans="1:5" x14ac:dyDescent="0.25">
      <c r="A21" t="s">
        <v>48</v>
      </c>
      <c r="B21" t="s">
        <v>40</v>
      </c>
      <c r="C21"/>
      <c r="D21"/>
      <c r="E21"/>
    </row>
    <row r="22" spans="1:5" x14ac:dyDescent="0.25">
      <c r="A22" t="s">
        <v>49</v>
      </c>
      <c r="B22" t="s">
        <v>50</v>
      </c>
      <c r="C22"/>
      <c r="D22"/>
      <c r="E22"/>
    </row>
    <row r="23" spans="1:5" x14ac:dyDescent="0.25">
      <c r="A23" t="s">
        <v>51</v>
      </c>
      <c r="B23" t="s">
        <v>52</v>
      </c>
      <c r="C23"/>
      <c r="D23"/>
      <c r="E23"/>
    </row>
    <row r="24" spans="1:5" x14ac:dyDescent="0.25">
      <c r="A24" t="s">
        <v>53</v>
      </c>
      <c r="B24" t="s">
        <v>54</v>
      </c>
      <c r="C24"/>
      <c r="D24"/>
      <c r="E24"/>
    </row>
    <row r="25" spans="1:5" x14ac:dyDescent="0.25">
      <c r="A25" t="s">
        <v>55</v>
      </c>
      <c r="B25" t="s">
        <v>56</v>
      </c>
      <c r="C25"/>
      <c r="D25"/>
      <c r="E25"/>
    </row>
    <row r="26" spans="1:5" x14ac:dyDescent="0.25">
      <c r="A26" t="s">
        <v>57</v>
      </c>
      <c r="B26" t="s">
        <v>58</v>
      </c>
      <c r="C26" t="s">
        <v>59</v>
      </c>
      <c r="D26"/>
      <c r="E26"/>
    </row>
    <row r="27" spans="1:5" x14ac:dyDescent="0.25">
      <c r="A27" t="s">
        <v>60</v>
      </c>
      <c r="B27" t="s">
        <v>58</v>
      </c>
      <c r="C27" t="s">
        <v>59</v>
      </c>
      <c r="D27"/>
      <c r="E27"/>
    </row>
    <row r="28" spans="1:5" x14ac:dyDescent="0.25">
      <c r="A28" t="s">
        <v>61</v>
      </c>
      <c r="B28" t="s">
        <v>58</v>
      </c>
      <c r="C28" t="s">
        <v>59</v>
      </c>
      <c r="D28"/>
      <c r="E28"/>
    </row>
    <row r="29" spans="1:5" x14ac:dyDescent="0.25">
      <c r="A29" t="s">
        <v>62</v>
      </c>
      <c r="B29" t="s">
        <v>62</v>
      </c>
      <c r="C29"/>
      <c r="D29"/>
      <c r="E29"/>
    </row>
    <row r="30" spans="1:5" x14ac:dyDescent="0.25">
      <c r="A30" t="s">
        <v>63</v>
      </c>
      <c r="B30" t="s">
        <v>63</v>
      </c>
      <c r="C30"/>
      <c r="D30"/>
      <c r="E30"/>
    </row>
    <row r="31" spans="1:5" x14ac:dyDescent="0.25">
      <c r="A31" t="s">
        <v>18</v>
      </c>
      <c r="B31" t="s">
        <v>18</v>
      </c>
      <c r="C31" t="s">
        <v>64</v>
      </c>
      <c r="D31"/>
      <c r="E31"/>
    </row>
    <row r="32" spans="1:5" x14ac:dyDescent="0.25">
      <c r="A32" t="s">
        <v>20</v>
      </c>
      <c r="B32" t="s">
        <v>18</v>
      </c>
      <c r="C32" t="s">
        <v>64</v>
      </c>
      <c r="D32"/>
      <c r="E32"/>
    </row>
    <row r="33" spans="1:5" x14ac:dyDescent="0.25">
      <c r="A33" t="s">
        <v>22</v>
      </c>
      <c r="B33" t="s">
        <v>22</v>
      </c>
      <c r="C33" t="s">
        <v>65</v>
      </c>
      <c r="D33"/>
      <c r="E33"/>
    </row>
    <row r="34" spans="1:5" x14ac:dyDescent="0.25">
      <c r="A34" t="s">
        <v>25</v>
      </c>
      <c r="B34" t="s">
        <v>22</v>
      </c>
      <c r="C34" t="s">
        <v>65</v>
      </c>
      <c r="D34"/>
      <c r="E34"/>
    </row>
    <row r="35" spans="1:5" x14ac:dyDescent="0.25">
      <c r="A35" t="s">
        <v>27</v>
      </c>
      <c r="B35" t="s">
        <v>27</v>
      </c>
      <c r="C35" t="s">
        <v>66</v>
      </c>
      <c r="D35"/>
      <c r="E35"/>
    </row>
    <row r="36" spans="1:5" x14ac:dyDescent="0.25">
      <c r="A36" t="s">
        <v>29</v>
      </c>
      <c r="B36" t="s">
        <v>29</v>
      </c>
      <c r="C36" t="s">
        <v>67</v>
      </c>
      <c r="D36"/>
      <c r="E36"/>
    </row>
    <row r="37" spans="1:5" x14ac:dyDescent="0.25">
      <c r="A37" t="s">
        <v>68</v>
      </c>
      <c r="B37" t="s">
        <v>69</v>
      </c>
      <c r="C37"/>
      <c r="D37"/>
      <c r="E37"/>
    </row>
    <row r="38" spans="1:5" x14ac:dyDescent="0.25">
      <c r="A38" t="s">
        <v>70</v>
      </c>
      <c r="B38" t="s">
        <v>70</v>
      </c>
      <c r="C38"/>
      <c r="D38"/>
      <c r="E38"/>
    </row>
    <row r="39" spans="1:5" x14ac:dyDescent="0.25">
      <c r="A39" t="s">
        <v>71</v>
      </c>
      <c r="B39" t="s">
        <v>71</v>
      </c>
      <c r="C39"/>
      <c r="D39"/>
      <c r="E39"/>
    </row>
    <row r="40" spans="1:5" x14ac:dyDescent="0.25">
      <c r="A40" t="s">
        <v>69</v>
      </c>
      <c r="B40" t="s">
        <v>69</v>
      </c>
      <c r="C40" t="s">
        <v>72</v>
      </c>
      <c r="D40" t="s">
        <v>73</v>
      </c>
      <c r="E40" t="s">
        <v>74</v>
      </c>
    </row>
    <row r="41" spans="1:5" x14ac:dyDescent="0.25">
      <c r="A41" t="s">
        <v>56</v>
      </c>
      <c r="B41" t="s">
        <v>56</v>
      </c>
      <c r="C41"/>
      <c r="D41"/>
      <c r="E41"/>
    </row>
    <row r="42" spans="1:5" x14ac:dyDescent="0.25">
      <c r="A42" t="s">
        <v>32</v>
      </c>
      <c r="B42" t="s">
        <v>32</v>
      </c>
      <c r="C42" t="s">
        <v>1560</v>
      </c>
      <c r="D42"/>
      <c r="E42"/>
    </row>
    <row r="43" spans="1:5" x14ac:dyDescent="0.25">
      <c r="A43" t="s">
        <v>34</v>
      </c>
      <c r="B43" t="s">
        <v>34</v>
      </c>
      <c r="C43" t="s">
        <v>1561</v>
      </c>
      <c r="D43"/>
      <c r="E43"/>
    </row>
    <row r="44" spans="1:5" x14ac:dyDescent="0.25">
      <c r="A44" t="s">
        <v>36</v>
      </c>
      <c r="B44" t="s">
        <v>36</v>
      </c>
      <c r="C44" t="s">
        <v>1562</v>
      </c>
      <c r="D44"/>
      <c r="E44"/>
    </row>
    <row r="45" spans="1:5" x14ac:dyDescent="0.25">
      <c r="A45" t="s">
        <v>37</v>
      </c>
      <c r="B45" t="s">
        <v>37</v>
      </c>
      <c r="C45"/>
      <c r="D45"/>
      <c r="E45"/>
    </row>
    <row r="46" spans="1:5" x14ac:dyDescent="0.25">
      <c r="A46" t="s">
        <v>78</v>
      </c>
      <c r="B46" t="s">
        <v>78</v>
      </c>
      <c r="C46"/>
      <c r="D46"/>
      <c r="E46"/>
    </row>
    <row r="47" spans="1:5" x14ac:dyDescent="0.25">
      <c r="A47" t="s">
        <v>79</v>
      </c>
      <c r="B47" t="s">
        <v>79</v>
      </c>
      <c r="C47"/>
      <c r="D47"/>
      <c r="E47"/>
    </row>
    <row r="48" spans="1:5" x14ac:dyDescent="0.25">
      <c r="A48" t="s">
        <v>80</v>
      </c>
      <c r="B48" t="s">
        <v>80</v>
      </c>
      <c r="C48"/>
      <c r="D48"/>
      <c r="E48"/>
    </row>
    <row r="49" spans="1:5" x14ac:dyDescent="0.25">
      <c r="A49" t="s">
        <v>81</v>
      </c>
      <c r="B49" t="s">
        <v>54</v>
      </c>
      <c r="C49"/>
      <c r="D49"/>
      <c r="E49"/>
    </row>
    <row r="50" spans="1:5" x14ac:dyDescent="0.25">
      <c r="A50" t="s">
        <v>54</v>
      </c>
      <c r="B50" t="s">
        <v>54</v>
      </c>
      <c r="C50"/>
      <c r="D50"/>
      <c r="E50"/>
    </row>
    <row r="51" spans="1:5" x14ac:dyDescent="0.25">
      <c r="A51" t="s">
        <v>82</v>
      </c>
      <c r="B51" t="s">
        <v>82</v>
      </c>
      <c r="C51"/>
      <c r="D51"/>
      <c r="E51"/>
    </row>
    <row r="52" spans="1:5" x14ac:dyDescent="0.25">
      <c r="A52" t="s">
        <v>83</v>
      </c>
      <c r="B52" t="s">
        <v>84</v>
      </c>
      <c r="C52"/>
      <c r="D52"/>
      <c r="E52"/>
    </row>
    <row r="53" spans="1:5" x14ac:dyDescent="0.25">
      <c r="A53" t="s">
        <v>84</v>
      </c>
      <c r="B53" t="s">
        <v>84</v>
      </c>
      <c r="C53"/>
      <c r="D53"/>
      <c r="E53"/>
    </row>
    <row r="54" spans="1:5" x14ac:dyDescent="0.25">
      <c r="A54" t="s">
        <v>85</v>
      </c>
      <c r="B54" t="s">
        <v>58</v>
      </c>
      <c r="C54" t="s">
        <v>59</v>
      </c>
      <c r="D54"/>
      <c r="E54"/>
    </row>
    <row r="55" spans="1:5" x14ac:dyDescent="0.25">
      <c r="A55" t="s">
        <v>86</v>
      </c>
      <c r="B55" t="s">
        <v>58</v>
      </c>
      <c r="C55" t="s">
        <v>59</v>
      </c>
      <c r="D55"/>
      <c r="E55"/>
    </row>
    <row r="56" spans="1:5" x14ac:dyDescent="0.25">
      <c r="A56" t="s">
        <v>87</v>
      </c>
      <c r="B56" t="s">
        <v>58</v>
      </c>
      <c r="C56" t="s">
        <v>59</v>
      </c>
      <c r="D56"/>
      <c r="E56"/>
    </row>
    <row r="57" spans="1:5" x14ac:dyDescent="0.25">
      <c r="A57" t="s">
        <v>88</v>
      </c>
      <c r="B57" t="s">
        <v>88</v>
      </c>
      <c r="C57"/>
      <c r="D57"/>
      <c r="E57"/>
    </row>
    <row r="58" spans="1:5" x14ac:dyDescent="0.25">
      <c r="A58" t="s">
        <v>89</v>
      </c>
      <c r="B58" t="s">
        <v>89</v>
      </c>
      <c r="C58"/>
      <c r="D58"/>
      <c r="E58"/>
    </row>
    <row r="59" spans="1:5" x14ac:dyDescent="0.25">
      <c r="A59" t="s">
        <v>90</v>
      </c>
      <c r="B59" t="s">
        <v>90</v>
      </c>
      <c r="C59"/>
      <c r="D59"/>
      <c r="E59"/>
    </row>
    <row r="60" spans="1:5" x14ac:dyDescent="0.25">
      <c r="A60" t="s">
        <v>91</v>
      </c>
      <c r="B60" t="s">
        <v>91</v>
      </c>
      <c r="C60"/>
      <c r="D60"/>
      <c r="E60"/>
    </row>
    <row r="61" spans="1:5" x14ac:dyDescent="0.25">
      <c r="A61" t="s">
        <v>92</v>
      </c>
      <c r="B61" t="s">
        <v>92</v>
      </c>
      <c r="C61"/>
      <c r="D61"/>
      <c r="E61"/>
    </row>
    <row r="62" spans="1:5" x14ac:dyDescent="0.25">
      <c r="A62" t="s">
        <v>93</v>
      </c>
      <c r="B62" t="s">
        <v>93</v>
      </c>
      <c r="C62"/>
      <c r="D62"/>
      <c r="E62"/>
    </row>
    <row r="63" spans="1:5" x14ac:dyDescent="0.25">
      <c r="A63" t="s">
        <v>47</v>
      </c>
      <c r="B63" t="s">
        <v>47</v>
      </c>
      <c r="C63" t="s">
        <v>94</v>
      </c>
      <c r="D63"/>
      <c r="E63"/>
    </row>
    <row r="64" spans="1:5" x14ac:dyDescent="0.25">
      <c r="A64" t="s">
        <v>95</v>
      </c>
      <c r="B64" t="s">
        <v>96</v>
      </c>
      <c r="C64"/>
      <c r="D64"/>
      <c r="E64"/>
    </row>
    <row r="65" spans="1:5" x14ac:dyDescent="0.25">
      <c r="A65" t="s">
        <v>97</v>
      </c>
      <c r="B65" t="s">
        <v>96</v>
      </c>
      <c r="C65"/>
      <c r="D65"/>
      <c r="E65"/>
    </row>
    <row r="66" spans="1:5" x14ac:dyDescent="0.25">
      <c r="A66" t="s">
        <v>98</v>
      </c>
      <c r="B66" t="s">
        <v>98</v>
      </c>
      <c r="C66"/>
      <c r="D66"/>
      <c r="E66"/>
    </row>
    <row r="67" spans="1:5" x14ac:dyDescent="0.25">
      <c r="A67" t="s">
        <v>99</v>
      </c>
      <c r="B67" t="s">
        <v>96</v>
      </c>
      <c r="C67"/>
      <c r="D67"/>
      <c r="E67"/>
    </row>
    <row r="68" spans="1:5" x14ac:dyDescent="0.25">
      <c r="A68" t="s">
        <v>1563</v>
      </c>
      <c r="B68" t="s">
        <v>1563</v>
      </c>
      <c r="C68"/>
      <c r="D68"/>
      <c r="E68"/>
    </row>
    <row r="69" spans="1:5" x14ac:dyDescent="0.25">
      <c r="A69" t="s">
        <v>1564</v>
      </c>
      <c r="B69" t="s">
        <v>1564</v>
      </c>
      <c r="C69"/>
      <c r="D69"/>
      <c r="E69"/>
    </row>
    <row r="70" spans="1:5" x14ac:dyDescent="0.25">
      <c r="A70" t="s">
        <v>102</v>
      </c>
      <c r="B70" t="s">
        <v>103</v>
      </c>
      <c r="C70" t="s">
        <v>104</v>
      </c>
      <c r="D70"/>
      <c r="E70"/>
    </row>
    <row r="71" spans="1:5" x14ac:dyDescent="0.25">
      <c r="A71" t="s">
        <v>105</v>
      </c>
      <c r="B71" t="s">
        <v>103</v>
      </c>
      <c r="C71" t="s">
        <v>104</v>
      </c>
      <c r="D71"/>
      <c r="E71"/>
    </row>
    <row r="72" spans="1:5" x14ac:dyDescent="0.25">
      <c r="A72" t="s">
        <v>106</v>
      </c>
      <c r="B72" t="s">
        <v>103</v>
      </c>
      <c r="C72" t="s">
        <v>104</v>
      </c>
      <c r="D72"/>
      <c r="E72"/>
    </row>
    <row r="73" spans="1:5" x14ac:dyDescent="0.25">
      <c r="A73" t="s">
        <v>107</v>
      </c>
      <c r="B73" t="s">
        <v>107</v>
      </c>
      <c r="C73" t="s">
        <v>108</v>
      </c>
      <c r="D73"/>
      <c r="E73"/>
    </row>
    <row r="74" spans="1:5" x14ac:dyDescent="0.25">
      <c r="A74" t="s">
        <v>109</v>
      </c>
      <c r="B74" t="s">
        <v>107</v>
      </c>
      <c r="C74" t="s">
        <v>108</v>
      </c>
      <c r="D74"/>
      <c r="E74"/>
    </row>
    <row r="75" spans="1:5" x14ac:dyDescent="0.25">
      <c r="A75" t="s">
        <v>110</v>
      </c>
      <c r="B75" t="s">
        <v>110</v>
      </c>
      <c r="C75"/>
      <c r="D75"/>
      <c r="E75"/>
    </row>
    <row r="76" spans="1:5" x14ac:dyDescent="0.25">
      <c r="A76" t="s">
        <v>111</v>
      </c>
      <c r="B76" t="s">
        <v>111</v>
      </c>
      <c r="C76"/>
      <c r="D76"/>
      <c r="E76"/>
    </row>
    <row r="77" spans="1:5" x14ac:dyDescent="0.25">
      <c r="A77" t="s">
        <v>112</v>
      </c>
      <c r="B77" t="s">
        <v>112</v>
      </c>
      <c r="C77"/>
      <c r="D77"/>
      <c r="E77"/>
    </row>
    <row r="78" spans="1:5" x14ac:dyDescent="0.25">
      <c r="A78" t="s">
        <v>113</v>
      </c>
      <c r="B78" t="s">
        <v>112</v>
      </c>
      <c r="C78"/>
      <c r="D78"/>
      <c r="E78"/>
    </row>
    <row r="79" spans="1:5" x14ac:dyDescent="0.25">
      <c r="A79" t="s">
        <v>39</v>
      </c>
      <c r="B79" t="s">
        <v>39</v>
      </c>
      <c r="C79" t="s">
        <v>114</v>
      </c>
      <c r="D79"/>
      <c r="E79"/>
    </row>
    <row r="80" spans="1:5" x14ac:dyDescent="0.25">
      <c r="A80" t="s">
        <v>115</v>
      </c>
      <c r="B80" t="s">
        <v>115</v>
      </c>
      <c r="C80"/>
      <c r="D80"/>
      <c r="E80"/>
    </row>
    <row r="81" spans="1:5" x14ac:dyDescent="0.25">
      <c r="A81" t="s">
        <v>116</v>
      </c>
      <c r="B81" t="s">
        <v>116</v>
      </c>
      <c r="C81"/>
      <c r="D81"/>
      <c r="E81"/>
    </row>
    <row r="82" spans="1:5" x14ac:dyDescent="0.25">
      <c r="A82" t="s">
        <v>117</v>
      </c>
      <c r="B82" t="s">
        <v>118</v>
      </c>
      <c r="C82" t="s">
        <v>119</v>
      </c>
      <c r="D82"/>
      <c r="E82"/>
    </row>
    <row r="83" spans="1:5" x14ac:dyDescent="0.25">
      <c r="A83" t="s">
        <v>120</v>
      </c>
      <c r="B83" t="s">
        <v>120</v>
      </c>
      <c r="C83"/>
      <c r="D83"/>
      <c r="E83"/>
    </row>
    <row r="84" spans="1:5" x14ac:dyDescent="0.25">
      <c r="A84" t="s">
        <v>121</v>
      </c>
      <c r="B84" t="s">
        <v>121</v>
      </c>
      <c r="C84"/>
      <c r="D84"/>
      <c r="E84"/>
    </row>
    <row r="85" spans="1:5" x14ac:dyDescent="0.25">
      <c r="A85" t="s">
        <v>122</v>
      </c>
      <c r="B85" t="s">
        <v>118</v>
      </c>
      <c r="C85" t="s">
        <v>72</v>
      </c>
      <c r="D85" t="s">
        <v>123</v>
      </c>
      <c r="E85" t="s">
        <v>124</v>
      </c>
    </row>
    <row r="86" spans="1:5" x14ac:dyDescent="0.25">
      <c r="A86" t="s">
        <v>125</v>
      </c>
      <c r="B86" t="s">
        <v>118</v>
      </c>
      <c r="C86" t="s">
        <v>72</v>
      </c>
      <c r="D86" t="s">
        <v>123</v>
      </c>
      <c r="E86" t="s">
        <v>124</v>
      </c>
    </row>
    <row r="87" spans="1:5" x14ac:dyDescent="0.25">
      <c r="A87" t="s">
        <v>126</v>
      </c>
      <c r="B87" t="s">
        <v>126</v>
      </c>
      <c r="C87"/>
      <c r="D87"/>
      <c r="E87"/>
    </row>
    <row r="88" spans="1:5" x14ac:dyDescent="0.25">
      <c r="A88" t="s">
        <v>127</v>
      </c>
      <c r="B88" t="s">
        <v>128</v>
      </c>
      <c r="C88"/>
      <c r="D88"/>
      <c r="E88"/>
    </row>
    <row r="89" spans="1:5" x14ac:dyDescent="0.25">
      <c r="A89" t="s">
        <v>129</v>
      </c>
      <c r="B89" t="s">
        <v>128</v>
      </c>
      <c r="C89"/>
      <c r="D89"/>
      <c r="E89"/>
    </row>
    <row r="90" spans="1:5" x14ac:dyDescent="0.25">
      <c r="A90" t="s">
        <v>41</v>
      </c>
      <c r="B90" t="s">
        <v>41</v>
      </c>
      <c r="C90" t="s">
        <v>130</v>
      </c>
      <c r="D90"/>
      <c r="E90"/>
    </row>
    <row r="91" spans="1:5" x14ac:dyDescent="0.25">
      <c r="A91" t="s">
        <v>43</v>
      </c>
      <c r="B91" t="s">
        <v>131</v>
      </c>
      <c r="C91" t="s">
        <v>132</v>
      </c>
      <c r="D91" t="s">
        <v>133</v>
      </c>
      <c r="E91" t="s">
        <v>134</v>
      </c>
    </row>
    <row r="92" spans="1:5" x14ac:dyDescent="0.25">
      <c r="A92" t="s">
        <v>135</v>
      </c>
      <c r="B92" t="s">
        <v>135</v>
      </c>
      <c r="C92" t="s">
        <v>136</v>
      </c>
      <c r="D92" t="s">
        <v>137</v>
      </c>
      <c r="E92"/>
    </row>
    <row r="93" spans="1:5" x14ac:dyDescent="0.25">
      <c r="A93" t="s">
        <v>138</v>
      </c>
      <c r="B93" t="s">
        <v>135</v>
      </c>
      <c r="C93" t="s">
        <v>136</v>
      </c>
      <c r="D93" t="s">
        <v>137</v>
      </c>
      <c r="E93"/>
    </row>
    <row r="94" spans="1:5" x14ac:dyDescent="0.25">
      <c r="A94" t="s">
        <v>45</v>
      </c>
      <c r="B94" t="s">
        <v>45</v>
      </c>
      <c r="C94" t="s">
        <v>139</v>
      </c>
      <c r="D94"/>
      <c r="E94"/>
    </row>
    <row r="95" spans="1:5" x14ac:dyDescent="0.25">
      <c r="A95" t="s">
        <v>140</v>
      </c>
      <c r="B95" t="s">
        <v>140</v>
      </c>
      <c r="C95"/>
      <c r="D95"/>
      <c r="E95"/>
    </row>
    <row r="96" spans="1:5" x14ac:dyDescent="0.25">
      <c r="A96" t="s">
        <v>141</v>
      </c>
      <c r="B96" t="s">
        <v>56</v>
      </c>
      <c r="C96"/>
      <c r="D96"/>
      <c r="E96"/>
    </row>
    <row r="97" spans="1:5" x14ac:dyDescent="0.25">
      <c r="A97"/>
      <c r="B97"/>
      <c r="C97"/>
      <c r="D97"/>
      <c r="E97"/>
    </row>
    <row r="98" spans="1:5" x14ac:dyDescent="0.25">
      <c r="A98"/>
      <c r="B98"/>
      <c r="C98"/>
      <c r="D98"/>
      <c r="E98"/>
    </row>
    <row r="99" spans="1:5" x14ac:dyDescent="0.25">
      <c r="A99"/>
      <c r="B99"/>
      <c r="C99"/>
      <c r="D99"/>
      <c r="E99"/>
    </row>
    <row r="100" spans="1:5" x14ac:dyDescent="0.25">
      <c r="A100"/>
      <c r="B100"/>
      <c r="C100"/>
      <c r="D100"/>
      <c r="E100"/>
    </row>
    <row r="101" spans="1:5" x14ac:dyDescent="0.25">
      <c r="A101"/>
      <c r="B101"/>
      <c r="C101"/>
      <c r="D101"/>
      <c r="E101"/>
    </row>
    <row r="102" spans="1:5" x14ac:dyDescent="0.25">
      <c r="A102"/>
      <c r="B102"/>
      <c r="C102"/>
      <c r="D102"/>
      <c r="E102"/>
    </row>
    <row r="103" spans="1:5" x14ac:dyDescent="0.25">
      <c r="A103"/>
      <c r="B103"/>
      <c r="C103"/>
      <c r="D103"/>
      <c r="E103"/>
    </row>
    <row r="104" spans="1:5" x14ac:dyDescent="0.25">
      <c r="A104"/>
      <c r="B104"/>
      <c r="C104"/>
      <c r="D104"/>
      <c r="E104"/>
    </row>
    <row r="105" spans="1:5" x14ac:dyDescent="0.25">
      <c r="A105"/>
      <c r="B105"/>
      <c r="C105"/>
      <c r="D105"/>
      <c r="E105"/>
    </row>
    <row r="106" spans="1:5" x14ac:dyDescent="0.25">
      <c r="A106"/>
      <c r="B106"/>
      <c r="C106"/>
      <c r="D106"/>
      <c r="E106"/>
    </row>
    <row r="107" spans="1:5" x14ac:dyDescent="0.25">
      <c r="A107"/>
      <c r="B107"/>
      <c r="C107"/>
      <c r="D107"/>
      <c r="E107"/>
    </row>
    <row r="108" spans="1:5" x14ac:dyDescent="0.25">
      <c r="A108"/>
      <c r="B108"/>
      <c r="C108"/>
      <c r="D108"/>
      <c r="E108"/>
    </row>
    <row r="109" spans="1:5" x14ac:dyDescent="0.25">
      <c r="A109"/>
      <c r="B109"/>
      <c r="C109"/>
      <c r="D109"/>
      <c r="E109"/>
    </row>
    <row r="110" spans="1:5" x14ac:dyDescent="0.25">
      <c r="A110"/>
      <c r="B110"/>
      <c r="C110"/>
      <c r="D110"/>
      <c r="E110"/>
    </row>
    <row r="111" spans="1:5" x14ac:dyDescent="0.25">
      <c r="A111"/>
      <c r="B111"/>
      <c r="C111"/>
      <c r="D111"/>
      <c r="E111"/>
    </row>
    <row r="112" spans="1:5" x14ac:dyDescent="0.25">
      <c r="A112"/>
      <c r="B112"/>
      <c r="C112"/>
      <c r="D112"/>
      <c r="E112"/>
    </row>
    <row r="113" spans="1:5" x14ac:dyDescent="0.25">
      <c r="A113"/>
      <c r="B113"/>
      <c r="C113"/>
      <c r="D113"/>
      <c r="E113"/>
    </row>
    <row r="114" spans="1:5" x14ac:dyDescent="0.25">
      <c r="A114"/>
      <c r="B114"/>
      <c r="C114"/>
      <c r="D114"/>
      <c r="E114"/>
    </row>
    <row r="115" spans="1:5" x14ac:dyDescent="0.25">
      <c r="A115"/>
      <c r="B115"/>
      <c r="C115"/>
      <c r="D115"/>
      <c r="E115"/>
    </row>
    <row r="116" spans="1:5" x14ac:dyDescent="0.25">
      <c r="A116"/>
      <c r="B116"/>
      <c r="C116"/>
      <c r="D116"/>
      <c r="E116"/>
    </row>
    <row r="117" spans="1:5" x14ac:dyDescent="0.25">
      <c r="A117"/>
      <c r="B117"/>
      <c r="C117"/>
      <c r="D117"/>
      <c r="E117"/>
    </row>
    <row r="118" spans="1:5" x14ac:dyDescent="0.25">
      <c r="A118"/>
      <c r="B118"/>
      <c r="C118"/>
      <c r="D118"/>
      <c r="E118"/>
    </row>
    <row r="119" spans="1:5" x14ac:dyDescent="0.25">
      <c r="A119"/>
      <c r="B119"/>
      <c r="C119"/>
      <c r="D119"/>
      <c r="E119"/>
    </row>
    <row r="120" spans="1:5" x14ac:dyDescent="0.25">
      <c r="A120"/>
      <c r="B120"/>
      <c r="C120"/>
      <c r="D120"/>
      <c r="E120"/>
    </row>
    <row r="121" spans="1:5" x14ac:dyDescent="0.25">
      <c r="A121"/>
      <c r="B121"/>
      <c r="C121"/>
      <c r="D121"/>
      <c r="E121"/>
    </row>
    <row r="122" spans="1:5" x14ac:dyDescent="0.25">
      <c r="A122"/>
      <c r="B122"/>
      <c r="C122"/>
      <c r="D122"/>
      <c r="E122"/>
    </row>
    <row r="123" spans="1:5" x14ac:dyDescent="0.25">
      <c r="A123"/>
      <c r="B123"/>
      <c r="C123"/>
      <c r="D123"/>
      <c r="E123"/>
    </row>
    <row r="124" spans="1:5" x14ac:dyDescent="0.25">
      <c r="A124"/>
      <c r="B124"/>
      <c r="C124"/>
      <c r="D124"/>
      <c r="E124"/>
    </row>
    <row r="125" spans="1:5" x14ac:dyDescent="0.25">
      <c r="A125"/>
      <c r="B125"/>
      <c r="C125"/>
      <c r="D125"/>
      <c r="E125"/>
    </row>
    <row r="126" spans="1:5" x14ac:dyDescent="0.25">
      <c r="A126"/>
      <c r="B126"/>
      <c r="C126"/>
      <c r="D126"/>
      <c r="E126"/>
    </row>
    <row r="127" spans="1:5" x14ac:dyDescent="0.25">
      <c r="A127"/>
      <c r="B127"/>
      <c r="C127"/>
      <c r="D127"/>
      <c r="E127"/>
    </row>
    <row r="128" spans="1:5" x14ac:dyDescent="0.25">
      <c r="A128"/>
      <c r="B128"/>
      <c r="C128"/>
      <c r="D128"/>
      <c r="E128"/>
    </row>
    <row r="129" spans="1:5" x14ac:dyDescent="0.25">
      <c r="A129"/>
      <c r="B129"/>
      <c r="C129"/>
      <c r="D129"/>
      <c r="E129"/>
    </row>
    <row r="130" spans="1:5" x14ac:dyDescent="0.25">
      <c r="A130"/>
      <c r="B130"/>
      <c r="C130"/>
      <c r="D130"/>
      <c r="E130"/>
    </row>
    <row r="131" spans="1:5" x14ac:dyDescent="0.25">
      <c r="A131"/>
      <c r="B131"/>
      <c r="C131"/>
      <c r="D131"/>
      <c r="E131"/>
    </row>
    <row r="132" spans="1:5" x14ac:dyDescent="0.25">
      <c r="A132"/>
      <c r="B132"/>
      <c r="C132"/>
      <c r="D132"/>
      <c r="E132"/>
    </row>
    <row r="133" spans="1:5" x14ac:dyDescent="0.25">
      <c r="A133"/>
      <c r="B133"/>
      <c r="C133"/>
      <c r="D133"/>
      <c r="E133"/>
    </row>
    <row r="134" spans="1:5" x14ac:dyDescent="0.25">
      <c r="A134"/>
      <c r="B134"/>
      <c r="C134"/>
      <c r="D134"/>
      <c r="E134"/>
    </row>
    <row r="135" spans="1:5" x14ac:dyDescent="0.25">
      <c r="A135"/>
      <c r="B135"/>
      <c r="C135"/>
      <c r="D135"/>
      <c r="E135"/>
    </row>
    <row r="136" spans="1:5" x14ac:dyDescent="0.25">
      <c r="A136"/>
      <c r="B136"/>
      <c r="C136"/>
      <c r="D136"/>
      <c r="E136"/>
    </row>
    <row r="137" spans="1:5" x14ac:dyDescent="0.25">
      <c r="A137"/>
      <c r="B137"/>
      <c r="C137"/>
      <c r="D137"/>
      <c r="E137"/>
    </row>
    <row r="138" spans="1:5" x14ac:dyDescent="0.25">
      <c r="A138"/>
      <c r="B138"/>
      <c r="C138"/>
      <c r="D138"/>
      <c r="E138"/>
    </row>
    <row r="139" spans="1:5" x14ac:dyDescent="0.25">
      <c r="A139"/>
      <c r="B139"/>
      <c r="C139"/>
      <c r="D139"/>
      <c r="E139"/>
    </row>
    <row r="140" spans="1:5" x14ac:dyDescent="0.25">
      <c r="A140"/>
      <c r="B140"/>
      <c r="C140"/>
      <c r="D140"/>
      <c r="E140"/>
    </row>
    <row r="141" spans="1:5" x14ac:dyDescent="0.25">
      <c r="A141"/>
      <c r="B141"/>
      <c r="C141"/>
      <c r="D141"/>
      <c r="E141"/>
    </row>
    <row r="142" spans="1:5" x14ac:dyDescent="0.25">
      <c r="A142"/>
      <c r="B142"/>
      <c r="C142"/>
      <c r="D142"/>
      <c r="E142"/>
    </row>
    <row r="143" spans="1:5" x14ac:dyDescent="0.25">
      <c r="A143"/>
      <c r="B143"/>
      <c r="C143"/>
      <c r="D143"/>
      <c r="E143"/>
    </row>
    <row r="144" spans="1:5" x14ac:dyDescent="0.25">
      <c r="A144"/>
      <c r="B144"/>
      <c r="C144"/>
      <c r="D144"/>
      <c r="E144"/>
    </row>
    <row r="145" spans="1:5" x14ac:dyDescent="0.25">
      <c r="A145"/>
      <c r="B145"/>
      <c r="C145"/>
      <c r="D145"/>
      <c r="E145"/>
    </row>
    <row r="146" spans="1:5" x14ac:dyDescent="0.25">
      <c r="A146"/>
      <c r="B146"/>
      <c r="C146"/>
      <c r="D146"/>
      <c r="E146"/>
    </row>
    <row r="147" spans="1:5" x14ac:dyDescent="0.25">
      <c r="A147"/>
      <c r="B147"/>
      <c r="C147"/>
      <c r="D147"/>
      <c r="E147"/>
    </row>
    <row r="148" spans="1:5" x14ac:dyDescent="0.25">
      <c r="A148"/>
      <c r="B148"/>
      <c r="C148"/>
      <c r="D148"/>
      <c r="E148"/>
    </row>
    <row r="149" spans="1:5" x14ac:dyDescent="0.25">
      <c r="A149"/>
      <c r="B149"/>
      <c r="C149"/>
      <c r="D149"/>
      <c r="E149"/>
    </row>
    <row r="150" spans="1:5" x14ac:dyDescent="0.25">
      <c r="A150"/>
      <c r="B150"/>
      <c r="C150"/>
      <c r="D150"/>
      <c r="E150"/>
    </row>
    <row r="151" spans="1:5" x14ac:dyDescent="0.25">
      <c r="A151"/>
      <c r="B151"/>
      <c r="C151"/>
      <c r="D151"/>
      <c r="E151"/>
    </row>
    <row r="152" spans="1:5" x14ac:dyDescent="0.25">
      <c r="A152"/>
      <c r="B152"/>
      <c r="C152"/>
      <c r="D152"/>
      <c r="E152"/>
    </row>
    <row r="153" spans="1:5" x14ac:dyDescent="0.25">
      <c r="A153"/>
      <c r="B153"/>
      <c r="C153"/>
      <c r="D153"/>
      <c r="E153"/>
    </row>
    <row r="154" spans="1:5" x14ac:dyDescent="0.25">
      <c r="A154"/>
      <c r="B154"/>
      <c r="C154"/>
      <c r="D154"/>
      <c r="E154"/>
    </row>
    <row r="155" spans="1:5" x14ac:dyDescent="0.25">
      <c r="A155"/>
      <c r="B155"/>
      <c r="C155"/>
      <c r="D155"/>
      <c r="E155"/>
    </row>
    <row r="156" spans="1:5" x14ac:dyDescent="0.25">
      <c r="A156"/>
      <c r="B156"/>
      <c r="C156"/>
      <c r="D156"/>
      <c r="E156"/>
    </row>
    <row r="157" spans="1:5" x14ac:dyDescent="0.25">
      <c r="A157"/>
      <c r="B157"/>
      <c r="C157"/>
      <c r="D157"/>
      <c r="E157"/>
    </row>
    <row r="158" spans="1:5" x14ac:dyDescent="0.25">
      <c r="A158"/>
      <c r="B158"/>
      <c r="C158"/>
      <c r="D158"/>
      <c r="E158"/>
    </row>
    <row r="159" spans="1:5" x14ac:dyDescent="0.25">
      <c r="A159"/>
      <c r="B159"/>
      <c r="C159"/>
      <c r="D159"/>
      <c r="E159"/>
    </row>
    <row r="160" spans="1:5" x14ac:dyDescent="0.25">
      <c r="A160"/>
      <c r="B160"/>
      <c r="C160"/>
      <c r="D160"/>
      <c r="E160"/>
    </row>
    <row r="161" spans="1:5" x14ac:dyDescent="0.25">
      <c r="A161"/>
      <c r="B161"/>
      <c r="C161"/>
      <c r="D161"/>
      <c r="E161"/>
    </row>
    <row r="162" spans="1:5" x14ac:dyDescent="0.25">
      <c r="A162"/>
      <c r="B162"/>
      <c r="C162"/>
      <c r="D162"/>
      <c r="E162"/>
    </row>
    <row r="163" spans="1:5" x14ac:dyDescent="0.25">
      <c r="A163"/>
      <c r="B163"/>
      <c r="C163"/>
      <c r="D163"/>
      <c r="E163"/>
    </row>
    <row r="164" spans="1:5" x14ac:dyDescent="0.25">
      <c r="A164"/>
      <c r="B164"/>
      <c r="C164"/>
      <c r="D164"/>
      <c r="E164"/>
    </row>
    <row r="165" spans="1:5" x14ac:dyDescent="0.25">
      <c r="A165"/>
      <c r="B165"/>
      <c r="C165"/>
      <c r="D165"/>
      <c r="E165"/>
    </row>
    <row r="166" spans="1:5" x14ac:dyDescent="0.25">
      <c r="A166"/>
      <c r="B166"/>
      <c r="C166"/>
      <c r="D166"/>
      <c r="E166"/>
    </row>
    <row r="167" spans="1:5" x14ac:dyDescent="0.25">
      <c r="A167"/>
      <c r="B167"/>
      <c r="C167"/>
      <c r="D167"/>
      <c r="E167"/>
    </row>
    <row r="168" spans="1:5" x14ac:dyDescent="0.25">
      <c r="A168"/>
      <c r="B168"/>
      <c r="C168"/>
      <c r="D168"/>
      <c r="E168"/>
    </row>
    <row r="169" spans="1:5" x14ac:dyDescent="0.25">
      <c r="A169"/>
      <c r="B169"/>
      <c r="C169"/>
      <c r="D169"/>
      <c r="E169"/>
    </row>
    <row r="170" spans="1:5" x14ac:dyDescent="0.25">
      <c r="A170"/>
      <c r="B170"/>
      <c r="C170"/>
      <c r="D170"/>
      <c r="E170"/>
    </row>
    <row r="171" spans="1:5" x14ac:dyDescent="0.25">
      <c r="A171"/>
      <c r="B171"/>
      <c r="C171"/>
      <c r="D171"/>
      <c r="E171"/>
    </row>
    <row r="172" spans="1:5" x14ac:dyDescent="0.25">
      <c r="A172"/>
      <c r="B172"/>
      <c r="C172"/>
      <c r="D172"/>
      <c r="E172"/>
    </row>
    <row r="173" spans="1:5" x14ac:dyDescent="0.25">
      <c r="A173"/>
      <c r="B173"/>
      <c r="C173"/>
      <c r="D173"/>
      <c r="E173"/>
    </row>
    <row r="174" spans="1:5" x14ac:dyDescent="0.25">
      <c r="A174"/>
      <c r="B174"/>
      <c r="C174"/>
      <c r="D174"/>
      <c r="E174"/>
    </row>
    <row r="175" spans="1:5" x14ac:dyDescent="0.25">
      <c r="A175"/>
      <c r="B175"/>
      <c r="C175"/>
      <c r="D175"/>
      <c r="E175"/>
    </row>
    <row r="176" spans="1:5" x14ac:dyDescent="0.25">
      <c r="A176"/>
      <c r="B176"/>
      <c r="C176"/>
      <c r="D176"/>
      <c r="E176"/>
    </row>
    <row r="177" spans="1:5" x14ac:dyDescent="0.25">
      <c r="A177"/>
      <c r="B177"/>
      <c r="C177"/>
      <c r="D177"/>
      <c r="E177"/>
    </row>
    <row r="178" spans="1:5" x14ac:dyDescent="0.25">
      <c r="A178"/>
      <c r="B178"/>
      <c r="C178"/>
      <c r="D178"/>
      <c r="E178"/>
    </row>
    <row r="179" spans="1:5" x14ac:dyDescent="0.25">
      <c r="A179"/>
      <c r="B179"/>
      <c r="C179"/>
      <c r="D179"/>
      <c r="E179"/>
    </row>
    <row r="180" spans="1:5" x14ac:dyDescent="0.25">
      <c r="A180"/>
      <c r="B180"/>
      <c r="C180"/>
      <c r="D180"/>
      <c r="E180"/>
    </row>
    <row r="181" spans="1:5" x14ac:dyDescent="0.25">
      <c r="A181"/>
      <c r="B181"/>
      <c r="C181"/>
      <c r="D181"/>
      <c r="E181"/>
    </row>
    <row r="182" spans="1:5" x14ac:dyDescent="0.25">
      <c r="A182"/>
      <c r="B182"/>
      <c r="C182"/>
      <c r="D182"/>
      <c r="E182"/>
    </row>
    <row r="183" spans="1:5" x14ac:dyDescent="0.25">
      <c r="A183"/>
      <c r="B183"/>
      <c r="C183"/>
      <c r="D183"/>
      <c r="E183"/>
    </row>
    <row r="184" spans="1:5" x14ac:dyDescent="0.25">
      <c r="A184"/>
      <c r="B184"/>
      <c r="C184"/>
      <c r="D184"/>
      <c r="E184"/>
    </row>
    <row r="185" spans="1:5" x14ac:dyDescent="0.25">
      <c r="A185"/>
      <c r="B185"/>
      <c r="C185"/>
      <c r="D185"/>
      <c r="E185"/>
    </row>
    <row r="186" spans="1:5" x14ac:dyDescent="0.25">
      <c r="A186"/>
      <c r="B186"/>
      <c r="C186"/>
      <c r="D186"/>
      <c r="E186"/>
    </row>
    <row r="187" spans="1:5" x14ac:dyDescent="0.25">
      <c r="A187"/>
      <c r="B187"/>
      <c r="C187"/>
      <c r="D187"/>
      <c r="E187"/>
    </row>
    <row r="188" spans="1:5" x14ac:dyDescent="0.25">
      <c r="A188"/>
      <c r="B188"/>
      <c r="C188"/>
      <c r="D188"/>
      <c r="E188"/>
    </row>
    <row r="189" spans="1:5" x14ac:dyDescent="0.25">
      <c r="A189"/>
      <c r="B189"/>
      <c r="C189"/>
      <c r="D189"/>
      <c r="E189"/>
    </row>
    <row r="190" spans="1:5" x14ac:dyDescent="0.25">
      <c r="A190"/>
      <c r="B190"/>
      <c r="C190"/>
      <c r="D190"/>
      <c r="E190"/>
    </row>
    <row r="191" spans="1:5" x14ac:dyDescent="0.25">
      <c r="A191"/>
      <c r="B191"/>
      <c r="C191"/>
      <c r="D191"/>
      <c r="E191"/>
    </row>
    <row r="192" spans="1:5" x14ac:dyDescent="0.25">
      <c r="A192"/>
      <c r="B192"/>
      <c r="C192"/>
      <c r="D192"/>
      <c r="E192"/>
    </row>
    <row r="193" spans="1:5" x14ac:dyDescent="0.25">
      <c r="A193"/>
      <c r="B193"/>
      <c r="C193"/>
      <c r="D193"/>
      <c r="E193"/>
    </row>
    <row r="194" spans="1:5" x14ac:dyDescent="0.25">
      <c r="A194"/>
      <c r="B194"/>
      <c r="C194"/>
      <c r="D194"/>
      <c r="E194"/>
    </row>
    <row r="195" spans="1:5" x14ac:dyDescent="0.25">
      <c r="A195"/>
      <c r="B195"/>
      <c r="C195"/>
      <c r="D195"/>
      <c r="E195"/>
    </row>
    <row r="196" spans="1:5" x14ac:dyDescent="0.25">
      <c r="A196"/>
      <c r="B196"/>
      <c r="C196"/>
      <c r="D196"/>
      <c r="E196"/>
    </row>
    <row r="197" spans="1:5" x14ac:dyDescent="0.25">
      <c r="A197"/>
      <c r="B197"/>
      <c r="C197"/>
      <c r="D197"/>
      <c r="E197"/>
    </row>
    <row r="198" spans="1:5" x14ac:dyDescent="0.25">
      <c r="A198"/>
      <c r="B198"/>
      <c r="C198"/>
      <c r="D198"/>
      <c r="E198"/>
    </row>
    <row r="199" spans="1:5" x14ac:dyDescent="0.25">
      <c r="A199"/>
      <c r="B199"/>
      <c r="C199"/>
      <c r="D199"/>
      <c r="E199"/>
    </row>
    <row r="200" spans="1:5" x14ac:dyDescent="0.25">
      <c r="A200"/>
      <c r="B200"/>
      <c r="C200"/>
      <c r="D200"/>
      <c r="E200"/>
    </row>
    <row r="201" spans="1:5" x14ac:dyDescent="0.25">
      <c r="A201"/>
      <c r="B201"/>
      <c r="C201"/>
      <c r="D201"/>
      <c r="E201"/>
    </row>
    <row r="202" spans="1:5" x14ac:dyDescent="0.25">
      <c r="A202"/>
      <c r="B202"/>
      <c r="C202"/>
      <c r="D202"/>
      <c r="E202"/>
    </row>
    <row r="203" spans="1:5" x14ac:dyDescent="0.25">
      <c r="A203"/>
      <c r="B203"/>
      <c r="C203"/>
      <c r="D203"/>
      <c r="E203"/>
    </row>
    <row r="204" spans="1:5" x14ac:dyDescent="0.25">
      <c r="A204"/>
      <c r="B204"/>
      <c r="C204"/>
      <c r="D204"/>
      <c r="E204"/>
    </row>
    <row r="205" spans="1:5" x14ac:dyDescent="0.25">
      <c r="A205"/>
      <c r="B205"/>
      <c r="C205"/>
      <c r="D205"/>
      <c r="E205"/>
    </row>
    <row r="206" spans="1:5" x14ac:dyDescent="0.25">
      <c r="A206"/>
      <c r="B206"/>
      <c r="C206"/>
      <c r="D206"/>
      <c r="E206"/>
    </row>
    <row r="207" spans="1:5" x14ac:dyDescent="0.25">
      <c r="A207"/>
      <c r="B207"/>
      <c r="C207"/>
      <c r="D207"/>
      <c r="E207"/>
    </row>
    <row r="208" spans="1:5" x14ac:dyDescent="0.25">
      <c r="A208"/>
      <c r="B208"/>
      <c r="C208"/>
      <c r="D208"/>
      <c r="E208"/>
    </row>
    <row r="209" spans="1:5" x14ac:dyDescent="0.25">
      <c r="A209"/>
      <c r="B209"/>
      <c r="C209"/>
      <c r="D209"/>
      <c r="E209"/>
    </row>
    <row r="210" spans="1:5" x14ac:dyDescent="0.25">
      <c r="A210"/>
      <c r="B210"/>
      <c r="C210"/>
      <c r="D210"/>
      <c r="E210"/>
    </row>
    <row r="211" spans="1:5" x14ac:dyDescent="0.25">
      <c r="A211"/>
      <c r="B211"/>
      <c r="C211"/>
      <c r="D211"/>
      <c r="E211"/>
    </row>
    <row r="212" spans="1:5" x14ac:dyDescent="0.25">
      <c r="A212"/>
      <c r="B212"/>
      <c r="C212"/>
      <c r="D212"/>
      <c r="E212"/>
    </row>
    <row r="213" spans="1:5" x14ac:dyDescent="0.25">
      <c r="A213"/>
      <c r="B213"/>
      <c r="C213"/>
      <c r="D213"/>
      <c r="E213"/>
    </row>
    <row r="214" spans="1:5" x14ac:dyDescent="0.25">
      <c r="A214"/>
      <c r="B214"/>
      <c r="C214"/>
      <c r="D214"/>
      <c r="E214"/>
    </row>
    <row r="215" spans="1:5" x14ac:dyDescent="0.25">
      <c r="A215"/>
      <c r="B215"/>
      <c r="C215"/>
      <c r="D215"/>
      <c r="E215"/>
    </row>
    <row r="216" spans="1:5" x14ac:dyDescent="0.25">
      <c r="A216"/>
      <c r="B216"/>
      <c r="C216"/>
      <c r="D216"/>
      <c r="E216"/>
    </row>
    <row r="217" spans="1:5" x14ac:dyDescent="0.25">
      <c r="A217"/>
      <c r="B217"/>
      <c r="C217"/>
      <c r="D217"/>
      <c r="E217"/>
    </row>
    <row r="218" spans="1:5" x14ac:dyDescent="0.25">
      <c r="A218"/>
      <c r="B218"/>
      <c r="C218"/>
      <c r="D218"/>
      <c r="E218"/>
    </row>
    <row r="219" spans="1:5" x14ac:dyDescent="0.25">
      <c r="A219"/>
      <c r="B219"/>
      <c r="C219"/>
      <c r="D219"/>
      <c r="E219"/>
    </row>
    <row r="220" spans="1:5" x14ac:dyDescent="0.25">
      <c r="A220"/>
      <c r="B220"/>
      <c r="C220"/>
      <c r="D220"/>
      <c r="E220"/>
    </row>
    <row r="221" spans="1:5" x14ac:dyDescent="0.25">
      <c r="A221"/>
      <c r="B221"/>
      <c r="C221"/>
      <c r="D221"/>
      <c r="E221"/>
    </row>
    <row r="222" spans="1:5" x14ac:dyDescent="0.25">
      <c r="A222"/>
      <c r="B222"/>
      <c r="C222"/>
      <c r="D222"/>
      <c r="E222"/>
    </row>
    <row r="223" spans="1:5" x14ac:dyDescent="0.25">
      <c r="A223"/>
      <c r="B223"/>
      <c r="C223"/>
      <c r="D223"/>
      <c r="E223"/>
    </row>
    <row r="224" spans="1:5" x14ac:dyDescent="0.25">
      <c r="A224"/>
      <c r="B224"/>
      <c r="C224"/>
      <c r="D224"/>
      <c r="E224"/>
    </row>
    <row r="225" spans="1:5" x14ac:dyDescent="0.25">
      <c r="A225"/>
      <c r="B225"/>
      <c r="C225"/>
      <c r="D225"/>
      <c r="E225"/>
    </row>
    <row r="226" spans="1:5" x14ac:dyDescent="0.25">
      <c r="A226"/>
      <c r="B226"/>
      <c r="C226"/>
      <c r="D226"/>
      <c r="E226"/>
    </row>
    <row r="227" spans="1:5" x14ac:dyDescent="0.25">
      <c r="A227"/>
      <c r="B227"/>
      <c r="C227"/>
      <c r="D227"/>
      <c r="E227"/>
    </row>
    <row r="228" spans="1:5" x14ac:dyDescent="0.25">
      <c r="A228"/>
      <c r="B228"/>
      <c r="C228"/>
      <c r="D228"/>
      <c r="E228"/>
    </row>
    <row r="229" spans="1:5" x14ac:dyDescent="0.25">
      <c r="A229"/>
      <c r="B229"/>
      <c r="C229"/>
      <c r="D229"/>
      <c r="E229"/>
    </row>
    <row r="230" spans="1:5" x14ac:dyDescent="0.25">
      <c r="A230"/>
      <c r="B230"/>
      <c r="C230"/>
      <c r="D230"/>
      <c r="E230"/>
    </row>
    <row r="231" spans="1:5" x14ac:dyDescent="0.25">
      <c r="A231"/>
      <c r="B231"/>
      <c r="C231"/>
      <c r="D231"/>
      <c r="E231"/>
    </row>
    <row r="232" spans="1:5" x14ac:dyDescent="0.25">
      <c r="A232"/>
      <c r="B232"/>
      <c r="C232"/>
      <c r="D232"/>
      <c r="E232"/>
    </row>
    <row r="233" spans="1:5" x14ac:dyDescent="0.25">
      <c r="A233"/>
      <c r="B233"/>
      <c r="C233"/>
      <c r="D233"/>
      <c r="E233"/>
    </row>
    <row r="234" spans="1:5" x14ac:dyDescent="0.25">
      <c r="A234"/>
      <c r="B234"/>
      <c r="C234"/>
      <c r="D234"/>
      <c r="E234"/>
    </row>
    <row r="235" spans="1:5" x14ac:dyDescent="0.25">
      <c r="A235"/>
      <c r="B235"/>
      <c r="C235"/>
      <c r="D235"/>
      <c r="E235"/>
    </row>
    <row r="236" spans="1:5" x14ac:dyDescent="0.25">
      <c r="A236"/>
      <c r="B236"/>
      <c r="C236"/>
      <c r="D236"/>
      <c r="E236"/>
    </row>
    <row r="237" spans="1:5" x14ac:dyDescent="0.25">
      <c r="A237"/>
      <c r="B237"/>
      <c r="C237"/>
      <c r="D237"/>
      <c r="E237"/>
    </row>
    <row r="238" spans="1:5" x14ac:dyDescent="0.25">
      <c r="A238"/>
      <c r="B238"/>
      <c r="C238"/>
      <c r="D238"/>
      <c r="E238"/>
    </row>
    <row r="239" spans="1:5" x14ac:dyDescent="0.25">
      <c r="A239"/>
      <c r="B239"/>
      <c r="C239"/>
      <c r="D239"/>
      <c r="E239"/>
    </row>
    <row r="240" spans="1:5" x14ac:dyDescent="0.25">
      <c r="A240"/>
      <c r="B240"/>
      <c r="C240"/>
      <c r="D240"/>
      <c r="E240"/>
    </row>
    <row r="241" spans="1:5" x14ac:dyDescent="0.25">
      <c r="A241"/>
      <c r="B241"/>
      <c r="C241"/>
      <c r="D241"/>
      <c r="E241"/>
    </row>
    <row r="242" spans="1:5" x14ac:dyDescent="0.25">
      <c r="A242"/>
      <c r="B242"/>
      <c r="C242"/>
      <c r="D242"/>
      <c r="E242"/>
    </row>
    <row r="243" spans="1:5" x14ac:dyDescent="0.25">
      <c r="A243"/>
      <c r="B243"/>
      <c r="C243"/>
      <c r="D243"/>
      <c r="E243"/>
    </row>
    <row r="244" spans="1:5" x14ac:dyDescent="0.25">
      <c r="A244"/>
      <c r="B244"/>
      <c r="C244"/>
      <c r="D244"/>
      <c r="E244"/>
    </row>
    <row r="245" spans="1:5" x14ac:dyDescent="0.25">
      <c r="A245"/>
      <c r="B245"/>
      <c r="C245"/>
      <c r="D245"/>
      <c r="E245"/>
    </row>
    <row r="246" spans="1:5" x14ac:dyDescent="0.25">
      <c r="A246"/>
      <c r="B246"/>
      <c r="C246"/>
      <c r="D246"/>
      <c r="E246"/>
    </row>
    <row r="247" spans="1:5" x14ac:dyDescent="0.25">
      <c r="A247"/>
      <c r="B247"/>
      <c r="C247"/>
      <c r="D247"/>
      <c r="E247"/>
    </row>
    <row r="248" spans="1:5" x14ac:dyDescent="0.25">
      <c r="A248"/>
      <c r="B248"/>
      <c r="C248"/>
      <c r="D248"/>
      <c r="E248"/>
    </row>
    <row r="249" spans="1:5" x14ac:dyDescent="0.25">
      <c r="A249"/>
      <c r="B249"/>
      <c r="C249"/>
      <c r="D249"/>
      <c r="E249"/>
    </row>
    <row r="250" spans="1:5" x14ac:dyDescent="0.25">
      <c r="A250"/>
      <c r="B250"/>
      <c r="C250"/>
      <c r="D250"/>
      <c r="E250"/>
    </row>
    <row r="251" spans="1:5" x14ac:dyDescent="0.25">
      <c r="A251"/>
      <c r="B251"/>
      <c r="C251"/>
      <c r="D251"/>
      <c r="E251"/>
    </row>
    <row r="252" spans="1:5" x14ac:dyDescent="0.25">
      <c r="A252"/>
      <c r="B252"/>
      <c r="C252"/>
      <c r="D252"/>
      <c r="E252"/>
    </row>
    <row r="253" spans="1:5" x14ac:dyDescent="0.25">
      <c r="A253"/>
      <c r="B253"/>
      <c r="C253"/>
      <c r="D253"/>
      <c r="E253"/>
    </row>
    <row r="254" spans="1:5" x14ac:dyDescent="0.25">
      <c r="A254"/>
      <c r="B254"/>
      <c r="C254"/>
      <c r="D254"/>
      <c r="E254"/>
    </row>
    <row r="255" spans="1:5" x14ac:dyDescent="0.25">
      <c r="A255"/>
      <c r="B255"/>
      <c r="C255"/>
      <c r="D255"/>
      <c r="E255"/>
    </row>
    <row r="256" spans="1:5" x14ac:dyDescent="0.25">
      <c r="A256"/>
      <c r="B256"/>
      <c r="C256"/>
      <c r="D256"/>
      <c r="E256"/>
    </row>
    <row r="257" spans="1:5" x14ac:dyDescent="0.25">
      <c r="A257"/>
      <c r="B257"/>
      <c r="C257"/>
      <c r="D257"/>
      <c r="E257"/>
    </row>
    <row r="258" spans="1:5" x14ac:dyDescent="0.25">
      <c r="A258"/>
      <c r="B258"/>
      <c r="C258"/>
      <c r="D258"/>
      <c r="E258"/>
    </row>
    <row r="259" spans="1:5" x14ac:dyDescent="0.25">
      <c r="A259"/>
      <c r="B259"/>
      <c r="C259"/>
      <c r="D259"/>
      <c r="E259"/>
    </row>
    <row r="260" spans="1:5" x14ac:dyDescent="0.25">
      <c r="A260"/>
      <c r="B260"/>
      <c r="C260"/>
      <c r="D260"/>
      <c r="E260"/>
    </row>
    <row r="261" spans="1:5" x14ac:dyDescent="0.25">
      <c r="A261"/>
      <c r="B261"/>
      <c r="C261"/>
      <c r="D261"/>
      <c r="E261"/>
    </row>
    <row r="262" spans="1:5" x14ac:dyDescent="0.25">
      <c r="A262"/>
      <c r="B262"/>
      <c r="C262"/>
      <c r="D262"/>
      <c r="E262"/>
    </row>
    <row r="263" spans="1:5" x14ac:dyDescent="0.25">
      <c r="A263"/>
      <c r="B263"/>
      <c r="C263"/>
      <c r="D263"/>
      <c r="E263"/>
    </row>
    <row r="264" spans="1:5" x14ac:dyDescent="0.25">
      <c r="A264"/>
      <c r="B264"/>
      <c r="C264"/>
      <c r="D264"/>
      <c r="E264"/>
    </row>
    <row r="265" spans="1:5" x14ac:dyDescent="0.25">
      <c r="A265"/>
      <c r="B265"/>
      <c r="C265"/>
      <c r="D265"/>
      <c r="E265"/>
    </row>
    <row r="266" spans="1:5" x14ac:dyDescent="0.25">
      <c r="A266"/>
      <c r="B266"/>
      <c r="C266"/>
      <c r="D266"/>
      <c r="E266"/>
    </row>
    <row r="267" spans="1:5" x14ac:dyDescent="0.25">
      <c r="A267"/>
      <c r="B267"/>
      <c r="C267"/>
      <c r="D267"/>
      <c r="E267"/>
    </row>
    <row r="268" spans="1:5" x14ac:dyDescent="0.25">
      <c r="A268"/>
      <c r="B268"/>
      <c r="C268"/>
      <c r="D268"/>
      <c r="E268"/>
    </row>
    <row r="269" spans="1:5" x14ac:dyDescent="0.25">
      <c r="A269"/>
      <c r="B269"/>
      <c r="C269"/>
      <c r="D269"/>
      <c r="E269"/>
    </row>
    <row r="270" spans="1:5" x14ac:dyDescent="0.25">
      <c r="A270"/>
      <c r="B270"/>
      <c r="C270"/>
      <c r="D270"/>
      <c r="E270"/>
    </row>
    <row r="271" spans="1:5" x14ac:dyDescent="0.25">
      <c r="A271"/>
      <c r="B271"/>
      <c r="C271"/>
      <c r="D271"/>
      <c r="E271"/>
    </row>
    <row r="272" spans="1:5" x14ac:dyDescent="0.25">
      <c r="A272"/>
      <c r="B272"/>
      <c r="C272"/>
      <c r="D272"/>
      <c r="E272"/>
    </row>
    <row r="273" spans="1:5" x14ac:dyDescent="0.25">
      <c r="A273"/>
      <c r="B273"/>
      <c r="C273"/>
      <c r="D273"/>
      <c r="E273"/>
    </row>
    <row r="274" spans="1:5" x14ac:dyDescent="0.25">
      <c r="A274"/>
      <c r="B274"/>
      <c r="C274"/>
      <c r="D274"/>
      <c r="E274"/>
    </row>
    <row r="275" spans="1:5" x14ac:dyDescent="0.25">
      <c r="A275"/>
      <c r="B275"/>
      <c r="C275"/>
      <c r="D275"/>
      <c r="E275"/>
    </row>
    <row r="276" spans="1:5" x14ac:dyDescent="0.25">
      <c r="A276"/>
      <c r="B276"/>
      <c r="C276"/>
      <c r="D276"/>
      <c r="E276"/>
    </row>
    <row r="277" spans="1:5" x14ac:dyDescent="0.25">
      <c r="A277"/>
      <c r="B277"/>
      <c r="C277"/>
      <c r="D277"/>
      <c r="E277"/>
    </row>
    <row r="278" spans="1:5" x14ac:dyDescent="0.25">
      <c r="A278"/>
      <c r="B278"/>
      <c r="C278"/>
      <c r="D278"/>
      <c r="E278"/>
    </row>
    <row r="279" spans="1:5" x14ac:dyDescent="0.25">
      <c r="A279"/>
      <c r="B279"/>
      <c r="C279"/>
      <c r="D279"/>
      <c r="E279"/>
    </row>
    <row r="280" spans="1:5" x14ac:dyDescent="0.25">
      <c r="A280"/>
      <c r="B280"/>
      <c r="C280"/>
      <c r="D280"/>
      <c r="E280"/>
    </row>
    <row r="281" spans="1:5" x14ac:dyDescent="0.25">
      <c r="A281"/>
      <c r="B281"/>
      <c r="C281"/>
      <c r="D281"/>
      <c r="E281"/>
    </row>
    <row r="282" spans="1:5" x14ac:dyDescent="0.25">
      <c r="A282"/>
      <c r="B282"/>
      <c r="C282"/>
      <c r="D282"/>
      <c r="E282"/>
    </row>
    <row r="283" spans="1:5" x14ac:dyDescent="0.25">
      <c r="A283"/>
      <c r="B283"/>
      <c r="C283"/>
      <c r="D283"/>
      <c r="E283"/>
    </row>
    <row r="284" spans="1:5" x14ac:dyDescent="0.25">
      <c r="A284"/>
      <c r="B284"/>
      <c r="C284"/>
      <c r="D284"/>
      <c r="E284"/>
    </row>
    <row r="285" spans="1:5" x14ac:dyDescent="0.25">
      <c r="A285"/>
      <c r="B285"/>
      <c r="C285"/>
      <c r="D285"/>
      <c r="E285"/>
    </row>
    <row r="286" spans="1:5" x14ac:dyDescent="0.25">
      <c r="A286"/>
      <c r="B286"/>
      <c r="C286"/>
      <c r="D286"/>
      <c r="E286"/>
    </row>
    <row r="287" spans="1:5" x14ac:dyDescent="0.25">
      <c r="A287"/>
      <c r="B287"/>
      <c r="C287"/>
      <c r="D287"/>
      <c r="E287"/>
    </row>
    <row r="288" spans="1:5" x14ac:dyDescent="0.25">
      <c r="A288"/>
      <c r="B288"/>
      <c r="C288"/>
      <c r="D288"/>
      <c r="E288"/>
    </row>
    <row r="289" spans="1:5" x14ac:dyDescent="0.25">
      <c r="A289"/>
      <c r="B289"/>
      <c r="C289"/>
      <c r="D289"/>
      <c r="E289"/>
    </row>
    <row r="290" spans="1:5" x14ac:dyDescent="0.25">
      <c r="A290"/>
      <c r="B290"/>
      <c r="C290"/>
      <c r="D290"/>
      <c r="E290"/>
    </row>
    <row r="291" spans="1:5" x14ac:dyDescent="0.25">
      <c r="A291"/>
      <c r="B291"/>
      <c r="C291"/>
      <c r="D291"/>
      <c r="E291"/>
    </row>
    <row r="292" spans="1:5" x14ac:dyDescent="0.25">
      <c r="A292"/>
      <c r="B292"/>
      <c r="C292"/>
      <c r="D292"/>
      <c r="E292"/>
    </row>
    <row r="293" spans="1:5" x14ac:dyDescent="0.25">
      <c r="A293"/>
      <c r="B293"/>
      <c r="C293"/>
      <c r="D293"/>
      <c r="E293"/>
    </row>
    <row r="294" spans="1:5" x14ac:dyDescent="0.25">
      <c r="A294"/>
      <c r="B294"/>
      <c r="C294"/>
      <c r="D294"/>
      <c r="E294"/>
    </row>
    <row r="295" spans="1:5" x14ac:dyDescent="0.25">
      <c r="A295"/>
      <c r="B295"/>
      <c r="C295"/>
      <c r="D295"/>
      <c r="E295"/>
    </row>
    <row r="296" spans="1:5" x14ac:dyDescent="0.25">
      <c r="A296"/>
      <c r="B296"/>
      <c r="C296"/>
      <c r="D296"/>
      <c r="E296"/>
    </row>
    <row r="297" spans="1:5" x14ac:dyDescent="0.25">
      <c r="A297"/>
      <c r="B297"/>
      <c r="C297"/>
      <c r="D297"/>
      <c r="E297"/>
    </row>
    <row r="298" spans="1:5" x14ac:dyDescent="0.25">
      <c r="A298"/>
      <c r="B298"/>
      <c r="C298"/>
      <c r="D298"/>
      <c r="E298"/>
    </row>
    <row r="299" spans="1:5" x14ac:dyDescent="0.25">
      <c r="A299"/>
      <c r="B299"/>
      <c r="C299"/>
      <c r="D299"/>
      <c r="E299"/>
    </row>
    <row r="300" spans="1:5" x14ac:dyDescent="0.25">
      <c r="A300"/>
      <c r="B300"/>
      <c r="C300"/>
      <c r="D300"/>
      <c r="E300"/>
    </row>
    <row r="301" spans="1:5" x14ac:dyDescent="0.25">
      <c r="A301"/>
      <c r="B301"/>
      <c r="C301"/>
      <c r="D301"/>
      <c r="E301"/>
    </row>
    <row r="302" spans="1:5" x14ac:dyDescent="0.25">
      <c r="A302"/>
      <c r="B302"/>
      <c r="C302"/>
      <c r="D302"/>
      <c r="E302"/>
    </row>
    <row r="303" spans="1:5" x14ac:dyDescent="0.25">
      <c r="A303"/>
      <c r="B303"/>
      <c r="C303"/>
      <c r="D303"/>
      <c r="E303"/>
    </row>
    <row r="304" spans="1:5" x14ac:dyDescent="0.25">
      <c r="A304"/>
      <c r="B304"/>
      <c r="C304"/>
      <c r="D304"/>
      <c r="E304"/>
    </row>
    <row r="305" spans="1:5" x14ac:dyDescent="0.25">
      <c r="A305"/>
      <c r="B305"/>
      <c r="C305"/>
      <c r="D305"/>
      <c r="E305"/>
    </row>
    <row r="306" spans="1:5" x14ac:dyDescent="0.25">
      <c r="A306"/>
      <c r="B306"/>
      <c r="C306"/>
      <c r="D306"/>
      <c r="E306"/>
    </row>
    <row r="307" spans="1:5" x14ac:dyDescent="0.25">
      <c r="A307"/>
      <c r="B307"/>
      <c r="C307"/>
      <c r="D307"/>
      <c r="E307"/>
    </row>
    <row r="308" spans="1:5" x14ac:dyDescent="0.25">
      <c r="A308"/>
      <c r="B308"/>
      <c r="C308"/>
      <c r="D308"/>
      <c r="E308"/>
    </row>
    <row r="309" spans="1:5" x14ac:dyDescent="0.25">
      <c r="A309"/>
      <c r="B309"/>
      <c r="C309"/>
      <c r="D309"/>
      <c r="E309"/>
    </row>
    <row r="310" spans="1:5" x14ac:dyDescent="0.25">
      <c r="A310"/>
      <c r="B310"/>
      <c r="C310"/>
      <c r="D310"/>
      <c r="E310"/>
    </row>
    <row r="311" spans="1:5" x14ac:dyDescent="0.25">
      <c r="A311"/>
      <c r="B311"/>
      <c r="C311"/>
      <c r="D311"/>
      <c r="E311"/>
    </row>
    <row r="312" spans="1:5" x14ac:dyDescent="0.25">
      <c r="A312"/>
      <c r="B312"/>
      <c r="C312"/>
      <c r="D312"/>
      <c r="E312"/>
    </row>
    <row r="313" spans="1:5" x14ac:dyDescent="0.25">
      <c r="A313"/>
      <c r="B313"/>
      <c r="C313"/>
      <c r="D313"/>
      <c r="E313"/>
    </row>
    <row r="314" spans="1:5" x14ac:dyDescent="0.25">
      <c r="A314"/>
      <c r="B314"/>
      <c r="C314"/>
      <c r="D314"/>
      <c r="E314"/>
    </row>
    <row r="315" spans="1:5" x14ac:dyDescent="0.25">
      <c r="A315"/>
      <c r="B315"/>
      <c r="C315"/>
      <c r="D315"/>
      <c r="E315"/>
    </row>
    <row r="316" spans="1:5" x14ac:dyDescent="0.25">
      <c r="A316"/>
      <c r="B316"/>
      <c r="C316"/>
      <c r="D316"/>
      <c r="E316"/>
    </row>
    <row r="317" spans="1:5" x14ac:dyDescent="0.25">
      <c r="A317"/>
      <c r="B317"/>
      <c r="C317"/>
      <c r="D317"/>
      <c r="E317"/>
    </row>
    <row r="318" spans="1:5" x14ac:dyDescent="0.25">
      <c r="A318"/>
      <c r="B318"/>
      <c r="C318"/>
      <c r="D318"/>
      <c r="E318"/>
    </row>
    <row r="319" spans="1:5" x14ac:dyDescent="0.25">
      <c r="A319"/>
      <c r="B319"/>
      <c r="C319"/>
      <c r="D319"/>
      <c r="E319"/>
    </row>
    <row r="320" spans="1:5" x14ac:dyDescent="0.25">
      <c r="A320"/>
      <c r="B320"/>
      <c r="C320"/>
      <c r="D320"/>
      <c r="E320"/>
    </row>
    <row r="321" spans="1:5" x14ac:dyDescent="0.25">
      <c r="A321"/>
      <c r="B321"/>
      <c r="C321"/>
      <c r="D321"/>
      <c r="E321"/>
    </row>
    <row r="322" spans="1:5" x14ac:dyDescent="0.25">
      <c r="A322"/>
      <c r="B322"/>
      <c r="C322"/>
      <c r="D322"/>
      <c r="E322"/>
    </row>
    <row r="323" spans="1:5" x14ac:dyDescent="0.25">
      <c r="A323"/>
      <c r="B323"/>
      <c r="C323"/>
      <c r="D323"/>
      <c r="E323"/>
    </row>
    <row r="324" spans="1:5" x14ac:dyDescent="0.25">
      <c r="A324"/>
      <c r="B324"/>
      <c r="C324"/>
      <c r="D324"/>
      <c r="E324"/>
    </row>
    <row r="325" spans="1:5" x14ac:dyDescent="0.25">
      <c r="A325"/>
      <c r="B325"/>
      <c r="C325"/>
      <c r="D325"/>
      <c r="E325"/>
    </row>
    <row r="326" spans="1:5" x14ac:dyDescent="0.25">
      <c r="A326"/>
      <c r="B326"/>
      <c r="C326"/>
      <c r="D326"/>
      <c r="E326"/>
    </row>
    <row r="327" spans="1:5" x14ac:dyDescent="0.25">
      <c r="A327"/>
      <c r="B327"/>
      <c r="C327"/>
      <c r="D327"/>
      <c r="E327"/>
    </row>
    <row r="328" spans="1:5" x14ac:dyDescent="0.25">
      <c r="A328"/>
      <c r="B328"/>
      <c r="C328"/>
      <c r="D328"/>
      <c r="E328"/>
    </row>
    <row r="329" spans="1:5" x14ac:dyDescent="0.25">
      <c r="A329"/>
      <c r="B329"/>
      <c r="C329"/>
      <c r="D329"/>
      <c r="E329"/>
    </row>
    <row r="330" spans="1:5" x14ac:dyDescent="0.25">
      <c r="A330"/>
      <c r="B330"/>
      <c r="C330"/>
      <c r="D330"/>
      <c r="E330"/>
    </row>
    <row r="331" spans="1:5" x14ac:dyDescent="0.25">
      <c r="A331"/>
      <c r="B331"/>
      <c r="C331"/>
      <c r="D331"/>
      <c r="E331"/>
    </row>
    <row r="332" spans="1:5" x14ac:dyDescent="0.25">
      <c r="A332"/>
      <c r="B332"/>
      <c r="C332"/>
      <c r="D332"/>
      <c r="E332"/>
    </row>
    <row r="333" spans="1:5" x14ac:dyDescent="0.25">
      <c r="A333"/>
      <c r="B333"/>
      <c r="C333"/>
      <c r="D333"/>
      <c r="E333"/>
    </row>
    <row r="334" spans="1:5" x14ac:dyDescent="0.25">
      <c r="A334"/>
      <c r="B334"/>
      <c r="C334"/>
      <c r="D334"/>
      <c r="E334"/>
    </row>
    <row r="335" spans="1:5" x14ac:dyDescent="0.25">
      <c r="A335"/>
      <c r="B335"/>
      <c r="C335"/>
      <c r="D335"/>
      <c r="E335"/>
    </row>
    <row r="336" spans="1:5" x14ac:dyDescent="0.25">
      <c r="A336"/>
      <c r="B336"/>
      <c r="C336"/>
      <c r="D336"/>
      <c r="E336"/>
    </row>
    <row r="337" spans="1:5" x14ac:dyDescent="0.25">
      <c r="A337"/>
      <c r="B337"/>
      <c r="C337"/>
      <c r="D337"/>
      <c r="E337"/>
    </row>
    <row r="338" spans="1:5" x14ac:dyDescent="0.25">
      <c r="A338"/>
      <c r="B338"/>
      <c r="C338"/>
      <c r="D338"/>
      <c r="E338"/>
    </row>
    <row r="339" spans="1:5" x14ac:dyDescent="0.25">
      <c r="A339"/>
      <c r="B339"/>
      <c r="C339"/>
      <c r="D339"/>
      <c r="E339"/>
    </row>
    <row r="340" spans="1:5" x14ac:dyDescent="0.25">
      <c r="A340"/>
      <c r="B340"/>
      <c r="C340"/>
      <c r="D340"/>
      <c r="E340"/>
    </row>
    <row r="341" spans="1:5" x14ac:dyDescent="0.25">
      <c r="A341"/>
      <c r="B341"/>
      <c r="C341"/>
      <c r="D341"/>
      <c r="E341"/>
    </row>
    <row r="342" spans="1:5" x14ac:dyDescent="0.25">
      <c r="A342"/>
      <c r="B342"/>
      <c r="C342"/>
      <c r="D342"/>
      <c r="E342"/>
    </row>
    <row r="343" spans="1:5" x14ac:dyDescent="0.25">
      <c r="A343"/>
      <c r="B343"/>
      <c r="C343"/>
      <c r="D343"/>
      <c r="E343"/>
    </row>
    <row r="344" spans="1:5" x14ac:dyDescent="0.25">
      <c r="A344"/>
      <c r="B344"/>
      <c r="C344"/>
      <c r="D344"/>
      <c r="E344"/>
    </row>
    <row r="345" spans="1:5" x14ac:dyDescent="0.25">
      <c r="A345"/>
      <c r="B345"/>
      <c r="C345"/>
      <c r="D345"/>
      <c r="E345"/>
    </row>
    <row r="346" spans="1:5" x14ac:dyDescent="0.25">
      <c r="A346"/>
      <c r="B346"/>
      <c r="C346"/>
      <c r="D346"/>
      <c r="E346"/>
    </row>
    <row r="347" spans="1:5" x14ac:dyDescent="0.25">
      <c r="A347"/>
      <c r="B347"/>
      <c r="C347"/>
      <c r="D347"/>
      <c r="E347"/>
    </row>
    <row r="348" spans="1:5" x14ac:dyDescent="0.25">
      <c r="A348"/>
      <c r="B348"/>
      <c r="C348"/>
      <c r="D348"/>
      <c r="E348"/>
    </row>
    <row r="349" spans="1:5" x14ac:dyDescent="0.25">
      <c r="A349"/>
      <c r="B349"/>
      <c r="C349"/>
      <c r="D349"/>
      <c r="E349"/>
    </row>
    <row r="350" spans="1:5" x14ac:dyDescent="0.25">
      <c r="A350"/>
      <c r="B350"/>
      <c r="C350"/>
      <c r="D350"/>
      <c r="E350"/>
    </row>
    <row r="351" spans="1:5" x14ac:dyDescent="0.25">
      <c r="A351"/>
      <c r="B351"/>
      <c r="C351"/>
      <c r="D351"/>
      <c r="E351"/>
    </row>
    <row r="352" spans="1:5" x14ac:dyDescent="0.25">
      <c r="A352"/>
      <c r="B352"/>
      <c r="C352"/>
      <c r="D352"/>
      <c r="E352"/>
    </row>
    <row r="353" spans="1:5" x14ac:dyDescent="0.25">
      <c r="A353"/>
      <c r="B353"/>
      <c r="C353"/>
      <c r="D353"/>
      <c r="E353"/>
    </row>
    <row r="354" spans="1:5" x14ac:dyDescent="0.25">
      <c r="A354"/>
      <c r="B354"/>
      <c r="C354"/>
      <c r="D354"/>
      <c r="E354"/>
    </row>
    <row r="355" spans="1:5" x14ac:dyDescent="0.25">
      <c r="A355"/>
      <c r="B355"/>
      <c r="C355"/>
      <c r="D355"/>
      <c r="E355"/>
    </row>
    <row r="356" spans="1:5" x14ac:dyDescent="0.25">
      <c r="A356"/>
      <c r="B356"/>
      <c r="C356"/>
      <c r="D356"/>
      <c r="E356"/>
    </row>
    <row r="357" spans="1:5" x14ac:dyDescent="0.25">
      <c r="A357"/>
      <c r="B357"/>
      <c r="C357"/>
      <c r="D357"/>
      <c r="E357"/>
    </row>
    <row r="358" spans="1:5" x14ac:dyDescent="0.25">
      <c r="A358"/>
      <c r="B358"/>
      <c r="C358"/>
      <c r="D358"/>
      <c r="E358"/>
    </row>
    <row r="359" spans="1:5" x14ac:dyDescent="0.25">
      <c r="A359"/>
      <c r="B359"/>
      <c r="C359"/>
      <c r="D359"/>
      <c r="E359"/>
    </row>
    <row r="360" spans="1:5" x14ac:dyDescent="0.25">
      <c r="A360"/>
      <c r="B360"/>
      <c r="C360"/>
      <c r="D360"/>
      <c r="E360"/>
    </row>
    <row r="361" spans="1:5" x14ac:dyDescent="0.25">
      <c r="A361"/>
      <c r="B361"/>
      <c r="C361"/>
      <c r="D361"/>
      <c r="E361"/>
    </row>
    <row r="362" spans="1:5" x14ac:dyDescent="0.25">
      <c r="A362"/>
      <c r="B362"/>
      <c r="C362"/>
      <c r="D362"/>
      <c r="E362"/>
    </row>
    <row r="363" spans="1:5" x14ac:dyDescent="0.25">
      <c r="A363"/>
      <c r="B363"/>
      <c r="C363"/>
      <c r="D363"/>
      <c r="E363"/>
    </row>
    <row r="364" spans="1:5" x14ac:dyDescent="0.25">
      <c r="A364"/>
      <c r="B364"/>
      <c r="C364"/>
      <c r="D364"/>
      <c r="E364"/>
    </row>
    <row r="365" spans="1:5" x14ac:dyDescent="0.25">
      <c r="A365"/>
      <c r="B365"/>
      <c r="C365"/>
      <c r="D365"/>
      <c r="E365"/>
    </row>
    <row r="366" spans="1:5" x14ac:dyDescent="0.25">
      <c r="A366"/>
      <c r="B366"/>
      <c r="C366"/>
      <c r="D366"/>
      <c r="E366"/>
    </row>
    <row r="367" spans="1:5" x14ac:dyDescent="0.25">
      <c r="A367"/>
      <c r="B367"/>
      <c r="C367"/>
      <c r="D367"/>
      <c r="E367"/>
    </row>
    <row r="368" spans="1:5" x14ac:dyDescent="0.25">
      <c r="A368"/>
      <c r="B368"/>
      <c r="C368"/>
      <c r="D368"/>
      <c r="E368"/>
    </row>
    <row r="369" spans="1:5" x14ac:dyDescent="0.25">
      <c r="A369"/>
      <c r="B369"/>
      <c r="C369"/>
      <c r="D369"/>
      <c r="E369"/>
    </row>
    <row r="370" spans="1:5" x14ac:dyDescent="0.25">
      <c r="A370"/>
      <c r="B370"/>
      <c r="C370"/>
      <c r="D370"/>
      <c r="E370"/>
    </row>
    <row r="371" spans="1:5" x14ac:dyDescent="0.25">
      <c r="A371"/>
      <c r="B371"/>
      <c r="C371"/>
      <c r="D371"/>
      <c r="E371"/>
    </row>
    <row r="372" spans="1:5" x14ac:dyDescent="0.25">
      <c r="A372"/>
      <c r="B372"/>
      <c r="C372"/>
      <c r="D372"/>
      <c r="E372"/>
    </row>
    <row r="373" spans="1:5" x14ac:dyDescent="0.25">
      <c r="A373"/>
      <c r="B373"/>
      <c r="C373"/>
      <c r="D373"/>
      <c r="E373"/>
    </row>
    <row r="374" spans="1:5" x14ac:dyDescent="0.25">
      <c r="A374"/>
      <c r="B374"/>
      <c r="C374"/>
      <c r="D374"/>
      <c r="E374"/>
    </row>
    <row r="375" spans="1:5" x14ac:dyDescent="0.25">
      <c r="A375"/>
      <c r="B375"/>
      <c r="C375"/>
      <c r="D375"/>
      <c r="E375"/>
    </row>
    <row r="376" spans="1:5" x14ac:dyDescent="0.25">
      <c r="A376"/>
      <c r="B376"/>
      <c r="C376"/>
      <c r="D376"/>
      <c r="E376"/>
    </row>
    <row r="377" spans="1:5" x14ac:dyDescent="0.25">
      <c r="A377"/>
      <c r="B377"/>
      <c r="C377"/>
      <c r="D377"/>
      <c r="E377"/>
    </row>
    <row r="378" spans="1:5" x14ac:dyDescent="0.25">
      <c r="A378"/>
      <c r="B378"/>
      <c r="C378"/>
      <c r="D378"/>
      <c r="E378"/>
    </row>
    <row r="379" spans="1:5" x14ac:dyDescent="0.25">
      <c r="A379"/>
      <c r="B379"/>
      <c r="C379"/>
      <c r="D379"/>
      <c r="E379"/>
    </row>
    <row r="380" spans="1:5" x14ac:dyDescent="0.25">
      <c r="A380"/>
      <c r="B380"/>
      <c r="C380"/>
      <c r="D380"/>
      <c r="E380"/>
    </row>
    <row r="381" spans="1:5" x14ac:dyDescent="0.25">
      <c r="A381"/>
      <c r="B381"/>
      <c r="C381"/>
      <c r="D381"/>
      <c r="E381"/>
    </row>
    <row r="382" spans="1:5" x14ac:dyDescent="0.25">
      <c r="A382"/>
      <c r="B382"/>
      <c r="C382"/>
      <c r="D382"/>
      <c r="E382"/>
    </row>
    <row r="383" spans="1:5" x14ac:dyDescent="0.25">
      <c r="A383"/>
      <c r="B383"/>
      <c r="C383"/>
      <c r="D383"/>
      <c r="E383"/>
    </row>
    <row r="384" spans="1:5" x14ac:dyDescent="0.25">
      <c r="A384"/>
      <c r="B384"/>
      <c r="C384"/>
      <c r="D384"/>
      <c r="E384"/>
    </row>
    <row r="385" spans="1:5" x14ac:dyDescent="0.25">
      <c r="A385"/>
      <c r="B385"/>
      <c r="C385"/>
      <c r="D385"/>
      <c r="E385"/>
    </row>
    <row r="386" spans="1:5" x14ac:dyDescent="0.25">
      <c r="A386"/>
      <c r="B386"/>
      <c r="C386"/>
      <c r="D386"/>
      <c r="E386"/>
    </row>
    <row r="387" spans="1:5" x14ac:dyDescent="0.25">
      <c r="A387"/>
      <c r="B387"/>
      <c r="C387"/>
      <c r="D387"/>
      <c r="E387"/>
    </row>
    <row r="388" spans="1:5" x14ac:dyDescent="0.25">
      <c r="A388"/>
      <c r="B388"/>
      <c r="C388"/>
      <c r="D388"/>
      <c r="E388"/>
    </row>
    <row r="389" spans="1:5" x14ac:dyDescent="0.25">
      <c r="A389"/>
      <c r="B389"/>
      <c r="C389"/>
      <c r="D389"/>
      <c r="E389"/>
    </row>
    <row r="390" spans="1:5" x14ac:dyDescent="0.25">
      <c r="A390"/>
      <c r="B390"/>
      <c r="C390"/>
      <c r="D390"/>
      <c r="E390"/>
    </row>
    <row r="391" spans="1:5" x14ac:dyDescent="0.25">
      <c r="A391"/>
      <c r="B391"/>
      <c r="C391"/>
      <c r="D391"/>
      <c r="E391"/>
    </row>
    <row r="392" spans="1:5" x14ac:dyDescent="0.25">
      <c r="A392"/>
      <c r="B392"/>
      <c r="C392"/>
      <c r="D392"/>
      <c r="E392"/>
    </row>
    <row r="393" spans="1:5" x14ac:dyDescent="0.25">
      <c r="A393"/>
      <c r="B393"/>
      <c r="C393"/>
      <c r="D393"/>
      <c r="E393"/>
    </row>
    <row r="394" spans="1:5" x14ac:dyDescent="0.25">
      <c r="A394"/>
      <c r="B394"/>
      <c r="C394"/>
      <c r="D394"/>
      <c r="E394"/>
    </row>
    <row r="395" spans="1:5" x14ac:dyDescent="0.25">
      <c r="A395"/>
      <c r="B395"/>
      <c r="C395"/>
      <c r="D395"/>
      <c r="E395"/>
    </row>
    <row r="396" spans="1:5" x14ac:dyDescent="0.25">
      <c r="A396"/>
      <c r="B396"/>
      <c r="C396"/>
      <c r="D396"/>
      <c r="E396"/>
    </row>
    <row r="397" spans="1:5" x14ac:dyDescent="0.25">
      <c r="A397"/>
      <c r="B397"/>
      <c r="C397"/>
      <c r="D397"/>
      <c r="E397"/>
    </row>
    <row r="398" spans="1:5" x14ac:dyDescent="0.25">
      <c r="A398"/>
      <c r="B398"/>
      <c r="C398"/>
      <c r="D398"/>
      <c r="E398"/>
    </row>
    <row r="399" spans="1:5" x14ac:dyDescent="0.25">
      <c r="A399"/>
      <c r="B399"/>
      <c r="C399"/>
      <c r="D399"/>
      <c r="E399"/>
    </row>
    <row r="400" spans="1:5" x14ac:dyDescent="0.25">
      <c r="A400"/>
      <c r="B400"/>
      <c r="C400"/>
      <c r="D400"/>
      <c r="E400"/>
    </row>
    <row r="401" spans="1:5" x14ac:dyDescent="0.25">
      <c r="A401"/>
      <c r="B401"/>
      <c r="C401"/>
      <c r="D401"/>
      <c r="E401"/>
    </row>
    <row r="402" spans="1:5" x14ac:dyDescent="0.25">
      <c r="A402"/>
      <c r="B402"/>
      <c r="C402"/>
      <c r="D402"/>
      <c r="E402"/>
    </row>
    <row r="403" spans="1:5" x14ac:dyDescent="0.25">
      <c r="A403"/>
      <c r="B403"/>
      <c r="C403"/>
      <c r="D403"/>
      <c r="E403"/>
    </row>
    <row r="404" spans="1:5" x14ac:dyDescent="0.25">
      <c r="A404"/>
      <c r="B404"/>
      <c r="C404"/>
      <c r="D404"/>
      <c r="E404"/>
    </row>
    <row r="405" spans="1:5" x14ac:dyDescent="0.25">
      <c r="A405"/>
      <c r="B405"/>
      <c r="C405"/>
      <c r="D405"/>
      <c r="E405"/>
    </row>
    <row r="406" spans="1:5" x14ac:dyDescent="0.25">
      <c r="A406"/>
      <c r="B406"/>
      <c r="C406"/>
      <c r="D406"/>
      <c r="E406"/>
    </row>
    <row r="407" spans="1:5" x14ac:dyDescent="0.25">
      <c r="A407"/>
      <c r="B407"/>
      <c r="C407"/>
      <c r="D407"/>
      <c r="E407"/>
    </row>
    <row r="408" spans="1:5" x14ac:dyDescent="0.25">
      <c r="A408"/>
      <c r="B408"/>
      <c r="C408"/>
      <c r="D408"/>
      <c r="E408"/>
    </row>
    <row r="409" spans="1:5" x14ac:dyDescent="0.25">
      <c r="A409"/>
      <c r="B409"/>
      <c r="C409"/>
      <c r="D409"/>
      <c r="E409"/>
    </row>
    <row r="410" spans="1:5" x14ac:dyDescent="0.25">
      <c r="A410"/>
      <c r="B410"/>
      <c r="C410"/>
      <c r="D410"/>
      <c r="E410"/>
    </row>
    <row r="411" spans="1:5" x14ac:dyDescent="0.25">
      <c r="A411"/>
      <c r="B411"/>
      <c r="C411"/>
      <c r="D411"/>
      <c r="E411"/>
    </row>
    <row r="412" spans="1:5" x14ac:dyDescent="0.25">
      <c r="A412"/>
      <c r="B412"/>
      <c r="C412"/>
      <c r="D412"/>
      <c r="E412"/>
    </row>
    <row r="413" spans="1:5" x14ac:dyDescent="0.25">
      <c r="A413"/>
      <c r="B413"/>
      <c r="C413"/>
      <c r="D413"/>
      <c r="E413"/>
    </row>
    <row r="414" spans="1:5" x14ac:dyDescent="0.25">
      <c r="A414"/>
      <c r="B414"/>
      <c r="C414"/>
      <c r="D414"/>
      <c r="E414"/>
    </row>
    <row r="415" spans="1:5" x14ac:dyDescent="0.25">
      <c r="A415"/>
      <c r="B415"/>
      <c r="C415"/>
      <c r="D415"/>
      <c r="E415"/>
    </row>
    <row r="416" spans="1:5" x14ac:dyDescent="0.25">
      <c r="A416"/>
      <c r="B416"/>
      <c r="C416"/>
      <c r="D416"/>
      <c r="E416"/>
    </row>
    <row r="417" spans="1:5" x14ac:dyDescent="0.25">
      <c r="A417"/>
      <c r="B417"/>
      <c r="C417"/>
      <c r="D417"/>
      <c r="E417"/>
    </row>
    <row r="418" spans="1:5" x14ac:dyDescent="0.25">
      <c r="A418"/>
      <c r="B418"/>
      <c r="C418"/>
      <c r="D418"/>
      <c r="E418"/>
    </row>
    <row r="419" spans="1:5" x14ac:dyDescent="0.25">
      <c r="A419"/>
      <c r="B419"/>
      <c r="C419"/>
      <c r="D419"/>
      <c r="E419"/>
    </row>
    <row r="420" spans="1:5" x14ac:dyDescent="0.25">
      <c r="A420"/>
      <c r="B420"/>
      <c r="C420"/>
      <c r="D420"/>
      <c r="E420"/>
    </row>
    <row r="421" spans="1:5" x14ac:dyDescent="0.25">
      <c r="A421"/>
      <c r="B421"/>
      <c r="C421"/>
      <c r="D421"/>
      <c r="E421"/>
    </row>
    <row r="422" spans="1:5" x14ac:dyDescent="0.25">
      <c r="A422"/>
      <c r="B422"/>
      <c r="C422"/>
      <c r="D422"/>
      <c r="E422"/>
    </row>
    <row r="423" spans="1:5" x14ac:dyDescent="0.25">
      <c r="A423"/>
      <c r="B423"/>
      <c r="C423"/>
      <c r="D423"/>
      <c r="E423"/>
    </row>
    <row r="424" spans="1:5" x14ac:dyDescent="0.25">
      <c r="A424"/>
      <c r="B424"/>
      <c r="C424"/>
      <c r="D424"/>
      <c r="E424"/>
    </row>
    <row r="425" spans="1:5" x14ac:dyDescent="0.25">
      <c r="A425"/>
      <c r="B425"/>
      <c r="C425"/>
      <c r="D425"/>
      <c r="E425"/>
    </row>
    <row r="426" spans="1:5" x14ac:dyDescent="0.25">
      <c r="A426"/>
      <c r="B426"/>
      <c r="C426"/>
      <c r="D426"/>
      <c r="E426"/>
    </row>
    <row r="427" spans="1:5" x14ac:dyDescent="0.25">
      <c r="A427"/>
      <c r="B427"/>
      <c r="C427"/>
      <c r="D427"/>
      <c r="E427"/>
    </row>
    <row r="428" spans="1:5" x14ac:dyDescent="0.25">
      <c r="A428"/>
      <c r="B428"/>
      <c r="C428"/>
      <c r="D428"/>
      <c r="E428"/>
    </row>
    <row r="429" spans="1:5" x14ac:dyDescent="0.25">
      <c r="A429"/>
      <c r="B429"/>
      <c r="C429"/>
      <c r="D429"/>
      <c r="E429"/>
    </row>
    <row r="430" spans="1:5" x14ac:dyDescent="0.25">
      <c r="A430"/>
      <c r="B430"/>
      <c r="C430"/>
      <c r="D430"/>
      <c r="E430"/>
    </row>
    <row r="431" spans="1:5" x14ac:dyDescent="0.25">
      <c r="A431"/>
      <c r="B431"/>
      <c r="C431"/>
      <c r="D431"/>
      <c r="E431"/>
    </row>
    <row r="432" spans="1:5" x14ac:dyDescent="0.25">
      <c r="A432"/>
      <c r="B432"/>
      <c r="C432"/>
      <c r="D432"/>
      <c r="E432"/>
    </row>
    <row r="433" spans="1:5" x14ac:dyDescent="0.25">
      <c r="A433"/>
      <c r="B433"/>
      <c r="C433"/>
      <c r="D433"/>
      <c r="E433"/>
    </row>
    <row r="434" spans="1:5" x14ac:dyDescent="0.25">
      <c r="A434"/>
      <c r="B434"/>
      <c r="C434"/>
      <c r="D434"/>
      <c r="E434"/>
    </row>
    <row r="435" spans="1:5" x14ac:dyDescent="0.25">
      <c r="A435"/>
      <c r="B435"/>
      <c r="C435"/>
      <c r="D435"/>
      <c r="E435"/>
    </row>
    <row r="436" spans="1:5" x14ac:dyDescent="0.25">
      <c r="A436"/>
      <c r="B436"/>
      <c r="C436"/>
      <c r="D436"/>
      <c r="E436"/>
    </row>
    <row r="437" spans="1:5" x14ac:dyDescent="0.25">
      <c r="A437"/>
      <c r="B437"/>
      <c r="C437"/>
      <c r="D437"/>
      <c r="E437"/>
    </row>
    <row r="438" spans="1:5" x14ac:dyDescent="0.25">
      <c r="A438"/>
      <c r="B438"/>
      <c r="C438"/>
      <c r="D438"/>
      <c r="E438"/>
    </row>
    <row r="439" spans="1:5" x14ac:dyDescent="0.25">
      <c r="A439"/>
      <c r="B439"/>
      <c r="C439"/>
      <c r="D439"/>
      <c r="E439"/>
    </row>
    <row r="440" spans="1:5" x14ac:dyDescent="0.25">
      <c r="A440"/>
      <c r="B440"/>
      <c r="C440"/>
      <c r="D440"/>
      <c r="E440"/>
    </row>
    <row r="441" spans="1:5" x14ac:dyDescent="0.25">
      <c r="A441"/>
      <c r="B441"/>
      <c r="C441"/>
      <c r="D441"/>
      <c r="E441"/>
    </row>
    <row r="442" spans="1:5" x14ac:dyDescent="0.25">
      <c r="A442"/>
      <c r="B442"/>
      <c r="C442"/>
      <c r="D442"/>
      <c r="E442"/>
    </row>
    <row r="443" spans="1:5" x14ac:dyDescent="0.25">
      <c r="A443"/>
      <c r="B443"/>
      <c r="C443"/>
      <c r="D443"/>
      <c r="E443"/>
    </row>
    <row r="444" spans="1:5" x14ac:dyDescent="0.25">
      <c r="A444"/>
      <c r="B444"/>
      <c r="C444"/>
      <c r="D444"/>
      <c r="E444"/>
    </row>
    <row r="445" spans="1:5" x14ac:dyDescent="0.25">
      <c r="A445"/>
      <c r="B445"/>
      <c r="C445"/>
      <c r="D445"/>
      <c r="E445"/>
    </row>
    <row r="446" spans="1:5" x14ac:dyDescent="0.25">
      <c r="A446"/>
      <c r="B446"/>
      <c r="C446"/>
      <c r="D446"/>
      <c r="E446"/>
    </row>
    <row r="447" spans="1:5" x14ac:dyDescent="0.25">
      <c r="A447"/>
      <c r="B447"/>
      <c r="C447"/>
      <c r="D447"/>
      <c r="E447"/>
    </row>
    <row r="448" spans="1:5" x14ac:dyDescent="0.25">
      <c r="A448"/>
      <c r="B448"/>
      <c r="C448"/>
      <c r="D448"/>
      <c r="E448"/>
    </row>
    <row r="449" spans="1:5" x14ac:dyDescent="0.25">
      <c r="A449"/>
      <c r="B449"/>
      <c r="C449"/>
      <c r="D449"/>
      <c r="E449"/>
    </row>
    <row r="450" spans="1:5" x14ac:dyDescent="0.25">
      <c r="A450"/>
      <c r="B450"/>
      <c r="C450"/>
      <c r="D450"/>
      <c r="E450"/>
    </row>
    <row r="451" spans="1:5" x14ac:dyDescent="0.25">
      <c r="A451"/>
      <c r="B451"/>
      <c r="C451"/>
      <c r="D451"/>
      <c r="E451"/>
    </row>
    <row r="452" spans="1:5" x14ac:dyDescent="0.25">
      <c r="A452"/>
      <c r="B452"/>
      <c r="C452"/>
      <c r="D452"/>
      <c r="E452"/>
    </row>
    <row r="453" spans="1:5" x14ac:dyDescent="0.25">
      <c r="A453"/>
      <c r="B453"/>
      <c r="C453"/>
      <c r="D453"/>
      <c r="E453"/>
    </row>
    <row r="454" spans="1:5" x14ac:dyDescent="0.25">
      <c r="A454"/>
      <c r="B454"/>
      <c r="C454"/>
      <c r="D454"/>
      <c r="E454"/>
    </row>
    <row r="455" spans="1:5" x14ac:dyDescent="0.25">
      <c r="A455"/>
      <c r="B455"/>
      <c r="C455"/>
      <c r="D455"/>
      <c r="E455"/>
    </row>
    <row r="456" spans="1:5" x14ac:dyDescent="0.25">
      <c r="A456"/>
      <c r="B456"/>
      <c r="C456"/>
      <c r="D456"/>
      <c r="E456"/>
    </row>
    <row r="457" spans="1:5" x14ac:dyDescent="0.25">
      <c r="A457"/>
      <c r="B457"/>
      <c r="C457"/>
      <c r="D457"/>
      <c r="E457"/>
    </row>
    <row r="458" spans="1:5" x14ac:dyDescent="0.25">
      <c r="A458"/>
      <c r="B458"/>
      <c r="C458"/>
      <c r="D458"/>
      <c r="E458"/>
    </row>
    <row r="459" spans="1:5" x14ac:dyDescent="0.25">
      <c r="A459"/>
      <c r="B459"/>
      <c r="C459"/>
      <c r="D459"/>
      <c r="E459"/>
    </row>
    <row r="460" spans="1:5" x14ac:dyDescent="0.25">
      <c r="A460"/>
      <c r="B460"/>
      <c r="C460"/>
      <c r="D460"/>
      <c r="E460"/>
    </row>
    <row r="461" spans="1:5" x14ac:dyDescent="0.25">
      <c r="A461"/>
      <c r="B461"/>
      <c r="C461"/>
      <c r="D461"/>
      <c r="E461"/>
    </row>
    <row r="462" spans="1:5" x14ac:dyDescent="0.25">
      <c r="A462"/>
      <c r="B462"/>
      <c r="C462"/>
      <c r="D462"/>
      <c r="E462"/>
    </row>
    <row r="463" spans="1:5" x14ac:dyDescent="0.25">
      <c r="A463"/>
      <c r="B463"/>
      <c r="C463"/>
      <c r="D463"/>
      <c r="E463"/>
    </row>
    <row r="464" spans="1:5" x14ac:dyDescent="0.25">
      <c r="A464"/>
      <c r="B464"/>
      <c r="C464"/>
      <c r="D464"/>
      <c r="E464"/>
    </row>
    <row r="465" spans="1:5" x14ac:dyDescent="0.25">
      <c r="A465"/>
      <c r="B465"/>
      <c r="C465"/>
      <c r="D465"/>
      <c r="E465"/>
    </row>
    <row r="466" spans="1:5" x14ac:dyDescent="0.25">
      <c r="A466"/>
      <c r="B466"/>
      <c r="C466"/>
      <c r="D466"/>
      <c r="E466"/>
    </row>
    <row r="467" spans="1:5" x14ac:dyDescent="0.25">
      <c r="A467"/>
      <c r="B467"/>
      <c r="C467"/>
      <c r="D467"/>
      <c r="E467"/>
    </row>
    <row r="468" spans="1:5" x14ac:dyDescent="0.25">
      <c r="A468"/>
      <c r="B468"/>
      <c r="C468"/>
      <c r="D468"/>
      <c r="E468"/>
    </row>
    <row r="469" spans="1:5" x14ac:dyDescent="0.25">
      <c r="A469"/>
      <c r="B469"/>
      <c r="C469"/>
      <c r="D469"/>
      <c r="E469"/>
    </row>
    <row r="470" spans="1:5" x14ac:dyDescent="0.25">
      <c r="A470"/>
      <c r="B470"/>
      <c r="C470"/>
      <c r="D470"/>
      <c r="E470"/>
    </row>
    <row r="471" spans="1:5" x14ac:dyDescent="0.25">
      <c r="A471"/>
      <c r="B471"/>
      <c r="C471"/>
      <c r="D471"/>
      <c r="E471"/>
    </row>
    <row r="472" spans="1:5" x14ac:dyDescent="0.25">
      <c r="A472"/>
      <c r="B472"/>
      <c r="C472"/>
      <c r="D472"/>
      <c r="E472"/>
    </row>
    <row r="473" spans="1:5" x14ac:dyDescent="0.25">
      <c r="A473"/>
      <c r="B473"/>
      <c r="C473"/>
      <c r="D473"/>
      <c r="E473"/>
    </row>
    <row r="474" spans="1:5" x14ac:dyDescent="0.25">
      <c r="A474"/>
      <c r="B474"/>
      <c r="C474"/>
      <c r="D474"/>
      <c r="E474"/>
    </row>
    <row r="475" spans="1:5" x14ac:dyDescent="0.25">
      <c r="A475"/>
      <c r="B475"/>
      <c r="C475"/>
      <c r="D475"/>
      <c r="E475"/>
    </row>
    <row r="476" spans="1:5" x14ac:dyDescent="0.25">
      <c r="A476"/>
      <c r="B476"/>
      <c r="C476"/>
      <c r="D476"/>
      <c r="E476"/>
    </row>
    <row r="477" spans="1:5" x14ac:dyDescent="0.25">
      <c r="A477"/>
      <c r="B477"/>
      <c r="C477"/>
      <c r="D477"/>
      <c r="E477"/>
    </row>
    <row r="478" spans="1:5" x14ac:dyDescent="0.25">
      <c r="A478"/>
      <c r="B478"/>
      <c r="C478"/>
      <c r="D478"/>
      <c r="E478"/>
    </row>
    <row r="479" spans="1:5" x14ac:dyDescent="0.25">
      <c r="A479"/>
      <c r="B479"/>
      <c r="C479"/>
      <c r="D479"/>
      <c r="E479"/>
    </row>
    <row r="480" spans="1:5" x14ac:dyDescent="0.25">
      <c r="A480"/>
      <c r="B480"/>
      <c r="C480"/>
      <c r="D480"/>
      <c r="E480"/>
    </row>
    <row r="481" spans="1:5" x14ac:dyDescent="0.25">
      <c r="A481"/>
      <c r="B481"/>
      <c r="C481"/>
      <c r="D481"/>
      <c r="E481"/>
    </row>
    <row r="482" spans="1:5" x14ac:dyDescent="0.25">
      <c r="A482"/>
      <c r="B482"/>
      <c r="C482"/>
      <c r="D482"/>
      <c r="E482"/>
    </row>
    <row r="483" spans="1:5" x14ac:dyDescent="0.25">
      <c r="A483"/>
      <c r="B483"/>
      <c r="C483"/>
      <c r="D483"/>
      <c r="E483"/>
    </row>
    <row r="484" spans="1:5" x14ac:dyDescent="0.25">
      <c r="A484"/>
      <c r="B484"/>
      <c r="C484"/>
      <c r="D484"/>
      <c r="E484"/>
    </row>
    <row r="485" spans="1:5" x14ac:dyDescent="0.25">
      <c r="A485"/>
      <c r="B485"/>
      <c r="C485"/>
      <c r="D485"/>
      <c r="E485"/>
    </row>
    <row r="486" spans="1:5" x14ac:dyDescent="0.25">
      <c r="A486"/>
      <c r="B486"/>
      <c r="C486"/>
      <c r="D486"/>
      <c r="E486"/>
    </row>
    <row r="487" spans="1:5" x14ac:dyDescent="0.25">
      <c r="A487"/>
      <c r="B487"/>
      <c r="C487"/>
      <c r="D487"/>
      <c r="E487"/>
    </row>
    <row r="488" spans="1:5" x14ac:dyDescent="0.25">
      <c r="A488"/>
      <c r="B488"/>
      <c r="C488"/>
      <c r="D488"/>
      <c r="E488"/>
    </row>
    <row r="489" spans="1:5" x14ac:dyDescent="0.25">
      <c r="A489"/>
      <c r="B489"/>
      <c r="C489"/>
      <c r="D489"/>
      <c r="E489"/>
    </row>
    <row r="490" spans="1:5" x14ac:dyDescent="0.25">
      <c r="A490"/>
      <c r="B490"/>
      <c r="C490"/>
      <c r="D490"/>
      <c r="E490"/>
    </row>
    <row r="491" spans="1:5" x14ac:dyDescent="0.25">
      <c r="A491"/>
      <c r="B491"/>
      <c r="C491"/>
      <c r="D491"/>
      <c r="E491"/>
    </row>
    <row r="492" spans="1:5" x14ac:dyDescent="0.25">
      <c r="A492"/>
      <c r="B492"/>
      <c r="C492"/>
      <c r="D492"/>
      <c r="E492"/>
    </row>
    <row r="493" spans="1:5" x14ac:dyDescent="0.25">
      <c r="A493"/>
      <c r="B493"/>
      <c r="C493"/>
      <c r="D493"/>
      <c r="E493"/>
    </row>
    <row r="494" spans="1:5" x14ac:dyDescent="0.25">
      <c r="A494"/>
      <c r="B494"/>
      <c r="C494"/>
      <c r="D494"/>
      <c r="E494"/>
    </row>
    <row r="495" spans="1:5" x14ac:dyDescent="0.25">
      <c r="A495"/>
      <c r="B495"/>
      <c r="C495"/>
      <c r="D495"/>
      <c r="E495"/>
    </row>
    <row r="496" spans="1:5" x14ac:dyDescent="0.25">
      <c r="A496"/>
      <c r="B496"/>
      <c r="C496"/>
      <c r="D496"/>
      <c r="E496"/>
    </row>
    <row r="497" spans="1:5" x14ac:dyDescent="0.25">
      <c r="A497"/>
      <c r="B497"/>
      <c r="C497"/>
      <c r="D497"/>
      <c r="E497"/>
    </row>
    <row r="498" spans="1:5" x14ac:dyDescent="0.25">
      <c r="A498"/>
      <c r="B498"/>
      <c r="C498"/>
      <c r="D498"/>
      <c r="E498"/>
    </row>
    <row r="499" spans="1:5" x14ac:dyDescent="0.25">
      <c r="A499"/>
      <c r="B499"/>
      <c r="C499"/>
      <c r="D499"/>
      <c r="E499"/>
    </row>
    <row r="500" spans="1:5" x14ac:dyDescent="0.25">
      <c r="A500"/>
      <c r="B500"/>
      <c r="C500"/>
      <c r="D500"/>
      <c r="E50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E500"/>
  <sheetViews>
    <sheetView topLeftCell="A74" workbookViewId="0">
      <selection activeCell="E111" sqref="A1:E500"/>
    </sheetView>
  </sheetViews>
  <sheetFormatPr defaultRowHeight="15" x14ac:dyDescent="0.25"/>
  <cols>
    <col min="1" max="2" width="46.7109375" style="37" bestFit="1" customWidth="1"/>
    <col min="3" max="3" width="7" style="37" bestFit="1" customWidth="1"/>
    <col min="4" max="4" width="12.42578125" style="37" bestFit="1" customWidth="1"/>
    <col min="5" max="5" width="7" style="3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6</v>
      </c>
      <c r="C2">
        <v>0</v>
      </c>
      <c r="D2">
        <v>0</v>
      </c>
      <c r="E2">
        <v>0</v>
      </c>
    </row>
    <row r="3" spans="1:5" x14ac:dyDescent="0.25">
      <c r="A3" t="s">
        <v>8</v>
      </c>
      <c r="B3" t="s">
        <v>8</v>
      </c>
      <c r="C3">
        <v>0</v>
      </c>
      <c r="D3">
        <v>0</v>
      </c>
      <c r="E3">
        <v>0</v>
      </c>
    </row>
    <row r="4" spans="1:5" x14ac:dyDescent="0.25">
      <c r="A4" t="s">
        <v>10</v>
      </c>
      <c r="B4" t="s">
        <v>10</v>
      </c>
      <c r="C4" t="s">
        <v>11</v>
      </c>
      <c r="D4">
        <v>0</v>
      </c>
      <c r="E4">
        <v>0</v>
      </c>
    </row>
    <row r="5" spans="1:5" x14ac:dyDescent="0.25">
      <c r="A5" t="s">
        <v>13</v>
      </c>
      <c r="B5" t="s">
        <v>14</v>
      </c>
      <c r="C5" t="s">
        <v>15</v>
      </c>
      <c r="D5">
        <v>0</v>
      </c>
      <c r="E5">
        <v>0</v>
      </c>
    </row>
    <row r="6" spans="1:5" x14ac:dyDescent="0.25">
      <c r="A6" t="s">
        <v>17</v>
      </c>
      <c r="B6" t="s">
        <v>14</v>
      </c>
      <c r="C6" t="s">
        <v>15</v>
      </c>
      <c r="D6">
        <v>0</v>
      </c>
      <c r="E6">
        <v>0</v>
      </c>
    </row>
    <row r="7" spans="1:5" x14ac:dyDescent="0.25">
      <c r="A7" t="s">
        <v>19</v>
      </c>
      <c r="B7" t="s">
        <v>14</v>
      </c>
      <c r="C7" t="s">
        <v>15</v>
      </c>
      <c r="D7">
        <v>0</v>
      </c>
      <c r="E7">
        <v>0</v>
      </c>
    </row>
    <row r="8" spans="1:5" x14ac:dyDescent="0.25">
      <c r="A8" t="s">
        <v>7</v>
      </c>
      <c r="B8" t="s">
        <v>7</v>
      </c>
      <c r="C8" t="s">
        <v>21</v>
      </c>
      <c r="D8">
        <v>0</v>
      </c>
      <c r="E8">
        <v>0</v>
      </c>
    </row>
    <row r="9" spans="1:5" x14ac:dyDescent="0.25">
      <c r="A9" t="s">
        <v>23</v>
      </c>
      <c r="B9" t="s">
        <v>24</v>
      </c>
      <c r="C9">
        <v>0</v>
      </c>
      <c r="D9">
        <v>0</v>
      </c>
      <c r="E9">
        <v>0</v>
      </c>
    </row>
    <row r="10" spans="1:5" x14ac:dyDescent="0.25">
      <c r="A10" t="s">
        <v>26</v>
      </c>
      <c r="B10" t="s">
        <v>24</v>
      </c>
      <c r="C10">
        <v>0</v>
      </c>
      <c r="D10">
        <v>0</v>
      </c>
      <c r="E10">
        <v>0</v>
      </c>
    </row>
    <row r="11" spans="1:5" x14ac:dyDescent="0.25">
      <c r="A11" t="s">
        <v>28</v>
      </c>
      <c r="B11" t="s">
        <v>24</v>
      </c>
      <c r="C11">
        <v>0</v>
      </c>
      <c r="D11">
        <v>0</v>
      </c>
      <c r="E11">
        <v>0</v>
      </c>
    </row>
    <row r="12" spans="1:5" x14ac:dyDescent="0.25">
      <c r="A12" t="s">
        <v>30</v>
      </c>
      <c r="B12" t="s">
        <v>31</v>
      </c>
      <c r="C12">
        <v>0</v>
      </c>
      <c r="D12">
        <v>0</v>
      </c>
      <c r="E12">
        <v>0</v>
      </c>
    </row>
    <row r="13" spans="1:5" x14ac:dyDescent="0.25">
      <c r="A13" t="s">
        <v>33</v>
      </c>
      <c r="B13" t="s">
        <v>31</v>
      </c>
      <c r="C13">
        <v>0</v>
      </c>
      <c r="D13">
        <v>0</v>
      </c>
      <c r="E13">
        <v>0</v>
      </c>
    </row>
    <row r="14" spans="1:5" x14ac:dyDescent="0.25">
      <c r="A14" t="s">
        <v>9</v>
      </c>
      <c r="B14" t="s">
        <v>12</v>
      </c>
      <c r="C14" t="s">
        <v>35</v>
      </c>
      <c r="D14">
        <v>0</v>
      </c>
      <c r="E14">
        <v>0</v>
      </c>
    </row>
    <row r="15" spans="1:5" x14ac:dyDescent="0.25">
      <c r="A15" t="s">
        <v>12</v>
      </c>
      <c r="B15" t="s">
        <v>12</v>
      </c>
      <c r="C15" t="s">
        <v>35</v>
      </c>
      <c r="D15">
        <v>0</v>
      </c>
      <c r="E15">
        <v>0</v>
      </c>
    </row>
    <row r="16" spans="1:5" x14ac:dyDescent="0.25">
      <c r="A16" t="s">
        <v>38</v>
      </c>
      <c r="B16" t="s">
        <v>38</v>
      </c>
      <c r="C16">
        <v>0</v>
      </c>
      <c r="D16">
        <v>0</v>
      </c>
      <c r="E16">
        <v>0</v>
      </c>
    </row>
    <row r="17" spans="1:5" x14ac:dyDescent="0.25">
      <c r="A17" t="s">
        <v>40</v>
      </c>
      <c r="B17" t="s">
        <v>40</v>
      </c>
      <c r="C17">
        <v>0</v>
      </c>
      <c r="D17">
        <v>0</v>
      </c>
      <c r="E17">
        <v>0</v>
      </c>
    </row>
    <row r="18" spans="1:5" x14ac:dyDescent="0.25">
      <c r="A18" t="s">
        <v>16</v>
      </c>
      <c r="B18" t="s">
        <v>16</v>
      </c>
      <c r="C18" t="s">
        <v>42</v>
      </c>
      <c r="D18">
        <v>0</v>
      </c>
      <c r="E18">
        <v>0</v>
      </c>
    </row>
    <row r="19" spans="1:5" x14ac:dyDescent="0.25">
      <c r="A19" t="s">
        <v>44</v>
      </c>
      <c r="B19" t="s">
        <v>40</v>
      </c>
      <c r="C19">
        <v>0</v>
      </c>
      <c r="D19">
        <v>0</v>
      </c>
      <c r="E19">
        <v>0</v>
      </c>
    </row>
    <row r="20" spans="1:5" x14ac:dyDescent="0.25">
      <c r="A20" t="s">
        <v>46</v>
      </c>
      <c r="B20" t="s">
        <v>40</v>
      </c>
      <c r="C20">
        <v>0</v>
      </c>
      <c r="D20">
        <v>0</v>
      </c>
      <c r="E20">
        <v>0</v>
      </c>
    </row>
    <row r="21" spans="1:5" x14ac:dyDescent="0.25">
      <c r="A21" t="s">
        <v>48</v>
      </c>
      <c r="B21" t="s">
        <v>40</v>
      </c>
      <c r="C21">
        <v>0</v>
      </c>
      <c r="D21">
        <v>0</v>
      </c>
      <c r="E21">
        <v>0</v>
      </c>
    </row>
    <row r="22" spans="1:5" x14ac:dyDescent="0.25">
      <c r="A22" t="s">
        <v>49</v>
      </c>
      <c r="B22" t="s">
        <v>50</v>
      </c>
      <c r="C22">
        <v>0</v>
      </c>
      <c r="D22">
        <v>0</v>
      </c>
      <c r="E22">
        <v>0</v>
      </c>
    </row>
    <row r="23" spans="1:5" x14ac:dyDescent="0.25">
      <c r="A23" t="s">
        <v>51</v>
      </c>
      <c r="B23" t="s">
        <v>52</v>
      </c>
      <c r="C23">
        <v>0</v>
      </c>
      <c r="D23">
        <v>0</v>
      </c>
      <c r="E23">
        <v>0</v>
      </c>
    </row>
    <row r="24" spans="1:5" x14ac:dyDescent="0.25">
      <c r="A24" t="s">
        <v>53</v>
      </c>
      <c r="B24" t="s">
        <v>54</v>
      </c>
      <c r="C24">
        <v>0</v>
      </c>
      <c r="D24">
        <v>0</v>
      </c>
      <c r="E24">
        <v>0</v>
      </c>
    </row>
    <row r="25" spans="1:5" x14ac:dyDescent="0.25">
      <c r="A25" t="s">
        <v>55</v>
      </c>
      <c r="B25" t="s">
        <v>56</v>
      </c>
      <c r="C25">
        <v>0</v>
      </c>
      <c r="D25">
        <v>0</v>
      </c>
      <c r="E25">
        <v>0</v>
      </c>
    </row>
    <row r="26" spans="1:5" x14ac:dyDescent="0.25">
      <c r="A26" t="s">
        <v>57</v>
      </c>
      <c r="B26" t="s">
        <v>58</v>
      </c>
      <c r="C26" t="s">
        <v>59</v>
      </c>
      <c r="D26">
        <v>0</v>
      </c>
      <c r="E26">
        <v>0</v>
      </c>
    </row>
    <row r="27" spans="1:5" x14ac:dyDescent="0.25">
      <c r="A27" t="s">
        <v>60</v>
      </c>
      <c r="B27" t="s">
        <v>58</v>
      </c>
      <c r="C27" t="s">
        <v>59</v>
      </c>
      <c r="D27">
        <v>0</v>
      </c>
      <c r="E27">
        <v>0</v>
      </c>
    </row>
    <row r="28" spans="1:5" x14ac:dyDescent="0.25">
      <c r="A28" t="s">
        <v>61</v>
      </c>
      <c r="B28" t="s">
        <v>58</v>
      </c>
      <c r="C28" t="s">
        <v>59</v>
      </c>
      <c r="D28">
        <v>0</v>
      </c>
      <c r="E28">
        <v>0</v>
      </c>
    </row>
    <row r="29" spans="1:5" x14ac:dyDescent="0.25">
      <c r="A29" t="s">
        <v>62</v>
      </c>
      <c r="B29" t="s">
        <v>62</v>
      </c>
      <c r="C29">
        <v>0</v>
      </c>
      <c r="D29">
        <v>0</v>
      </c>
      <c r="E29">
        <v>0</v>
      </c>
    </row>
    <row r="30" spans="1:5" x14ac:dyDescent="0.25">
      <c r="A30" t="s">
        <v>63</v>
      </c>
      <c r="B30" t="s">
        <v>63</v>
      </c>
      <c r="C30">
        <v>0</v>
      </c>
      <c r="D30">
        <v>0</v>
      </c>
      <c r="E30">
        <v>0</v>
      </c>
    </row>
    <row r="31" spans="1:5" x14ac:dyDescent="0.25">
      <c r="A31" t="s">
        <v>18</v>
      </c>
      <c r="B31" t="s">
        <v>18</v>
      </c>
      <c r="C31" t="s">
        <v>64</v>
      </c>
      <c r="D31">
        <v>0</v>
      </c>
      <c r="E31">
        <v>0</v>
      </c>
    </row>
    <row r="32" spans="1:5" x14ac:dyDescent="0.25">
      <c r="A32" t="s">
        <v>20</v>
      </c>
      <c r="B32" t="s">
        <v>18</v>
      </c>
      <c r="C32" t="s">
        <v>64</v>
      </c>
      <c r="D32">
        <v>0</v>
      </c>
      <c r="E32">
        <v>0</v>
      </c>
    </row>
    <row r="33" spans="1:5" x14ac:dyDescent="0.25">
      <c r="A33" t="s">
        <v>22</v>
      </c>
      <c r="B33" t="s">
        <v>22</v>
      </c>
      <c r="C33" t="s">
        <v>65</v>
      </c>
      <c r="D33">
        <v>0</v>
      </c>
      <c r="E33">
        <v>0</v>
      </c>
    </row>
    <row r="34" spans="1:5" x14ac:dyDescent="0.25">
      <c r="A34" t="s">
        <v>25</v>
      </c>
      <c r="B34" t="s">
        <v>22</v>
      </c>
      <c r="C34" t="s">
        <v>65</v>
      </c>
      <c r="D34">
        <v>0</v>
      </c>
      <c r="E34">
        <v>0</v>
      </c>
    </row>
    <row r="35" spans="1:5" x14ac:dyDescent="0.25">
      <c r="A35" t="s">
        <v>27</v>
      </c>
      <c r="B35" t="s">
        <v>27</v>
      </c>
      <c r="C35" t="s">
        <v>66</v>
      </c>
      <c r="D35">
        <v>0</v>
      </c>
      <c r="E35">
        <v>0</v>
      </c>
    </row>
    <row r="36" spans="1:5" x14ac:dyDescent="0.25">
      <c r="A36" t="s">
        <v>29</v>
      </c>
      <c r="B36" t="s">
        <v>29</v>
      </c>
      <c r="C36" t="s">
        <v>67</v>
      </c>
      <c r="D36">
        <v>0</v>
      </c>
      <c r="E36">
        <v>0</v>
      </c>
    </row>
    <row r="37" spans="1:5" x14ac:dyDescent="0.25">
      <c r="A37" t="s">
        <v>68</v>
      </c>
      <c r="B37" t="s">
        <v>69</v>
      </c>
      <c r="C37">
        <v>0</v>
      </c>
      <c r="D37">
        <v>0</v>
      </c>
      <c r="E37">
        <v>0</v>
      </c>
    </row>
    <row r="38" spans="1:5" x14ac:dyDescent="0.25">
      <c r="A38" t="s">
        <v>70</v>
      </c>
      <c r="B38" t="s">
        <v>70</v>
      </c>
      <c r="C38">
        <v>0</v>
      </c>
      <c r="D38">
        <v>0</v>
      </c>
      <c r="E38">
        <v>0</v>
      </c>
    </row>
    <row r="39" spans="1:5" x14ac:dyDescent="0.25">
      <c r="A39" t="s">
        <v>71</v>
      </c>
      <c r="B39" t="s">
        <v>71</v>
      </c>
      <c r="C39">
        <v>0</v>
      </c>
      <c r="D39">
        <v>0</v>
      </c>
      <c r="E39">
        <v>0</v>
      </c>
    </row>
    <row r="40" spans="1:5" x14ac:dyDescent="0.25">
      <c r="A40" t="s">
        <v>69</v>
      </c>
      <c r="B40" t="s">
        <v>69</v>
      </c>
      <c r="C40" t="s">
        <v>72</v>
      </c>
      <c r="D40" t="s">
        <v>73</v>
      </c>
      <c r="E40" t="s">
        <v>74</v>
      </c>
    </row>
    <row r="41" spans="1:5" x14ac:dyDescent="0.25">
      <c r="A41" t="s">
        <v>56</v>
      </c>
      <c r="B41" t="s">
        <v>56</v>
      </c>
      <c r="C41">
        <v>0</v>
      </c>
      <c r="D41">
        <v>0</v>
      </c>
      <c r="E41">
        <v>0</v>
      </c>
    </row>
    <row r="42" spans="1:5" x14ac:dyDescent="0.25">
      <c r="A42" t="s">
        <v>32</v>
      </c>
      <c r="B42" t="s">
        <v>32</v>
      </c>
      <c r="C42" t="s">
        <v>75</v>
      </c>
      <c r="D42">
        <v>0</v>
      </c>
      <c r="E42">
        <v>0</v>
      </c>
    </row>
    <row r="43" spans="1:5" x14ac:dyDescent="0.25">
      <c r="A43" t="s">
        <v>34</v>
      </c>
      <c r="B43" t="s">
        <v>34</v>
      </c>
      <c r="C43" t="s">
        <v>76</v>
      </c>
      <c r="D43">
        <v>0</v>
      </c>
      <c r="E43">
        <v>0</v>
      </c>
    </row>
    <row r="44" spans="1:5" x14ac:dyDescent="0.25">
      <c r="A44" t="s">
        <v>36</v>
      </c>
      <c r="B44" t="s">
        <v>36</v>
      </c>
      <c r="C44" t="s">
        <v>77</v>
      </c>
      <c r="D44">
        <v>0</v>
      </c>
      <c r="E44">
        <v>0</v>
      </c>
    </row>
    <row r="45" spans="1:5" x14ac:dyDescent="0.25">
      <c r="A45" t="s">
        <v>37</v>
      </c>
      <c r="B45" t="s">
        <v>37</v>
      </c>
      <c r="C45">
        <v>0</v>
      </c>
      <c r="D45">
        <v>0</v>
      </c>
      <c r="E45">
        <v>0</v>
      </c>
    </row>
    <row r="46" spans="1:5" x14ac:dyDescent="0.25">
      <c r="A46" t="s">
        <v>78</v>
      </c>
      <c r="B46" t="s">
        <v>78</v>
      </c>
      <c r="C46">
        <v>0</v>
      </c>
      <c r="D46">
        <v>0</v>
      </c>
      <c r="E46">
        <v>0</v>
      </c>
    </row>
    <row r="47" spans="1:5" x14ac:dyDescent="0.25">
      <c r="A47" t="s">
        <v>79</v>
      </c>
      <c r="B47" t="s">
        <v>79</v>
      </c>
      <c r="C47">
        <v>0</v>
      </c>
      <c r="D47">
        <v>0</v>
      </c>
      <c r="E47">
        <v>0</v>
      </c>
    </row>
    <row r="48" spans="1:5" x14ac:dyDescent="0.25">
      <c r="A48" t="s">
        <v>80</v>
      </c>
      <c r="B48" t="s">
        <v>80</v>
      </c>
      <c r="C48">
        <v>0</v>
      </c>
      <c r="D48">
        <v>0</v>
      </c>
      <c r="E48">
        <v>0</v>
      </c>
    </row>
    <row r="49" spans="1:5" x14ac:dyDescent="0.25">
      <c r="A49" t="s">
        <v>81</v>
      </c>
      <c r="B49" t="s">
        <v>54</v>
      </c>
      <c r="C49">
        <v>0</v>
      </c>
      <c r="D49">
        <v>0</v>
      </c>
      <c r="E49">
        <v>0</v>
      </c>
    </row>
    <row r="50" spans="1:5" x14ac:dyDescent="0.25">
      <c r="A50" t="s">
        <v>54</v>
      </c>
      <c r="B50" t="s">
        <v>54</v>
      </c>
      <c r="C50">
        <v>0</v>
      </c>
      <c r="D50">
        <v>0</v>
      </c>
      <c r="E50">
        <v>0</v>
      </c>
    </row>
    <row r="51" spans="1:5" x14ac:dyDescent="0.25">
      <c r="A51" t="s">
        <v>82</v>
      </c>
      <c r="B51" t="s">
        <v>82</v>
      </c>
      <c r="C51">
        <v>0</v>
      </c>
      <c r="D51">
        <v>0</v>
      </c>
      <c r="E51">
        <v>0</v>
      </c>
    </row>
    <row r="52" spans="1:5" x14ac:dyDescent="0.25">
      <c r="A52" t="s">
        <v>83</v>
      </c>
      <c r="B52" t="s">
        <v>84</v>
      </c>
      <c r="C52">
        <v>0</v>
      </c>
      <c r="D52">
        <v>0</v>
      </c>
      <c r="E52">
        <v>0</v>
      </c>
    </row>
    <row r="53" spans="1:5" x14ac:dyDescent="0.25">
      <c r="A53" t="s">
        <v>84</v>
      </c>
      <c r="B53" t="s">
        <v>84</v>
      </c>
      <c r="C53">
        <v>0</v>
      </c>
      <c r="D53">
        <v>0</v>
      </c>
      <c r="E53">
        <v>0</v>
      </c>
    </row>
    <row r="54" spans="1:5" x14ac:dyDescent="0.25">
      <c r="A54" t="s">
        <v>85</v>
      </c>
      <c r="B54" t="s">
        <v>58</v>
      </c>
      <c r="C54" t="s">
        <v>59</v>
      </c>
      <c r="D54">
        <v>0</v>
      </c>
      <c r="E54">
        <v>0</v>
      </c>
    </row>
    <row r="55" spans="1:5" x14ac:dyDescent="0.25">
      <c r="A55" t="s">
        <v>86</v>
      </c>
      <c r="B55" t="s">
        <v>58</v>
      </c>
      <c r="C55" t="s">
        <v>59</v>
      </c>
      <c r="D55">
        <v>0</v>
      </c>
      <c r="E55">
        <v>0</v>
      </c>
    </row>
    <row r="56" spans="1:5" x14ac:dyDescent="0.25">
      <c r="A56" t="s">
        <v>87</v>
      </c>
      <c r="B56" t="s">
        <v>58</v>
      </c>
      <c r="C56" t="s">
        <v>59</v>
      </c>
      <c r="D56">
        <v>0</v>
      </c>
      <c r="E56">
        <v>0</v>
      </c>
    </row>
    <row r="57" spans="1:5" x14ac:dyDescent="0.25">
      <c r="A57" t="s">
        <v>88</v>
      </c>
      <c r="B57" t="s">
        <v>88</v>
      </c>
      <c r="C57">
        <v>0</v>
      </c>
      <c r="D57">
        <v>0</v>
      </c>
      <c r="E57">
        <v>0</v>
      </c>
    </row>
    <row r="58" spans="1:5" x14ac:dyDescent="0.25">
      <c r="A58" t="s">
        <v>89</v>
      </c>
      <c r="B58" t="s">
        <v>89</v>
      </c>
      <c r="C58">
        <v>0</v>
      </c>
      <c r="D58">
        <v>0</v>
      </c>
      <c r="E58">
        <v>0</v>
      </c>
    </row>
    <row r="59" spans="1:5" x14ac:dyDescent="0.25">
      <c r="A59" t="s">
        <v>90</v>
      </c>
      <c r="B59" t="s">
        <v>90</v>
      </c>
      <c r="C59">
        <v>0</v>
      </c>
      <c r="D59">
        <v>0</v>
      </c>
      <c r="E59">
        <v>0</v>
      </c>
    </row>
    <row r="60" spans="1:5" x14ac:dyDescent="0.25">
      <c r="A60" t="s">
        <v>91</v>
      </c>
      <c r="B60" t="s">
        <v>91</v>
      </c>
      <c r="C60">
        <v>0</v>
      </c>
      <c r="D60">
        <v>0</v>
      </c>
      <c r="E60">
        <v>0</v>
      </c>
    </row>
    <row r="61" spans="1:5" x14ac:dyDescent="0.25">
      <c r="A61" t="s">
        <v>92</v>
      </c>
      <c r="B61" t="s">
        <v>92</v>
      </c>
      <c r="C61">
        <v>0</v>
      </c>
      <c r="D61">
        <v>0</v>
      </c>
      <c r="E61">
        <v>0</v>
      </c>
    </row>
    <row r="62" spans="1:5" x14ac:dyDescent="0.25">
      <c r="A62" t="s">
        <v>93</v>
      </c>
      <c r="B62" t="s">
        <v>93</v>
      </c>
      <c r="C62">
        <v>0</v>
      </c>
      <c r="D62">
        <v>0</v>
      </c>
      <c r="E62">
        <v>0</v>
      </c>
    </row>
    <row r="63" spans="1:5" x14ac:dyDescent="0.25">
      <c r="A63" t="s">
        <v>47</v>
      </c>
      <c r="B63" t="s">
        <v>47</v>
      </c>
      <c r="C63" t="s">
        <v>94</v>
      </c>
      <c r="D63">
        <v>0</v>
      </c>
      <c r="E63">
        <v>0</v>
      </c>
    </row>
    <row r="64" spans="1:5" x14ac:dyDescent="0.25">
      <c r="A64" t="s">
        <v>95</v>
      </c>
      <c r="B64" t="s">
        <v>96</v>
      </c>
      <c r="C64">
        <v>0</v>
      </c>
      <c r="D64">
        <v>0</v>
      </c>
      <c r="E64">
        <v>0</v>
      </c>
    </row>
    <row r="65" spans="1:5" x14ac:dyDescent="0.25">
      <c r="A65" t="s">
        <v>97</v>
      </c>
      <c r="B65" t="s">
        <v>96</v>
      </c>
      <c r="C65">
        <v>0</v>
      </c>
      <c r="D65">
        <v>0</v>
      </c>
      <c r="E65">
        <v>0</v>
      </c>
    </row>
    <row r="66" spans="1:5" x14ac:dyDescent="0.25">
      <c r="A66" t="s">
        <v>98</v>
      </c>
      <c r="B66" t="s">
        <v>98</v>
      </c>
      <c r="C66">
        <v>0</v>
      </c>
      <c r="D66">
        <v>0</v>
      </c>
      <c r="E66">
        <v>0</v>
      </c>
    </row>
    <row r="67" spans="1:5" x14ac:dyDescent="0.25">
      <c r="A67" t="s">
        <v>99</v>
      </c>
      <c r="B67" t="s">
        <v>96</v>
      </c>
      <c r="C67">
        <v>0</v>
      </c>
      <c r="D67">
        <v>0</v>
      </c>
      <c r="E67">
        <v>0</v>
      </c>
    </row>
    <row r="68" spans="1:5" x14ac:dyDescent="0.25">
      <c r="A68" t="s">
        <v>100</v>
      </c>
      <c r="B68" t="s">
        <v>100</v>
      </c>
      <c r="C68">
        <v>0</v>
      </c>
      <c r="D68">
        <v>0</v>
      </c>
      <c r="E68">
        <v>0</v>
      </c>
    </row>
    <row r="69" spans="1:5" x14ac:dyDescent="0.25">
      <c r="A69" t="s">
        <v>101</v>
      </c>
      <c r="B69" t="s">
        <v>101</v>
      </c>
      <c r="C69">
        <v>0</v>
      </c>
      <c r="D69">
        <v>0</v>
      </c>
      <c r="E69">
        <v>0</v>
      </c>
    </row>
    <row r="70" spans="1:5" x14ac:dyDescent="0.25">
      <c r="A70" t="s">
        <v>102</v>
      </c>
      <c r="B70" t="s">
        <v>103</v>
      </c>
      <c r="C70" t="s">
        <v>104</v>
      </c>
      <c r="D70">
        <v>0</v>
      </c>
      <c r="E70">
        <v>0</v>
      </c>
    </row>
    <row r="71" spans="1:5" x14ac:dyDescent="0.25">
      <c r="A71" t="s">
        <v>105</v>
      </c>
      <c r="B71" t="s">
        <v>103</v>
      </c>
      <c r="C71" t="s">
        <v>104</v>
      </c>
      <c r="D71">
        <v>0</v>
      </c>
      <c r="E71">
        <v>0</v>
      </c>
    </row>
    <row r="72" spans="1:5" x14ac:dyDescent="0.25">
      <c r="A72" t="s">
        <v>106</v>
      </c>
      <c r="B72" t="s">
        <v>103</v>
      </c>
      <c r="C72" t="s">
        <v>104</v>
      </c>
      <c r="D72">
        <v>0</v>
      </c>
      <c r="E72">
        <v>0</v>
      </c>
    </row>
    <row r="73" spans="1:5" x14ac:dyDescent="0.25">
      <c r="A73" t="s">
        <v>107</v>
      </c>
      <c r="B73" t="s">
        <v>107</v>
      </c>
      <c r="C73" t="s">
        <v>108</v>
      </c>
      <c r="D73">
        <v>0</v>
      </c>
      <c r="E73">
        <v>0</v>
      </c>
    </row>
    <row r="74" spans="1:5" x14ac:dyDescent="0.25">
      <c r="A74" t="s">
        <v>109</v>
      </c>
      <c r="B74" t="s">
        <v>107</v>
      </c>
      <c r="C74" t="s">
        <v>108</v>
      </c>
      <c r="D74">
        <v>0</v>
      </c>
      <c r="E74">
        <v>0</v>
      </c>
    </row>
    <row r="75" spans="1:5" x14ac:dyDescent="0.25">
      <c r="A75" t="s">
        <v>110</v>
      </c>
      <c r="B75" t="s">
        <v>110</v>
      </c>
      <c r="C75">
        <v>0</v>
      </c>
      <c r="D75">
        <v>0</v>
      </c>
      <c r="E75">
        <v>0</v>
      </c>
    </row>
    <row r="76" spans="1:5" x14ac:dyDescent="0.25">
      <c r="A76" t="s">
        <v>111</v>
      </c>
      <c r="B76" t="s">
        <v>111</v>
      </c>
      <c r="C76">
        <v>0</v>
      </c>
      <c r="D76">
        <v>0</v>
      </c>
      <c r="E76">
        <v>0</v>
      </c>
    </row>
    <row r="77" spans="1:5" x14ac:dyDescent="0.25">
      <c r="A77" t="s">
        <v>112</v>
      </c>
      <c r="B77" t="s">
        <v>112</v>
      </c>
      <c r="C77">
        <v>0</v>
      </c>
      <c r="D77">
        <v>0</v>
      </c>
      <c r="E77">
        <v>0</v>
      </c>
    </row>
    <row r="78" spans="1:5" x14ac:dyDescent="0.25">
      <c r="A78" t="s">
        <v>113</v>
      </c>
      <c r="B78" t="s">
        <v>112</v>
      </c>
      <c r="C78">
        <v>0</v>
      </c>
      <c r="D78">
        <v>0</v>
      </c>
      <c r="E78">
        <v>0</v>
      </c>
    </row>
    <row r="79" spans="1:5" x14ac:dyDescent="0.25">
      <c r="A79" t="s">
        <v>39</v>
      </c>
      <c r="B79" t="s">
        <v>39</v>
      </c>
      <c r="C79" t="s">
        <v>114</v>
      </c>
      <c r="D79">
        <v>0</v>
      </c>
      <c r="E79">
        <v>0</v>
      </c>
    </row>
    <row r="80" spans="1:5" x14ac:dyDescent="0.25">
      <c r="A80" t="s">
        <v>115</v>
      </c>
      <c r="B80" t="s">
        <v>115</v>
      </c>
      <c r="C80">
        <v>0</v>
      </c>
      <c r="D80">
        <v>0</v>
      </c>
      <c r="E80">
        <v>0</v>
      </c>
    </row>
    <row r="81" spans="1:5" x14ac:dyDescent="0.25">
      <c r="A81" t="s">
        <v>116</v>
      </c>
      <c r="B81" t="s">
        <v>116</v>
      </c>
      <c r="C81">
        <v>0</v>
      </c>
      <c r="D81">
        <v>0</v>
      </c>
      <c r="E81">
        <v>0</v>
      </c>
    </row>
    <row r="82" spans="1:5" x14ac:dyDescent="0.25">
      <c r="A82" t="s">
        <v>117</v>
      </c>
      <c r="B82" t="s">
        <v>118</v>
      </c>
      <c r="C82" t="s">
        <v>119</v>
      </c>
      <c r="D82">
        <v>0</v>
      </c>
      <c r="E82">
        <v>0</v>
      </c>
    </row>
    <row r="83" spans="1:5" x14ac:dyDescent="0.25">
      <c r="A83" t="s">
        <v>120</v>
      </c>
      <c r="B83" t="s">
        <v>120</v>
      </c>
      <c r="C83">
        <v>0</v>
      </c>
      <c r="D83">
        <v>0</v>
      </c>
      <c r="E83">
        <v>0</v>
      </c>
    </row>
    <row r="84" spans="1:5" x14ac:dyDescent="0.25">
      <c r="A84" t="s">
        <v>121</v>
      </c>
      <c r="B84" t="s">
        <v>121</v>
      </c>
      <c r="C84">
        <v>0</v>
      </c>
      <c r="D84">
        <v>0</v>
      </c>
      <c r="E84">
        <v>0</v>
      </c>
    </row>
    <row r="85" spans="1:5" x14ac:dyDescent="0.25">
      <c r="A85" t="s">
        <v>122</v>
      </c>
      <c r="B85" t="s">
        <v>118</v>
      </c>
      <c r="C85" s="36" t="s">
        <v>72</v>
      </c>
      <c r="D85" s="36">
        <v>0</v>
      </c>
      <c r="E85" s="36">
        <v>0</v>
      </c>
    </row>
    <row r="86" spans="1:5" x14ac:dyDescent="0.25">
      <c r="A86" t="s">
        <v>125</v>
      </c>
      <c r="B86" t="s">
        <v>118</v>
      </c>
      <c r="C86" s="36" t="s">
        <v>72</v>
      </c>
      <c r="D86" s="36">
        <v>0</v>
      </c>
      <c r="E86" s="36">
        <v>0</v>
      </c>
    </row>
    <row r="87" spans="1:5" x14ac:dyDescent="0.25">
      <c r="A87" t="s">
        <v>126</v>
      </c>
      <c r="B87" t="s">
        <v>126</v>
      </c>
      <c r="C87">
        <v>0</v>
      </c>
      <c r="D87">
        <v>0</v>
      </c>
      <c r="E87">
        <v>0</v>
      </c>
    </row>
    <row r="88" spans="1:5" x14ac:dyDescent="0.25">
      <c r="A88" t="s">
        <v>127</v>
      </c>
      <c r="B88" t="s">
        <v>128</v>
      </c>
      <c r="C88">
        <v>0</v>
      </c>
      <c r="D88">
        <v>0</v>
      </c>
      <c r="E88">
        <v>0</v>
      </c>
    </row>
    <row r="89" spans="1:5" x14ac:dyDescent="0.25">
      <c r="A89" t="s">
        <v>129</v>
      </c>
      <c r="B89" t="s">
        <v>128</v>
      </c>
      <c r="C89">
        <v>0</v>
      </c>
      <c r="D89">
        <v>0</v>
      </c>
      <c r="E89">
        <v>0</v>
      </c>
    </row>
    <row r="90" spans="1:5" x14ac:dyDescent="0.25">
      <c r="A90" t="s">
        <v>41</v>
      </c>
      <c r="B90" t="s">
        <v>41</v>
      </c>
      <c r="C90" t="s">
        <v>130</v>
      </c>
      <c r="D90">
        <v>0</v>
      </c>
      <c r="E90">
        <v>0</v>
      </c>
    </row>
    <row r="91" spans="1:5" x14ac:dyDescent="0.25">
      <c r="A91" t="s">
        <v>43</v>
      </c>
      <c r="B91" t="s">
        <v>131</v>
      </c>
      <c r="C91" t="s">
        <v>132</v>
      </c>
      <c r="D91" t="s">
        <v>133</v>
      </c>
      <c r="E91" t="s">
        <v>134</v>
      </c>
    </row>
    <row r="92" spans="1:5" x14ac:dyDescent="0.25">
      <c r="A92" t="s">
        <v>135</v>
      </c>
      <c r="B92" t="s">
        <v>135</v>
      </c>
      <c r="C92" t="s">
        <v>136</v>
      </c>
      <c r="D92" t="s">
        <v>137</v>
      </c>
      <c r="E92">
        <v>0</v>
      </c>
    </row>
    <row r="93" spans="1:5" x14ac:dyDescent="0.25">
      <c r="A93" t="s">
        <v>138</v>
      </c>
      <c r="B93" t="s">
        <v>135</v>
      </c>
      <c r="C93" t="s">
        <v>136</v>
      </c>
      <c r="D93" t="s">
        <v>137</v>
      </c>
      <c r="E93">
        <v>0</v>
      </c>
    </row>
    <row r="94" spans="1:5" x14ac:dyDescent="0.25">
      <c r="A94" t="s">
        <v>45</v>
      </c>
      <c r="B94" t="s">
        <v>45</v>
      </c>
      <c r="C94" t="s">
        <v>139</v>
      </c>
      <c r="D94">
        <v>0</v>
      </c>
      <c r="E94">
        <v>0</v>
      </c>
    </row>
    <row r="95" spans="1:5" x14ac:dyDescent="0.25">
      <c r="A95" t="s">
        <v>140</v>
      </c>
      <c r="B95" t="s">
        <v>140</v>
      </c>
      <c r="C95">
        <v>0</v>
      </c>
      <c r="D95">
        <v>0</v>
      </c>
      <c r="E95">
        <v>0</v>
      </c>
    </row>
    <row r="96" spans="1:5" x14ac:dyDescent="0.25">
      <c r="A96" t="s">
        <v>141</v>
      </c>
      <c r="B96" t="s">
        <v>56</v>
      </c>
      <c r="C96">
        <v>0</v>
      </c>
      <c r="D96">
        <v>0</v>
      </c>
      <c r="E96">
        <v>0</v>
      </c>
    </row>
    <row r="97" spans="1:5" x14ac:dyDescent="0.25">
      <c r="A97">
        <v>0</v>
      </c>
      <c r="B97">
        <v>0</v>
      </c>
      <c r="C97">
        <v>0</v>
      </c>
      <c r="D97">
        <v>0</v>
      </c>
      <c r="E97">
        <v>0</v>
      </c>
    </row>
    <row r="98" spans="1:5" x14ac:dyDescent="0.25">
      <c r="A98">
        <v>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>
        <v>0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>
        <v>0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>
        <v>0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>
        <v>0</v>
      </c>
      <c r="B102">
        <v>0</v>
      </c>
      <c r="C102">
        <v>0</v>
      </c>
      <c r="D102">
        <v>0</v>
      </c>
      <c r="E102">
        <v>0</v>
      </c>
    </row>
    <row r="103" spans="1:5" x14ac:dyDescent="0.25">
      <c r="A103">
        <v>0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>
        <v>0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>
        <v>0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>
        <v>0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>
        <v>0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>
        <v>0</v>
      </c>
      <c r="B108">
        <v>0</v>
      </c>
      <c r="C108">
        <v>0</v>
      </c>
      <c r="D108">
        <v>0</v>
      </c>
      <c r="E108">
        <v>0</v>
      </c>
    </row>
    <row r="109" spans="1:5" x14ac:dyDescent="0.25">
      <c r="A109">
        <v>0</v>
      </c>
      <c r="B109">
        <v>0</v>
      </c>
      <c r="C109">
        <v>0</v>
      </c>
      <c r="D109">
        <v>0</v>
      </c>
      <c r="E109">
        <v>0</v>
      </c>
    </row>
    <row r="110" spans="1:5" x14ac:dyDescent="0.25">
      <c r="A110">
        <v>0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>
        <v>0</v>
      </c>
      <c r="B111">
        <v>0</v>
      </c>
      <c r="C111">
        <v>0</v>
      </c>
      <c r="D111">
        <v>0</v>
      </c>
      <c r="E111">
        <v>0</v>
      </c>
    </row>
    <row r="112" spans="1:5" x14ac:dyDescent="0.25">
      <c r="A112">
        <v>0</v>
      </c>
      <c r="B112">
        <v>0</v>
      </c>
      <c r="C112">
        <v>0</v>
      </c>
      <c r="D112">
        <v>0</v>
      </c>
      <c r="E112">
        <v>0</v>
      </c>
    </row>
    <row r="113" spans="1:5" x14ac:dyDescent="0.25">
      <c r="A113">
        <v>0</v>
      </c>
      <c r="B113">
        <v>0</v>
      </c>
      <c r="C113">
        <v>0</v>
      </c>
      <c r="D113">
        <v>0</v>
      </c>
      <c r="E113">
        <v>0</v>
      </c>
    </row>
    <row r="114" spans="1:5" x14ac:dyDescent="0.25">
      <c r="A114">
        <v>0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>
        <v>0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>
        <v>0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>
        <v>0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>
        <v>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>
        <v>0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>
        <v>0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>
        <v>0</v>
      </c>
      <c r="B121">
        <v>0</v>
      </c>
      <c r="C121">
        <v>0</v>
      </c>
      <c r="D121">
        <v>0</v>
      </c>
      <c r="E121">
        <v>0</v>
      </c>
    </row>
    <row r="122" spans="1:5" x14ac:dyDescent="0.25">
      <c r="A122">
        <v>0</v>
      </c>
      <c r="B122">
        <v>0</v>
      </c>
      <c r="C122">
        <v>0</v>
      </c>
      <c r="D122">
        <v>0</v>
      </c>
      <c r="E122">
        <v>0</v>
      </c>
    </row>
    <row r="123" spans="1:5" x14ac:dyDescent="0.25">
      <c r="A123">
        <v>0</v>
      </c>
      <c r="B123">
        <v>0</v>
      </c>
      <c r="C123">
        <v>0</v>
      </c>
      <c r="D123">
        <v>0</v>
      </c>
      <c r="E123">
        <v>0</v>
      </c>
    </row>
    <row r="124" spans="1:5" x14ac:dyDescent="0.25">
      <c r="A124">
        <v>0</v>
      </c>
      <c r="B124">
        <v>0</v>
      </c>
      <c r="C124">
        <v>0</v>
      </c>
      <c r="D124">
        <v>0</v>
      </c>
      <c r="E124">
        <v>0</v>
      </c>
    </row>
    <row r="125" spans="1:5" x14ac:dyDescent="0.25">
      <c r="A125">
        <v>0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>
        <v>0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>
        <v>0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>
        <v>0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>
        <v>0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>
        <v>0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>
        <v>0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>
        <v>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>
        <v>0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>
        <v>0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>
        <v>0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>
        <v>0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>
        <v>0</v>
      </c>
      <c r="B137">
        <v>0</v>
      </c>
      <c r="C137">
        <v>0</v>
      </c>
      <c r="D137">
        <v>0</v>
      </c>
      <c r="E137">
        <v>0</v>
      </c>
    </row>
    <row r="138" spans="1:5" x14ac:dyDescent="0.25">
      <c r="A138">
        <v>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>
        <v>0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>
        <v>0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>
        <v>0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>
        <v>0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>
        <v>0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>
        <v>0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>
        <v>0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>
        <v>0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>
        <v>0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>
        <v>0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>
        <v>0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>
        <v>0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>
        <v>0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>
        <v>0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>
        <v>0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>
        <v>0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>
        <v>0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>
        <v>0</v>
      </c>
      <c r="B156">
        <v>0</v>
      </c>
      <c r="C156">
        <v>0</v>
      </c>
      <c r="D156">
        <v>0</v>
      </c>
      <c r="E156">
        <v>0</v>
      </c>
    </row>
    <row r="157" spans="1:5" x14ac:dyDescent="0.25">
      <c r="A157">
        <v>0</v>
      </c>
      <c r="B157">
        <v>0</v>
      </c>
      <c r="C157">
        <v>0</v>
      </c>
      <c r="D157">
        <v>0</v>
      </c>
      <c r="E157">
        <v>0</v>
      </c>
    </row>
    <row r="158" spans="1:5" x14ac:dyDescent="0.25">
      <c r="A158">
        <v>0</v>
      </c>
      <c r="B158">
        <v>0</v>
      </c>
      <c r="C158">
        <v>0</v>
      </c>
      <c r="D158">
        <v>0</v>
      </c>
      <c r="E158">
        <v>0</v>
      </c>
    </row>
    <row r="159" spans="1:5" x14ac:dyDescent="0.25">
      <c r="A159">
        <v>0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>
        <v>0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>
        <v>0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>
        <v>0</v>
      </c>
      <c r="B162">
        <v>0</v>
      </c>
      <c r="C162">
        <v>0</v>
      </c>
      <c r="D162">
        <v>0</v>
      </c>
      <c r="E162">
        <v>0</v>
      </c>
    </row>
    <row r="163" spans="1:5" x14ac:dyDescent="0.25">
      <c r="A163">
        <v>0</v>
      </c>
      <c r="B163">
        <v>0</v>
      </c>
      <c r="C163">
        <v>0</v>
      </c>
      <c r="D163">
        <v>0</v>
      </c>
      <c r="E163">
        <v>0</v>
      </c>
    </row>
    <row r="164" spans="1:5" x14ac:dyDescent="0.25">
      <c r="A164">
        <v>0</v>
      </c>
      <c r="B164">
        <v>0</v>
      </c>
      <c r="C164">
        <v>0</v>
      </c>
      <c r="D164">
        <v>0</v>
      </c>
      <c r="E164">
        <v>0</v>
      </c>
    </row>
    <row r="165" spans="1:5" x14ac:dyDescent="0.25">
      <c r="A165">
        <v>0</v>
      </c>
      <c r="B165">
        <v>0</v>
      </c>
      <c r="C165">
        <v>0</v>
      </c>
      <c r="D165">
        <v>0</v>
      </c>
      <c r="E165">
        <v>0</v>
      </c>
    </row>
    <row r="166" spans="1:5" x14ac:dyDescent="0.25">
      <c r="A166">
        <v>0</v>
      </c>
      <c r="B166">
        <v>0</v>
      </c>
      <c r="C166">
        <v>0</v>
      </c>
      <c r="D166">
        <v>0</v>
      </c>
      <c r="E166">
        <v>0</v>
      </c>
    </row>
    <row r="167" spans="1:5" x14ac:dyDescent="0.25">
      <c r="A167">
        <v>0</v>
      </c>
      <c r="B167">
        <v>0</v>
      </c>
      <c r="C167">
        <v>0</v>
      </c>
      <c r="D167">
        <v>0</v>
      </c>
      <c r="E167">
        <v>0</v>
      </c>
    </row>
    <row r="168" spans="1:5" x14ac:dyDescent="0.25">
      <c r="A168">
        <v>0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>
        <v>0</v>
      </c>
      <c r="B169">
        <v>0</v>
      </c>
      <c r="C169">
        <v>0</v>
      </c>
      <c r="D169">
        <v>0</v>
      </c>
      <c r="E169">
        <v>0</v>
      </c>
    </row>
    <row r="170" spans="1:5" x14ac:dyDescent="0.25">
      <c r="A170">
        <v>0</v>
      </c>
      <c r="B170">
        <v>0</v>
      </c>
      <c r="C170">
        <v>0</v>
      </c>
      <c r="D170">
        <v>0</v>
      </c>
      <c r="E170">
        <v>0</v>
      </c>
    </row>
    <row r="171" spans="1:5" x14ac:dyDescent="0.25">
      <c r="A171">
        <v>0</v>
      </c>
      <c r="B171">
        <v>0</v>
      </c>
      <c r="C171">
        <v>0</v>
      </c>
      <c r="D171">
        <v>0</v>
      </c>
      <c r="E171">
        <v>0</v>
      </c>
    </row>
    <row r="172" spans="1:5" x14ac:dyDescent="0.25">
      <c r="A172">
        <v>0</v>
      </c>
      <c r="B172">
        <v>0</v>
      </c>
      <c r="C172">
        <v>0</v>
      </c>
      <c r="D172">
        <v>0</v>
      </c>
      <c r="E172">
        <v>0</v>
      </c>
    </row>
    <row r="173" spans="1:5" x14ac:dyDescent="0.25">
      <c r="A173">
        <v>0</v>
      </c>
      <c r="B173">
        <v>0</v>
      </c>
      <c r="C173">
        <v>0</v>
      </c>
      <c r="D173">
        <v>0</v>
      </c>
      <c r="E173">
        <v>0</v>
      </c>
    </row>
    <row r="174" spans="1:5" x14ac:dyDescent="0.25">
      <c r="A174">
        <v>0</v>
      </c>
      <c r="B174">
        <v>0</v>
      </c>
      <c r="C174">
        <v>0</v>
      </c>
      <c r="D174">
        <v>0</v>
      </c>
      <c r="E174">
        <v>0</v>
      </c>
    </row>
    <row r="175" spans="1:5" x14ac:dyDescent="0.25">
      <c r="A175">
        <v>0</v>
      </c>
      <c r="B175">
        <v>0</v>
      </c>
      <c r="C175">
        <v>0</v>
      </c>
      <c r="D175">
        <v>0</v>
      </c>
      <c r="E175">
        <v>0</v>
      </c>
    </row>
    <row r="176" spans="1:5" x14ac:dyDescent="0.25">
      <c r="A176">
        <v>0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>
        <v>0</v>
      </c>
      <c r="B177">
        <v>0</v>
      </c>
      <c r="C177">
        <v>0</v>
      </c>
      <c r="D177">
        <v>0</v>
      </c>
      <c r="E177">
        <v>0</v>
      </c>
    </row>
    <row r="178" spans="1:5" x14ac:dyDescent="0.25">
      <c r="A178">
        <v>0</v>
      </c>
      <c r="B178">
        <v>0</v>
      </c>
      <c r="C178">
        <v>0</v>
      </c>
      <c r="D178">
        <v>0</v>
      </c>
      <c r="E178">
        <v>0</v>
      </c>
    </row>
    <row r="179" spans="1:5" x14ac:dyDescent="0.25">
      <c r="A179">
        <v>0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>
        <v>0</v>
      </c>
      <c r="B180">
        <v>0</v>
      </c>
      <c r="C180">
        <v>0</v>
      </c>
      <c r="D180">
        <v>0</v>
      </c>
      <c r="E180">
        <v>0</v>
      </c>
    </row>
    <row r="181" spans="1:5" x14ac:dyDescent="0.25">
      <c r="A181">
        <v>0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>
        <v>0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>
        <v>0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>
        <v>0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>
        <v>0</v>
      </c>
      <c r="B185">
        <v>0</v>
      </c>
      <c r="C185">
        <v>0</v>
      </c>
      <c r="D185">
        <v>0</v>
      </c>
      <c r="E185">
        <v>0</v>
      </c>
    </row>
    <row r="186" spans="1:5" x14ac:dyDescent="0.25">
      <c r="A186">
        <v>0</v>
      </c>
      <c r="B186">
        <v>0</v>
      </c>
      <c r="C186">
        <v>0</v>
      </c>
      <c r="D186">
        <v>0</v>
      </c>
      <c r="E186">
        <v>0</v>
      </c>
    </row>
    <row r="187" spans="1:5" x14ac:dyDescent="0.25">
      <c r="A187">
        <v>0</v>
      </c>
      <c r="B187">
        <v>0</v>
      </c>
      <c r="C187">
        <v>0</v>
      </c>
      <c r="D187">
        <v>0</v>
      </c>
      <c r="E187">
        <v>0</v>
      </c>
    </row>
    <row r="188" spans="1:5" x14ac:dyDescent="0.25">
      <c r="A188">
        <v>0</v>
      </c>
      <c r="B188">
        <v>0</v>
      </c>
      <c r="C188">
        <v>0</v>
      </c>
      <c r="D188">
        <v>0</v>
      </c>
      <c r="E188">
        <v>0</v>
      </c>
    </row>
    <row r="189" spans="1:5" x14ac:dyDescent="0.25">
      <c r="A189">
        <v>0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>
        <v>0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>
        <v>0</v>
      </c>
      <c r="B191">
        <v>0</v>
      </c>
      <c r="C191">
        <v>0</v>
      </c>
      <c r="D191">
        <v>0</v>
      </c>
      <c r="E191">
        <v>0</v>
      </c>
    </row>
    <row r="192" spans="1:5" x14ac:dyDescent="0.25">
      <c r="A192">
        <v>0</v>
      </c>
      <c r="B192">
        <v>0</v>
      </c>
      <c r="C192">
        <v>0</v>
      </c>
      <c r="D192">
        <v>0</v>
      </c>
      <c r="E192">
        <v>0</v>
      </c>
    </row>
    <row r="193" spans="1:5" x14ac:dyDescent="0.25">
      <c r="A193">
        <v>0</v>
      </c>
      <c r="B193">
        <v>0</v>
      </c>
      <c r="C193">
        <v>0</v>
      </c>
      <c r="D193">
        <v>0</v>
      </c>
      <c r="E193">
        <v>0</v>
      </c>
    </row>
    <row r="194" spans="1:5" x14ac:dyDescent="0.25">
      <c r="A194">
        <v>0</v>
      </c>
      <c r="B194">
        <v>0</v>
      </c>
      <c r="C194">
        <v>0</v>
      </c>
      <c r="D194">
        <v>0</v>
      </c>
      <c r="E194">
        <v>0</v>
      </c>
    </row>
    <row r="195" spans="1:5" x14ac:dyDescent="0.25">
      <c r="A195">
        <v>0</v>
      </c>
      <c r="B195">
        <v>0</v>
      </c>
      <c r="C195">
        <v>0</v>
      </c>
      <c r="D195">
        <v>0</v>
      </c>
      <c r="E195">
        <v>0</v>
      </c>
    </row>
    <row r="196" spans="1:5" x14ac:dyDescent="0.25">
      <c r="A196">
        <v>0</v>
      </c>
      <c r="B196">
        <v>0</v>
      </c>
      <c r="C196">
        <v>0</v>
      </c>
      <c r="D196">
        <v>0</v>
      </c>
      <c r="E196">
        <v>0</v>
      </c>
    </row>
    <row r="197" spans="1:5" x14ac:dyDescent="0.25">
      <c r="A197">
        <v>0</v>
      </c>
      <c r="B197">
        <v>0</v>
      </c>
      <c r="C197">
        <v>0</v>
      </c>
      <c r="D197">
        <v>0</v>
      </c>
      <c r="E197">
        <v>0</v>
      </c>
    </row>
    <row r="198" spans="1:5" x14ac:dyDescent="0.25">
      <c r="A198">
        <v>0</v>
      </c>
      <c r="B198">
        <v>0</v>
      </c>
      <c r="C198">
        <v>0</v>
      </c>
      <c r="D198">
        <v>0</v>
      </c>
      <c r="E198">
        <v>0</v>
      </c>
    </row>
    <row r="199" spans="1:5" x14ac:dyDescent="0.25">
      <c r="A199">
        <v>0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>
        <v>0</v>
      </c>
      <c r="B200">
        <v>0</v>
      </c>
      <c r="C200">
        <v>0</v>
      </c>
      <c r="D200">
        <v>0</v>
      </c>
      <c r="E200">
        <v>0</v>
      </c>
    </row>
    <row r="201" spans="1:5" x14ac:dyDescent="0.25">
      <c r="A201">
        <v>0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>
        <v>0</v>
      </c>
      <c r="B202">
        <v>0</v>
      </c>
      <c r="C202">
        <v>0</v>
      </c>
      <c r="D202">
        <v>0</v>
      </c>
      <c r="E202">
        <v>0</v>
      </c>
    </row>
    <row r="203" spans="1:5" x14ac:dyDescent="0.25">
      <c r="A203">
        <v>0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>
        <v>0</v>
      </c>
      <c r="B204">
        <v>0</v>
      </c>
      <c r="C204">
        <v>0</v>
      </c>
      <c r="D204">
        <v>0</v>
      </c>
      <c r="E204">
        <v>0</v>
      </c>
    </row>
    <row r="205" spans="1:5" x14ac:dyDescent="0.25">
      <c r="A205">
        <v>0</v>
      </c>
      <c r="B205">
        <v>0</v>
      </c>
      <c r="C205">
        <v>0</v>
      </c>
      <c r="D205">
        <v>0</v>
      </c>
      <c r="E205">
        <v>0</v>
      </c>
    </row>
    <row r="206" spans="1:5" x14ac:dyDescent="0.25">
      <c r="A206">
        <v>0</v>
      </c>
      <c r="B206">
        <v>0</v>
      </c>
      <c r="C206">
        <v>0</v>
      </c>
      <c r="D206">
        <v>0</v>
      </c>
      <c r="E206">
        <v>0</v>
      </c>
    </row>
    <row r="207" spans="1:5" x14ac:dyDescent="0.25">
      <c r="A207">
        <v>0</v>
      </c>
      <c r="B207">
        <v>0</v>
      </c>
      <c r="C207">
        <v>0</v>
      </c>
      <c r="D207">
        <v>0</v>
      </c>
      <c r="E207">
        <v>0</v>
      </c>
    </row>
    <row r="208" spans="1:5" x14ac:dyDescent="0.25">
      <c r="A208">
        <v>0</v>
      </c>
      <c r="B208">
        <v>0</v>
      </c>
      <c r="C208">
        <v>0</v>
      </c>
      <c r="D208">
        <v>0</v>
      </c>
      <c r="E208">
        <v>0</v>
      </c>
    </row>
    <row r="209" spans="1:5" x14ac:dyDescent="0.25">
      <c r="A209">
        <v>0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>
        <v>0</v>
      </c>
      <c r="B210">
        <v>0</v>
      </c>
      <c r="C210">
        <v>0</v>
      </c>
      <c r="D210">
        <v>0</v>
      </c>
      <c r="E210">
        <v>0</v>
      </c>
    </row>
    <row r="211" spans="1:5" x14ac:dyDescent="0.25">
      <c r="A211">
        <v>0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>
        <v>0</v>
      </c>
      <c r="B212">
        <v>0</v>
      </c>
      <c r="C212">
        <v>0</v>
      </c>
      <c r="D212">
        <v>0</v>
      </c>
      <c r="E212">
        <v>0</v>
      </c>
    </row>
    <row r="213" spans="1:5" x14ac:dyDescent="0.25">
      <c r="A213">
        <v>0</v>
      </c>
      <c r="B213">
        <v>0</v>
      </c>
      <c r="C213">
        <v>0</v>
      </c>
      <c r="D213">
        <v>0</v>
      </c>
      <c r="E213">
        <v>0</v>
      </c>
    </row>
    <row r="214" spans="1:5" x14ac:dyDescent="0.25">
      <c r="A214">
        <v>0</v>
      </c>
      <c r="B214">
        <v>0</v>
      </c>
      <c r="C214">
        <v>0</v>
      </c>
      <c r="D214">
        <v>0</v>
      </c>
      <c r="E214">
        <v>0</v>
      </c>
    </row>
    <row r="215" spans="1:5" x14ac:dyDescent="0.25">
      <c r="A215">
        <v>0</v>
      </c>
      <c r="B215">
        <v>0</v>
      </c>
      <c r="C215">
        <v>0</v>
      </c>
      <c r="D215">
        <v>0</v>
      </c>
      <c r="E215">
        <v>0</v>
      </c>
    </row>
    <row r="216" spans="1:5" x14ac:dyDescent="0.25">
      <c r="A216">
        <v>0</v>
      </c>
      <c r="B216">
        <v>0</v>
      </c>
      <c r="C216">
        <v>0</v>
      </c>
      <c r="D216">
        <v>0</v>
      </c>
      <c r="E216">
        <v>0</v>
      </c>
    </row>
    <row r="217" spans="1:5" x14ac:dyDescent="0.25">
      <c r="A217">
        <v>0</v>
      </c>
      <c r="B217">
        <v>0</v>
      </c>
      <c r="C217">
        <v>0</v>
      </c>
      <c r="D217">
        <v>0</v>
      </c>
      <c r="E217">
        <v>0</v>
      </c>
    </row>
    <row r="218" spans="1:5" x14ac:dyDescent="0.25">
      <c r="A218">
        <v>0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>
        <v>0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>
        <v>0</v>
      </c>
      <c r="B220">
        <v>0</v>
      </c>
      <c r="C220">
        <v>0</v>
      </c>
      <c r="D220">
        <v>0</v>
      </c>
      <c r="E220">
        <v>0</v>
      </c>
    </row>
    <row r="221" spans="1:5" x14ac:dyDescent="0.25">
      <c r="A221">
        <v>0</v>
      </c>
      <c r="B221">
        <v>0</v>
      </c>
      <c r="C221">
        <v>0</v>
      </c>
      <c r="D221">
        <v>0</v>
      </c>
      <c r="E221">
        <v>0</v>
      </c>
    </row>
    <row r="222" spans="1:5" x14ac:dyDescent="0.25">
      <c r="A222">
        <v>0</v>
      </c>
      <c r="B222">
        <v>0</v>
      </c>
      <c r="C222">
        <v>0</v>
      </c>
      <c r="D222">
        <v>0</v>
      </c>
      <c r="E222">
        <v>0</v>
      </c>
    </row>
    <row r="223" spans="1:5" x14ac:dyDescent="0.25">
      <c r="A223">
        <v>0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>
        <v>0</v>
      </c>
      <c r="B224">
        <v>0</v>
      </c>
      <c r="C224">
        <v>0</v>
      </c>
      <c r="D224">
        <v>0</v>
      </c>
      <c r="E224">
        <v>0</v>
      </c>
    </row>
    <row r="225" spans="1:5" x14ac:dyDescent="0.25">
      <c r="A225">
        <v>0</v>
      </c>
      <c r="B225">
        <v>0</v>
      </c>
      <c r="C225">
        <v>0</v>
      </c>
      <c r="D225">
        <v>0</v>
      </c>
      <c r="E225">
        <v>0</v>
      </c>
    </row>
    <row r="226" spans="1:5" x14ac:dyDescent="0.25">
      <c r="A226">
        <v>0</v>
      </c>
      <c r="B226">
        <v>0</v>
      </c>
      <c r="C226">
        <v>0</v>
      </c>
      <c r="D226">
        <v>0</v>
      </c>
      <c r="E226">
        <v>0</v>
      </c>
    </row>
    <row r="227" spans="1:5" x14ac:dyDescent="0.25">
      <c r="A227">
        <v>0</v>
      </c>
      <c r="B227">
        <v>0</v>
      </c>
      <c r="C227">
        <v>0</v>
      </c>
      <c r="D227">
        <v>0</v>
      </c>
      <c r="E227">
        <v>0</v>
      </c>
    </row>
    <row r="228" spans="1:5" x14ac:dyDescent="0.25">
      <c r="A228">
        <v>0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>
        <v>0</v>
      </c>
      <c r="B229">
        <v>0</v>
      </c>
      <c r="C229">
        <v>0</v>
      </c>
      <c r="D229">
        <v>0</v>
      </c>
      <c r="E229">
        <v>0</v>
      </c>
    </row>
    <row r="230" spans="1:5" x14ac:dyDescent="0.25">
      <c r="A230">
        <v>0</v>
      </c>
      <c r="B230">
        <v>0</v>
      </c>
      <c r="C230">
        <v>0</v>
      </c>
      <c r="D230">
        <v>0</v>
      </c>
      <c r="E230">
        <v>0</v>
      </c>
    </row>
    <row r="231" spans="1:5" x14ac:dyDescent="0.25">
      <c r="A231">
        <v>0</v>
      </c>
      <c r="B231">
        <v>0</v>
      </c>
      <c r="C231">
        <v>0</v>
      </c>
      <c r="D231">
        <v>0</v>
      </c>
      <c r="E231">
        <v>0</v>
      </c>
    </row>
    <row r="232" spans="1:5" x14ac:dyDescent="0.25">
      <c r="A232">
        <v>0</v>
      </c>
      <c r="B232">
        <v>0</v>
      </c>
      <c r="C232">
        <v>0</v>
      </c>
      <c r="D232">
        <v>0</v>
      </c>
      <c r="E232">
        <v>0</v>
      </c>
    </row>
    <row r="233" spans="1:5" x14ac:dyDescent="0.25">
      <c r="A233">
        <v>0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>
        <v>0</v>
      </c>
      <c r="B234">
        <v>0</v>
      </c>
      <c r="C234">
        <v>0</v>
      </c>
      <c r="D234">
        <v>0</v>
      </c>
      <c r="E234">
        <v>0</v>
      </c>
    </row>
    <row r="235" spans="1:5" x14ac:dyDescent="0.25">
      <c r="A235">
        <v>0</v>
      </c>
      <c r="B235">
        <v>0</v>
      </c>
      <c r="C235">
        <v>0</v>
      </c>
      <c r="D235">
        <v>0</v>
      </c>
      <c r="E235">
        <v>0</v>
      </c>
    </row>
    <row r="236" spans="1:5" x14ac:dyDescent="0.25">
      <c r="A236">
        <v>0</v>
      </c>
      <c r="B236">
        <v>0</v>
      </c>
      <c r="C236">
        <v>0</v>
      </c>
      <c r="D236">
        <v>0</v>
      </c>
      <c r="E236">
        <v>0</v>
      </c>
    </row>
    <row r="237" spans="1:5" x14ac:dyDescent="0.25">
      <c r="A237">
        <v>0</v>
      </c>
      <c r="B237">
        <v>0</v>
      </c>
      <c r="C237">
        <v>0</v>
      </c>
      <c r="D237">
        <v>0</v>
      </c>
      <c r="E237">
        <v>0</v>
      </c>
    </row>
    <row r="238" spans="1:5" x14ac:dyDescent="0.25">
      <c r="A238">
        <v>0</v>
      </c>
      <c r="B238">
        <v>0</v>
      </c>
      <c r="C238">
        <v>0</v>
      </c>
      <c r="D238">
        <v>0</v>
      </c>
      <c r="E238">
        <v>0</v>
      </c>
    </row>
    <row r="239" spans="1:5" x14ac:dyDescent="0.25">
      <c r="A239">
        <v>0</v>
      </c>
      <c r="B239">
        <v>0</v>
      </c>
      <c r="C239">
        <v>0</v>
      </c>
      <c r="D239">
        <v>0</v>
      </c>
      <c r="E239">
        <v>0</v>
      </c>
    </row>
    <row r="240" spans="1:5" x14ac:dyDescent="0.25">
      <c r="A240">
        <v>0</v>
      </c>
      <c r="B240">
        <v>0</v>
      </c>
      <c r="C240">
        <v>0</v>
      </c>
      <c r="D240">
        <v>0</v>
      </c>
      <c r="E240">
        <v>0</v>
      </c>
    </row>
    <row r="241" spans="1:5" x14ac:dyDescent="0.25">
      <c r="A241">
        <v>0</v>
      </c>
      <c r="B241">
        <v>0</v>
      </c>
      <c r="C241">
        <v>0</v>
      </c>
      <c r="D241">
        <v>0</v>
      </c>
      <c r="E241">
        <v>0</v>
      </c>
    </row>
    <row r="242" spans="1:5" x14ac:dyDescent="0.25">
      <c r="A242">
        <v>0</v>
      </c>
      <c r="B242">
        <v>0</v>
      </c>
      <c r="C242">
        <v>0</v>
      </c>
      <c r="D242">
        <v>0</v>
      </c>
      <c r="E242">
        <v>0</v>
      </c>
    </row>
    <row r="243" spans="1:5" x14ac:dyDescent="0.25">
      <c r="A243">
        <v>0</v>
      </c>
      <c r="B243">
        <v>0</v>
      </c>
      <c r="C243">
        <v>0</v>
      </c>
      <c r="D243">
        <v>0</v>
      </c>
      <c r="E243">
        <v>0</v>
      </c>
    </row>
    <row r="244" spans="1:5" x14ac:dyDescent="0.25">
      <c r="A244">
        <v>0</v>
      </c>
      <c r="B244">
        <v>0</v>
      </c>
      <c r="C244">
        <v>0</v>
      </c>
      <c r="D244">
        <v>0</v>
      </c>
      <c r="E244">
        <v>0</v>
      </c>
    </row>
    <row r="245" spans="1:5" x14ac:dyDescent="0.25">
      <c r="A245">
        <v>0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>
        <v>0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>
        <v>0</v>
      </c>
      <c r="B247">
        <v>0</v>
      </c>
      <c r="C247">
        <v>0</v>
      </c>
      <c r="D247">
        <v>0</v>
      </c>
      <c r="E247">
        <v>0</v>
      </c>
    </row>
    <row r="248" spans="1:5" x14ac:dyDescent="0.25">
      <c r="A248">
        <v>0</v>
      </c>
      <c r="B248">
        <v>0</v>
      </c>
      <c r="C248">
        <v>0</v>
      </c>
      <c r="D248">
        <v>0</v>
      </c>
      <c r="E248">
        <v>0</v>
      </c>
    </row>
    <row r="249" spans="1:5" x14ac:dyDescent="0.25">
      <c r="A249">
        <v>0</v>
      </c>
      <c r="B249">
        <v>0</v>
      </c>
      <c r="C249">
        <v>0</v>
      </c>
      <c r="D249">
        <v>0</v>
      </c>
      <c r="E249">
        <v>0</v>
      </c>
    </row>
    <row r="250" spans="1:5" x14ac:dyDescent="0.25">
      <c r="A250">
        <v>0</v>
      </c>
      <c r="B250">
        <v>0</v>
      </c>
      <c r="C250">
        <v>0</v>
      </c>
      <c r="D250">
        <v>0</v>
      </c>
      <c r="E250">
        <v>0</v>
      </c>
    </row>
    <row r="251" spans="1:5" x14ac:dyDescent="0.25">
      <c r="A251">
        <v>0</v>
      </c>
      <c r="B251">
        <v>0</v>
      </c>
      <c r="C251">
        <v>0</v>
      </c>
      <c r="D251">
        <v>0</v>
      </c>
      <c r="E251">
        <v>0</v>
      </c>
    </row>
    <row r="252" spans="1:5" x14ac:dyDescent="0.25">
      <c r="A252">
        <v>0</v>
      </c>
      <c r="B252">
        <v>0</v>
      </c>
      <c r="C252">
        <v>0</v>
      </c>
      <c r="D252">
        <v>0</v>
      </c>
      <c r="E252">
        <v>0</v>
      </c>
    </row>
    <row r="253" spans="1:5" x14ac:dyDescent="0.25">
      <c r="A253">
        <v>0</v>
      </c>
      <c r="B253">
        <v>0</v>
      </c>
      <c r="C253">
        <v>0</v>
      </c>
      <c r="D253">
        <v>0</v>
      </c>
      <c r="E253">
        <v>0</v>
      </c>
    </row>
    <row r="254" spans="1:5" x14ac:dyDescent="0.25">
      <c r="A254">
        <v>0</v>
      </c>
      <c r="B254">
        <v>0</v>
      </c>
      <c r="C254">
        <v>0</v>
      </c>
      <c r="D254">
        <v>0</v>
      </c>
      <c r="E254">
        <v>0</v>
      </c>
    </row>
    <row r="255" spans="1:5" x14ac:dyDescent="0.25">
      <c r="A255">
        <v>0</v>
      </c>
      <c r="B255">
        <v>0</v>
      </c>
      <c r="C255">
        <v>0</v>
      </c>
      <c r="D255">
        <v>0</v>
      </c>
      <c r="E255">
        <v>0</v>
      </c>
    </row>
    <row r="256" spans="1:5" x14ac:dyDescent="0.25">
      <c r="A256">
        <v>0</v>
      </c>
      <c r="B256">
        <v>0</v>
      </c>
      <c r="C256">
        <v>0</v>
      </c>
      <c r="D256">
        <v>0</v>
      </c>
      <c r="E256">
        <v>0</v>
      </c>
    </row>
    <row r="257" spans="1:5" x14ac:dyDescent="0.25">
      <c r="A257">
        <v>0</v>
      </c>
      <c r="B257">
        <v>0</v>
      </c>
      <c r="C257">
        <v>0</v>
      </c>
      <c r="D257">
        <v>0</v>
      </c>
      <c r="E257">
        <v>0</v>
      </c>
    </row>
    <row r="258" spans="1:5" x14ac:dyDescent="0.25">
      <c r="A258">
        <v>0</v>
      </c>
      <c r="B258">
        <v>0</v>
      </c>
      <c r="C258">
        <v>0</v>
      </c>
      <c r="D258">
        <v>0</v>
      </c>
      <c r="E258">
        <v>0</v>
      </c>
    </row>
    <row r="259" spans="1:5" x14ac:dyDescent="0.25">
      <c r="A259">
        <v>0</v>
      </c>
      <c r="B259">
        <v>0</v>
      </c>
      <c r="C259">
        <v>0</v>
      </c>
      <c r="D259">
        <v>0</v>
      </c>
      <c r="E259">
        <v>0</v>
      </c>
    </row>
    <row r="260" spans="1:5" x14ac:dyDescent="0.25">
      <c r="A260">
        <v>0</v>
      </c>
      <c r="B260">
        <v>0</v>
      </c>
      <c r="C260">
        <v>0</v>
      </c>
      <c r="D260">
        <v>0</v>
      </c>
      <c r="E260">
        <v>0</v>
      </c>
    </row>
    <row r="261" spans="1:5" x14ac:dyDescent="0.25">
      <c r="A261">
        <v>0</v>
      </c>
      <c r="B261">
        <v>0</v>
      </c>
      <c r="C261">
        <v>0</v>
      </c>
      <c r="D261">
        <v>0</v>
      </c>
      <c r="E261">
        <v>0</v>
      </c>
    </row>
    <row r="262" spans="1:5" x14ac:dyDescent="0.25">
      <c r="A262">
        <v>0</v>
      </c>
      <c r="B262">
        <v>0</v>
      </c>
      <c r="C262">
        <v>0</v>
      </c>
      <c r="D262">
        <v>0</v>
      </c>
      <c r="E262">
        <v>0</v>
      </c>
    </row>
    <row r="263" spans="1:5" x14ac:dyDescent="0.25">
      <c r="A263">
        <v>0</v>
      </c>
      <c r="B263">
        <v>0</v>
      </c>
      <c r="C263">
        <v>0</v>
      </c>
      <c r="D263">
        <v>0</v>
      </c>
      <c r="E263">
        <v>0</v>
      </c>
    </row>
    <row r="264" spans="1:5" x14ac:dyDescent="0.25">
      <c r="A264">
        <v>0</v>
      </c>
      <c r="B264">
        <v>0</v>
      </c>
      <c r="C264">
        <v>0</v>
      </c>
      <c r="D264">
        <v>0</v>
      </c>
      <c r="E264">
        <v>0</v>
      </c>
    </row>
    <row r="265" spans="1:5" x14ac:dyDescent="0.25">
      <c r="A265">
        <v>0</v>
      </c>
      <c r="B265">
        <v>0</v>
      </c>
      <c r="C265">
        <v>0</v>
      </c>
      <c r="D265">
        <v>0</v>
      </c>
      <c r="E265">
        <v>0</v>
      </c>
    </row>
    <row r="266" spans="1:5" x14ac:dyDescent="0.25">
      <c r="A266">
        <v>0</v>
      </c>
      <c r="B266">
        <v>0</v>
      </c>
      <c r="C266">
        <v>0</v>
      </c>
      <c r="D266">
        <v>0</v>
      </c>
      <c r="E266">
        <v>0</v>
      </c>
    </row>
    <row r="267" spans="1:5" x14ac:dyDescent="0.25">
      <c r="A267">
        <v>0</v>
      </c>
      <c r="B267">
        <v>0</v>
      </c>
      <c r="C267">
        <v>0</v>
      </c>
      <c r="D267">
        <v>0</v>
      </c>
      <c r="E267">
        <v>0</v>
      </c>
    </row>
    <row r="268" spans="1:5" x14ac:dyDescent="0.25">
      <c r="A268">
        <v>0</v>
      </c>
      <c r="B268">
        <v>0</v>
      </c>
      <c r="C268">
        <v>0</v>
      </c>
      <c r="D268">
        <v>0</v>
      </c>
      <c r="E268">
        <v>0</v>
      </c>
    </row>
    <row r="269" spans="1:5" x14ac:dyDescent="0.25">
      <c r="A269">
        <v>0</v>
      </c>
      <c r="B269">
        <v>0</v>
      </c>
      <c r="C269">
        <v>0</v>
      </c>
      <c r="D269">
        <v>0</v>
      </c>
      <c r="E269">
        <v>0</v>
      </c>
    </row>
    <row r="270" spans="1:5" x14ac:dyDescent="0.25">
      <c r="A270">
        <v>0</v>
      </c>
      <c r="B270">
        <v>0</v>
      </c>
      <c r="C270">
        <v>0</v>
      </c>
      <c r="D270">
        <v>0</v>
      </c>
      <c r="E270">
        <v>0</v>
      </c>
    </row>
    <row r="271" spans="1:5" x14ac:dyDescent="0.25">
      <c r="A271">
        <v>0</v>
      </c>
      <c r="B271">
        <v>0</v>
      </c>
      <c r="C271">
        <v>0</v>
      </c>
      <c r="D271">
        <v>0</v>
      </c>
      <c r="E271">
        <v>0</v>
      </c>
    </row>
    <row r="272" spans="1:5" x14ac:dyDescent="0.25">
      <c r="A272">
        <v>0</v>
      </c>
      <c r="B272">
        <v>0</v>
      </c>
      <c r="C272">
        <v>0</v>
      </c>
      <c r="D272">
        <v>0</v>
      </c>
      <c r="E272">
        <v>0</v>
      </c>
    </row>
    <row r="273" spans="1:5" x14ac:dyDescent="0.25">
      <c r="A273">
        <v>0</v>
      </c>
      <c r="B273">
        <v>0</v>
      </c>
      <c r="C273">
        <v>0</v>
      </c>
      <c r="D273">
        <v>0</v>
      </c>
      <c r="E273">
        <v>0</v>
      </c>
    </row>
    <row r="274" spans="1:5" x14ac:dyDescent="0.25">
      <c r="A274">
        <v>0</v>
      </c>
      <c r="B274">
        <v>0</v>
      </c>
      <c r="C274">
        <v>0</v>
      </c>
      <c r="D274">
        <v>0</v>
      </c>
      <c r="E274">
        <v>0</v>
      </c>
    </row>
    <row r="275" spans="1:5" x14ac:dyDescent="0.25">
      <c r="A275">
        <v>0</v>
      </c>
      <c r="B275">
        <v>0</v>
      </c>
      <c r="C275">
        <v>0</v>
      </c>
      <c r="D275">
        <v>0</v>
      </c>
      <c r="E275">
        <v>0</v>
      </c>
    </row>
    <row r="276" spans="1:5" x14ac:dyDescent="0.25">
      <c r="A276">
        <v>0</v>
      </c>
      <c r="B276">
        <v>0</v>
      </c>
      <c r="C276">
        <v>0</v>
      </c>
      <c r="D276">
        <v>0</v>
      </c>
      <c r="E276">
        <v>0</v>
      </c>
    </row>
    <row r="277" spans="1:5" x14ac:dyDescent="0.25">
      <c r="A277">
        <v>0</v>
      </c>
      <c r="B277">
        <v>0</v>
      </c>
      <c r="C277">
        <v>0</v>
      </c>
      <c r="D277">
        <v>0</v>
      </c>
      <c r="E277">
        <v>0</v>
      </c>
    </row>
    <row r="278" spans="1:5" x14ac:dyDescent="0.25">
      <c r="A278">
        <v>0</v>
      </c>
      <c r="B278">
        <v>0</v>
      </c>
      <c r="C278">
        <v>0</v>
      </c>
      <c r="D278">
        <v>0</v>
      </c>
      <c r="E278">
        <v>0</v>
      </c>
    </row>
    <row r="279" spans="1:5" x14ac:dyDescent="0.25">
      <c r="A279">
        <v>0</v>
      </c>
      <c r="B279">
        <v>0</v>
      </c>
      <c r="C279">
        <v>0</v>
      </c>
      <c r="D279">
        <v>0</v>
      </c>
      <c r="E279">
        <v>0</v>
      </c>
    </row>
    <row r="280" spans="1:5" x14ac:dyDescent="0.25">
      <c r="A280">
        <v>0</v>
      </c>
      <c r="B280">
        <v>0</v>
      </c>
      <c r="C280">
        <v>0</v>
      </c>
      <c r="D280">
        <v>0</v>
      </c>
      <c r="E280">
        <v>0</v>
      </c>
    </row>
    <row r="281" spans="1:5" x14ac:dyDescent="0.25">
      <c r="A281">
        <v>0</v>
      </c>
      <c r="B281">
        <v>0</v>
      </c>
      <c r="C281">
        <v>0</v>
      </c>
      <c r="D281">
        <v>0</v>
      </c>
      <c r="E281">
        <v>0</v>
      </c>
    </row>
    <row r="282" spans="1:5" x14ac:dyDescent="0.25">
      <c r="A282">
        <v>0</v>
      </c>
      <c r="B282">
        <v>0</v>
      </c>
      <c r="C282">
        <v>0</v>
      </c>
      <c r="D282">
        <v>0</v>
      </c>
      <c r="E282">
        <v>0</v>
      </c>
    </row>
    <row r="283" spans="1:5" x14ac:dyDescent="0.25">
      <c r="A283">
        <v>0</v>
      </c>
      <c r="B283">
        <v>0</v>
      </c>
      <c r="C283">
        <v>0</v>
      </c>
      <c r="D283">
        <v>0</v>
      </c>
      <c r="E283">
        <v>0</v>
      </c>
    </row>
    <row r="284" spans="1:5" x14ac:dyDescent="0.25">
      <c r="A284">
        <v>0</v>
      </c>
      <c r="B284">
        <v>0</v>
      </c>
      <c r="C284">
        <v>0</v>
      </c>
      <c r="D284">
        <v>0</v>
      </c>
      <c r="E284">
        <v>0</v>
      </c>
    </row>
    <row r="285" spans="1:5" x14ac:dyDescent="0.25">
      <c r="A285">
        <v>0</v>
      </c>
      <c r="B285">
        <v>0</v>
      </c>
      <c r="C285">
        <v>0</v>
      </c>
      <c r="D285">
        <v>0</v>
      </c>
      <c r="E285">
        <v>0</v>
      </c>
    </row>
    <row r="286" spans="1:5" x14ac:dyDescent="0.25">
      <c r="A286">
        <v>0</v>
      </c>
      <c r="B286">
        <v>0</v>
      </c>
      <c r="C286">
        <v>0</v>
      </c>
      <c r="D286">
        <v>0</v>
      </c>
      <c r="E286">
        <v>0</v>
      </c>
    </row>
    <row r="287" spans="1:5" x14ac:dyDescent="0.25">
      <c r="A287">
        <v>0</v>
      </c>
      <c r="B287">
        <v>0</v>
      </c>
      <c r="C287">
        <v>0</v>
      </c>
      <c r="D287">
        <v>0</v>
      </c>
      <c r="E287">
        <v>0</v>
      </c>
    </row>
    <row r="288" spans="1:5" x14ac:dyDescent="0.25">
      <c r="A288">
        <v>0</v>
      </c>
      <c r="B288">
        <v>0</v>
      </c>
      <c r="C288">
        <v>0</v>
      </c>
      <c r="D288">
        <v>0</v>
      </c>
      <c r="E288">
        <v>0</v>
      </c>
    </row>
    <row r="289" spans="1:5" x14ac:dyDescent="0.25">
      <c r="A289">
        <v>0</v>
      </c>
      <c r="B289">
        <v>0</v>
      </c>
      <c r="C289">
        <v>0</v>
      </c>
      <c r="D289">
        <v>0</v>
      </c>
      <c r="E289">
        <v>0</v>
      </c>
    </row>
    <row r="290" spans="1:5" x14ac:dyDescent="0.25">
      <c r="A290">
        <v>0</v>
      </c>
      <c r="B290">
        <v>0</v>
      </c>
      <c r="C290">
        <v>0</v>
      </c>
      <c r="D290">
        <v>0</v>
      </c>
      <c r="E290">
        <v>0</v>
      </c>
    </row>
    <row r="291" spans="1:5" x14ac:dyDescent="0.25">
      <c r="A291">
        <v>0</v>
      </c>
      <c r="B291">
        <v>0</v>
      </c>
      <c r="C291">
        <v>0</v>
      </c>
      <c r="D291">
        <v>0</v>
      </c>
      <c r="E291">
        <v>0</v>
      </c>
    </row>
    <row r="292" spans="1:5" x14ac:dyDescent="0.25">
      <c r="A292">
        <v>0</v>
      </c>
      <c r="B292">
        <v>0</v>
      </c>
      <c r="C292">
        <v>0</v>
      </c>
      <c r="D292">
        <v>0</v>
      </c>
      <c r="E292">
        <v>0</v>
      </c>
    </row>
    <row r="293" spans="1:5" x14ac:dyDescent="0.25">
      <c r="A293">
        <v>0</v>
      </c>
      <c r="B293">
        <v>0</v>
      </c>
      <c r="C293">
        <v>0</v>
      </c>
      <c r="D293">
        <v>0</v>
      </c>
      <c r="E293">
        <v>0</v>
      </c>
    </row>
    <row r="294" spans="1:5" x14ac:dyDescent="0.25">
      <c r="A294">
        <v>0</v>
      </c>
      <c r="B294">
        <v>0</v>
      </c>
      <c r="C294">
        <v>0</v>
      </c>
      <c r="D294">
        <v>0</v>
      </c>
      <c r="E294">
        <v>0</v>
      </c>
    </row>
    <row r="295" spans="1:5" x14ac:dyDescent="0.25">
      <c r="A295">
        <v>0</v>
      </c>
      <c r="B295">
        <v>0</v>
      </c>
      <c r="C295">
        <v>0</v>
      </c>
      <c r="D295">
        <v>0</v>
      </c>
      <c r="E295">
        <v>0</v>
      </c>
    </row>
    <row r="296" spans="1:5" x14ac:dyDescent="0.25">
      <c r="A296">
        <v>0</v>
      </c>
      <c r="B296">
        <v>0</v>
      </c>
      <c r="C296">
        <v>0</v>
      </c>
      <c r="D296">
        <v>0</v>
      </c>
      <c r="E296">
        <v>0</v>
      </c>
    </row>
    <row r="297" spans="1:5" x14ac:dyDescent="0.25">
      <c r="A297">
        <v>0</v>
      </c>
      <c r="B297">
        <v>0</v>
      </c>
      <c r="C297">
        <v>0</v>
      </c>
      <c r="D297">
        <v>0</v>
      </c>
      <c r="E297">
        <v>0</v>
      </c>
    </row>
    <row r="298" spans="1:5" x14ac:dyDescent="0.25">
      <c r="A298">
        <v>0</v>
      </c>
      <c r="B298">
        <v>0</v>
      </c>
      <c r="C298">
        <v>0</v>
      </c>
      <c r="D298">
        <v>0</v>
      </c>
      <c r="E298">
        <v>0</v>
      </c>
    </row>
    <row r="299" spans="1:5" x14ac:dyDescent="0.25">
      <c r="A299">
        <v>0</v>
      </c>
      <c r="B299">
        <v>0</v>
      </c>
      <c r="C299">
        <v>0</v>
      </c>
      <c r="D299">
        <v>0</v>
      </c>
      <c r="E299">
        <v>0</v>
      </c>
    </row>
    <row r="300" spans="1:5" x14ac:dyDescent="0.25">
      <c r="A300">
        <v>0</v>
      </c>
      <c r="B300">
        <v>0</v>
      </c>
      <c r="C300">
        <v>0</v>
      </c>
      <c r="D300">
        <v>0</v>
      </c>
      <c r="E300">
        <v>0</v>
      </c>
    </row>
    <row r="301" spans="1:5" x14ac:dyDescent="0.25">
      <c r="A301">
        <v>0</v>
      </c>
      <c r="B301">
        <v>0</v>
      </c>
      <c r="C301">
        <v>0</v>
      </c>
      <c r="D301">
        <v>0</v>
      </c>
      <c r="E301">
        <v>0</v>
      </c>
    </row>
    <row r="302" spans="1:5" x14ac:dyDescent="0.25">
      <c r="A302">
        <v>0</v>
      </c>
      <c r="B302">
        <v>0</v>
      </c>
      <c r="C302">
        <v>0</v>
      </c>
      <c r="D302">
        <v>0</v>
      </c>
      <c r="E302">
        <v>0</v>
      </c>
    </row>
    <row r="303" spans="1:5" x14ac:dyDescent="0.25">
      <c r="A303">
        <v>0</v>
      </c>
      <c r="B303">
        <v>0</v>
      </c>
      <c r="C303">
        <v>0</v>
      </c>
      <c r="D303">
        <v>0</v>
      </c>
      <c r="E303">
        <v>0</v>
      </c>
    </row>
    <row r="304" spans="1:5" x14ac:dyDescent="0.25">
      <c r="A304">
        <v>0</v>
      </c>
      <c r="B304">
        <v>0</v>
      </c>
      <c r="C304">
        <v>0</v>
      </c>
      <c r="D304">
        <v>0</v>
      </c>
      <c r="E304">
        <v>0</v>
      </c>
    </row>
    <row r="305" spans="1:5" x14ac:dyDescent="0.25">
      <c r="A305">
        <v>0</v>
      </c>
      <c r="B305">
        <v>0</v>
      </c>
      <c r="C305">
        <v>0</v>
      </c>
      <c r="D305">
        <v>0</v>
      </c>
      <c r="E305">
        <v>0</v>
      </c>
    </row>
    <row r="306" spans="1:5" x14ac:dyDescent="0.25">
      <c r="A306">
        <v>0</v>
      </c>
      <c r="B306">
        <v>0</v>
      </c>
      <c r="C306">
        <v>0</v>
      </c>
      <c r="D306">
        <v>0</v>
      </c>
      <c r="E306">
        <v>0</v>
      </c>
    </row>
    <row r="307" spans="1:5" x14ac:dyDescent="0.25">
      <c r="A307">
        <v>0</v>
      </c>
      <c r="B307">
        <v>0</v>
      </c>
      <c r="C307">
        <v>0</v>
      </c>
      <c r="D307">
        <v>0</v>
      </c>
      <c r="E307">
        <v>0</v>
      </c>
    </row>
    <row r="308" spans="1:5" x14ac:dyDescent="0.25">
      <c r="A308">
        <v>0</v>
      </c>
      <c r="B308">
        <v>0</v>
      </c>
      <c r="C308">
        <v>0</v>
      </c>
      <c r="D308">
        <v>0</v>
      </c>
      <c r="E308">
        <v>0</v>
      </c>
    </row>
    <row r="309" spans="1:5" x14ac:dyDescent="0.25">
      <c r="A309">
        <v>0</v>
      </c>
      <c r="B309">
        <v>0</v>
      </c>
      <c r="C309">
        <v>0</v>
      </c>
      <c r="D309">
        <v>0</v>
      </c>
      <c r="E309">
        <v>0</v>
      </c>
    </row>
    <row r="310" spans="1:5" x14ac:dyDescent="0.25">
      <c r="A310">
        <v>0</v>
      </c>
      <c r="B310">
        <v>0</v>
      </c>
      <c r="C310">
        <v>0</v>
      </c>
      <c r="D310">
        <v>0</v>
      </c>
      <c r="E310">
        <v>0</v>
      </c>
    </row>
    <row r="311" spans="1:5" x14ac:dyDescent="0.25">
      <c r="A311">
        <v>0</v>
      </c>
      <c r="B311">
        <v>0</v>
      </c>
      <c r="C311">
        <v>0</v>
      </c>
      <c r="D311">
        <v>0</v>
      </c>
      <c r="E311">
        <v>0</v>
      </c>
    </row>
    <row r="312" spans="1:5" x14ac:dyDescent="0.25">
      <c r="A312">
        <v>0</v>
      </c>
      <c r="B312">
        <v>0</v>
      </c>
      <c r="C312">
        <v>0</v>
      </c>
      <c r="D312">
        <v>0</v>
      </c>
      <c r="E312">
        <v>0</v>
      </c>
    </row>
    <row r="313" spans="1:5" x14ac:dyDescent="0.25">
      <c r="A313">
        <v>0</v>
      </c>
      <c r="B313">
        <v>0</v>
      </c>
      <c r="C313">
        <v>0</v>
      </c>
      <c r="D313">
        <v>0</v>
      </c>
      <c r="E313">
        <v>0</v>
      </c>
    </row>
    <row r="314" spans="1:5" x14ac:dyDescent="0.25">
      <c r="A314">
        <v>0</v>
      </c>
      <c r="B314">
        <v>0</v>
      </c>
      <c r="C314">
        <v>0</v>
      </c>
      <c r="D314">
        <v>0</v>
      </c>
      <c r="E314">
        <v>0</v>
      </c>
    </row>
    <row r="315" spans="1:5" x14ac:dyDescent="0.25">
      <c r="A315">
        <v>0</v>
      </c>
      <c r="B315">
        <v>0</v>
      </c>
      <c r="C315">
        <v>0</v>
      </c>
      <c r="D315">
        <v>0</v>
      </c>
      <c r="E315">
        <v>0</v>
      </c>
    </row>
    <row r="316" spans="1:5" x14ac:dyDescent="0.25">
      <c r="A316">
        <v>0</v>
      </c>
      <c r="B316">
        <v>0</v>
      </c>
      <c r="C316">
        <v>0</v>
      </c>
      <c r="D316">
        <v>0</v>
      </c>
      <c r="E316">
        <v>0</v>
      </c>
    </row>
    <row r="317" spans="1:5" x14ac:dyDescent="0.25">
      <c r="A317">
        <v>0</v>
      </c>
      <c r="B317">
        <v>0</v>
      </c>
      <c r="C317">
        <v>0</v>
      </c>
      <c r="D317">
        <v>0</v>
      </c>
      <c r="E317">
        <v>0</v>
      </c>
    </row>
    <row r="318" spans="1:5" x14ac:dyDescent="0.25">
      <c r="A318">
        <v>0</v>
      </c>
      <c r="B318">
        <v>0</v>
      </c>
      <c r="C318">
        <v>0</v>
      </c>
      <c r="D318">
        <v>0</v>
      </c>
      <c r="E318">
        <v>0</v>
      </c>
    </row>
    <row r="319" spans="1:5" x14ac:dyDescent="0.25">
      <c r="A319">
        <v>0</v>
      </c>
      <c r="B319">
        <v>0</v>
      </c>
      <c r="C319">
        <v>0</v>
      </c>
      <c r="D319">
        <v>0</v>
      </c>
      <c r="E319">
        <v>0</v>
      </c>
    </row>
    <row r="320" spans="1:5" x14ac:dyDescent="0.25">
      <c r="A320">
        <v>0</v>
      </c>
      <c r="B320">
        <v>0</v>
      </c>
      <c r="C320">
        <v>0</v>
      </c>
      <c r="D320">
        <v>0</v>
      </c>
      <c r="E320">
        <v>0</v>
      </c>
    </row>
    <row r="321" spans="1:5" x14ac:dyDescent="0.25">
      <c r="A321">
        <v>0</v>
      </c>
      <c r="B321">
        <v>0</v>
      </c>
      <c r="C321">
        <v>0</v>
      </c>
      <c r="D321">
        <v>0</v>
      </c>
      <c r="E321">
        <v>0</v>
      </c>
    </row>
    <row r="322" spans="1:5" x14ac:dyDescent="0.25">
      <c r="A322">
        <v>0</v>
      </c>
      <c r="B322">
        <v>0</v>
      </c>
      <c r="C322">
        <v>0</v>
      </c>
      <c r="D322">
        <v>0</v>
      </c>
      <c r="E322">
        <v>0</v>
      </c>
    </row>
    <row r="323" spans="1:5" x14ac:dyDescent="0.25">
      <c r="A323">
        <v>0</v>
      </c>
      <c r="B323">
        <v>0</v>
      </c>
      <c r="C323">
        <v>0</v>
      </c>
      <c r="D323">
        <v>0</v>
      </c>
      <c r="E323">
        <v>0</v>
      </c>
    </row>
    <row r="324" spans="1:5" x14ac:dyDescent="0.25">
      <c r="A324">
        <v>0</v>
      </c>
      <c r="B324">
        <v>0</v>
      </c>
      <c r="C324">
        <v>0</v>
      </c>
      <c r="D324">
        <v>0</v>
      </c>
      <c r="E324">
        <v>0</v>
      </c>
    </row>
    <row r="325" spans="1:5" x14ac:dyDescent="0.25">
      <c r="A325">
        <v>0</v>
      </c>
      <c r="B325">
        <v>0</v>
      </c>
      <c r="C325">
        <v>0</v>
      </c>
      <c r="D325">
        <v>0</v>
      </c>
      <c r="E325">
        <v>0</v>
      </c>
    </row>
    <row r="326" spans="1:5" x14ac:dyDescent="0.25">
      <c r="A326">
        <v>0</v>
      </c>
      <c r="B326">
        <v>0</v>
      </c>
      <c r="C326">
        <v>0</v>
      </c>
      <c r="D326">
        <v>0</v>
      </c>
      <c r="E326">
        <v>0</v>
      </c>
    </row>
    <row r="327" spans="1:5" x14ac:dyDescent="0.25">
      <c r="A327">
        <v>0</v>
      </c>
      <c r="B327">
        <v>0</v>
      </c>
      <c r="C327">
        <v>0</v>
      </c>
      <c r="D327">
        <v>0</v>
      </c>
      <c r="E327">
        <v>0</v>
      </c>
    </row>
    <row r="328" spans="1:5" x14ac:dyDescent="0.25">
      <c r="A328">
        <v>0</v>
      </c>
      <c r="B328">
        <v>0</v>
      </c>
      <c r="C328">
        <v>0</v>
      </c>
      <c r="D328">
        <v>0</v>
      </c>
      <c r="E328">
        <v>0</v>
      </c>
    </row>
    <row r="329" spans="1:5" x14ac:dyDescent="0.25">
      <c r="A329">
        <v>0</v>
      </c>
      <c r="B329">
        <v>0</v>
      </c>
      <c r="C329">
        <v>0</v>
      </c>
      <c r="D329">
        <v>0</v>
      </c>
      <c r="E329">
        <v>0</v>
      </c>
    </row>
    <row r="330" spans="1:5" x14ac:dyDescent="0.25">
      <c r="A330">
        <v>0</v>
      </c>
      <c r="B330">
        <v>0</v>
      </c>
      <c r="C330">
        <v>0</v>
      </c>
      <c r="D330">
        <v>0</v>
      </c>
      <c r="E330">
        <v>0</v>
      </c>
    </row>
    <row r="331" spans="1:5" x14ac:dyDescent="0.25">
      <c r="A331">
        <v>0</v>
      </c>
      <c r="B331">
        <v>0</v>
      </c>
      <c r="C331">
        <v>0</v>
      </c>
      <c r="D331">
        <v>0</v>
      </c>
      <c r="E331">
        <v>0</v>
      </c>
    </row>
    <row r="332" spans="1:5" x14ac:dyDescent="0.25">
      <c r="A332">
        <v>0</v>
      </c>
      <c r="B332">
        <v>0</v>
      </c>
      <c r="C332">
        <v>0</v>
      </c>
      <c r="D332">
        <v>0</v>
      </c>
      <c r="E332">
        <v>0</v>
      </c>
    </row>
    <row r="333" spans="1:5" x14ac:dyDescent="0.25">
      <c r="A333">
        <v>0</v>
      </c>
      <c r="B333">
        <v>0</v>
      </c>
      <c r="C333">
        <v>0</v>
      </c>
      <c r="D333">
        <v>0</v>
      </c>
      <c r="E333">
        <v>0</v>
      </c>
    </row>
    <row r="334" spans="1:5" x14ac:dyDescent="0.25">
      <c r="A334">
        <v>0</v>
      </c>
      <c r="B334">
        <v>0</v>
      </c>
      <c r="C334">
        <v>0</v>
      </c>
      <c r="D334">
        <v>0</v>
      </c>
      <c r="E334">
        <v>0</v>
      </c>
    </row>
    <row r="335" spans="1:5" x14ac:dyDescent="0.25">
      <c r="A335">
        <v>0</v>
      </c>
      <c r="B335">
        <v>0</v>
      </c>
      <c r="C335">
        <v>0</v>
      </c>
      <c r="D335">
        <v>0</v>
      </c>
      <c r="E335">
        <v>0</v>
      </c>
    </row>
    <row r="336" spans="1:5" x14ac:dyDescent="0.25">
      <c r="A336">
        <v>0</v>
      </c>
      <c r="B336">
        <v>0</v>
      </c>
      <c r="C336">
        <v>0</v>
      </c>
      <c r="D336">
        <v>0</v>
      </c>
      <c r="E336">
        <v>0</v>
      </c>
    </row>
    <row r="337" spans="1:5" x14ac:dyDescent="0.25">
      <c r="A337">
        <v>0</v>
      </c>
      <c r="B337">
        <v>0</v>
      </c>
      <c r="C337">
        <v>0</v>
      </c>
      <c r="D337">
        <v>0</v>
      </c>
      <c r="E337">
        <v>0</v>
      </c>
    </row>
    <row r="338" spans="1:5" x14ac:dyDescent="0.25">
      <c r="A338">
        <v>0</v>
      </c>
      <c r="B338">
        <v>0</v>
      </c>
      <c r="C338">
        <v>0</v>
      </c>
      <c r="D338">
        <v>0</v>
      </c>
      <c r="E338">
        <v>0</v>
      </c>
    </row>
    <row r="339" spans="1:5" x14ac:dyDescent="0.25">
      <c r="A339">
        <v>0</v>
      </c>
      <c r="B339">
        <v>0</v>
      </c>
      <c r="C339">
        <v>0</v>
      </c>
      <c r="D339">
        <v>0</v>
      </c>
      <c r="E339">
        <v>0</v>
      </c>
    </row>
    <row r="340" spans="1:5" x14ac:dyDescent="0.25">
      <c r="A340">
        <v>0</v>
      </c>
      <c r="B340">
        <v>0</v>
      </c>
      <c r="C340">
        <v>0</v>
      </c>
      <c r="D340">
        <v>0</v>
      </c>
      <c r="E340">
        <v>0</v>
      </c>
    </row>
    <row r="341" spans="1:5" x14ac:dyDescent="0.25">
      <c r="A341">
        <v>0</v>
      </c>
      <c r="B341">
        <v>0</v>
      </c>
      <c r="C341">
        <v>0</v>
      </c>
      <c r="D341">
        <v>0</v>
      </c>
      <c r="E341">
        <v>0</v>
      </c>
    </row>
    <row r="342" spans="1:5" x14ac:dyDescent="0.25">
      <c r="A342">
        <v>0</v>
      </c>
      <c r="B342">
        <v>0</v>
      </c>
      <c r="C342">
        <v>0</v>
      </c>
      <c r="D342">
        <v>0</v>
      </c>
      <c r="E342">
        <v>0</v>
      </c>
    </row>
    <row r="343" spans="1:5" x14ac:dyDescent="0.25">
      <c r="A343">
        <v>0</v>
      </c>
      <c r="B343">
        <v>0</v>
      </c>
      <c r="C343">
        <v>0</v>
      </c>
      <c r="D343">
        <v>0</v>
      </c>
      <c r="E343">
        <v>0</v>
      </c>
    </row>
    <row r="344" spans="1:5" x14ac:dyDescent="0.25">
      <c r="A344">
        <v>0</v>
      </c>
      <c r="B344">
        <v>0</v>
      </c>
      <c r="C344">
        <v>0</v>
      </c>
      <c r="D344">
        <v>0</v>
      </c>
      <c r="E344">
        <v>0</v>
      </c>
    </row>
    <row r="345" spans="1:5" x14ac:dyDescent="0.25">
      <c r="A345">
        <v>0</v>
      </c>
      <c r="B345">
        <v>0</v>
      </c>
      <c r="C345">
        <v>0</v>
      </c>
      <c r="D345">
        <v>0</v>
      </c>
      <c r="E345">
        <v>0</v>
      </c>
    </row>
    <row r="346" spans="1:5" x14ac:dyDescent="0.25">
      <c r="A346">
        <v>0</v>
      </c>
      <c r="B346">
        <v>0</v>
      </c>
      <c r="C346">
        <v>0</v>
      </c>
      <c r="D346">
        <v>0</v>
      </c>
      <c r="E346">
        <v>0</v>
      </c>
    </row>
    <row r="347" spans="1:5" x14ac:dyDescent="0.25">
      <c r="A347">
        <v>0</v>
      </c>
      <c r="B347">
        <v>0</v>
      </c>
      <c r="C347">
        <v>0</v>
      </c>
      <c r="D347">
        <v>0</v>
      </c>
      <c r="E347">
        <v>0</v>
      </c>
    </row>
    <row r="348" spans="1:5" x14ac:dyDescent="0.25">
      <c r="A348">
        <v>0</v>
      </c>
      <c r="B348">
        <v>0</v>
      </c>
      <c r="C348">
        <v>0</v>
      </c>
      <c r="D348">
        <v>0</v>
      </c>
      <c r="E348">
        <v>0</v>
      </c>
    </row>
    <row r="349" spans="1:5" x14ac:dyDescent="0.25">
      <c r="A349">
        <v>0</v>
      </c>
      <c r="B349">
        <v>0</v>
      </c>
      <c r="C349">
        <v>0</v>
      </c>
      <c r="D349">
        <v>0</v>
      </c>
      <c r="E349">
        <v>0</v>
      </c>
    </row>
    <row r="350" spans="1:5" x14ac:dyDescent="0.25">
      <c r="A350">
        <v>0</v>
      </c>
      <c r="B350">
        <v>0</v>
      </c>
      <c r="C350">
        <v>0</v>
      </c>
      <c r="D350">
        <v>0</v>
      </c>
      <c r="E350">
        <v>0</v>
      </c>
    </row>
    <row r="351" spans="1:5" x14ac:dyDescent="0.25">
      <c r="A351">
        <v>0</v>
      </c>
      <c r="B351">
        <v>0</v>
      </c>
      <c r="C351">
        <v>0</v>
      </c>
      <c r="D351">
        <v>0</v>
      </c>
      <c r="E351">
        <v>0</v>
      </c>
    </row>
    <row r="352" spans="1:5" x14ac:dyDescent="0.25">
      <c r="A352">
        <v>0</v>
      </c>
      <c r="B352">
        <v>0</v>
      </c>
      <c r="C352">
        <v>0</v>
      </c>
      <c r="D352">
        <v>0</v>
      </c>
      <c r="E352">
        <v>0</v>
      </c>
    </row>
    <row r="353" spans="1:5" x14ac:dyDescent="0.25">
      <c r="A353">
        <v>0</v>
      </c>
      <c r="B353">
        <v>0</v>
      </c>
      <c r="C353">
        <v>0</v>
      </c>
      <c r="D353">
        <v>0</v>
      </c>
      <c r="E353">
        <v>0</v>
      </c>
    </row>
    <row r="354" spans="1:5" x14ac:dyDescent="0.25">
      <c r="A354">
        <v>0</v>
      </c>
      <c r="B354">
        <v>0</v>
      </c>
      <c r="C354">
        <v>0</v>
      </c>
      <c r="D354">
        <v>0</v>
      </c>
      <c r="E354">
        <v>0</v>
      </c>
    </row>
    <row r="355" spans="1:5" x14ac:dyDescent="0.25">
      <c r="A355">
        <v>0</v>
      </c>
      <c r="B355">
        <v>0</v>
      </c>
      <c r="C355">
        <v>0</v>
      </c>
      <c r="D355">
        <v>0</v>
      </c>
      <c r="E355">
        <v>0</v>
      </c>
    </row>
    <row r="356" spans="1:5" x14ac:dyDescent="0.25">
      <c r="A356">
        <v>0</v>
      </c>
      <c r="B356">
        <v>0</v>
      </c>
      <c r="C356">
        <v>0</v>
      </c>
      <c r="D356">
        <v>0</v>
      </c>
      <c r="E356">
        <v>0</v>
      </c>
    </row>
    <row r="357" spans="1:5" x14ac:dyDescent="0.25">
      <c r="A357">
        <v>0</v>
      </c>
      <c r="B357">
        <v>0</v>
      </c>
      <c r="C357">
        <v>0</v>
      </c>
      <c r="D357">
        <v>0</v>
      </c>
      <c r="E357">
        <v>0</v>
      </c>
    </row>
    <row r="358" spans="1:5" x14ac:dyDescent="0.25">
      <c r="A358">
        <v>0</v>
      </c>
      <c r="B358">
        <v>0</v>
      </c>
      <c r="C358">
        <v>0</v>
      </c>
      <c r="D358">
        <v>0</v>
      </c>
      <c r="E358">
        <v>0</v>
      </c>
    </row>
    <row r="359" spans="1:5" x14ac:dyDescent="0.25">
      <c r="A359">
        <v>0</v>
      </c>
      <c r="B359">
        <v>0</v>
      </c>
      <c r="C359">
        <v>0</v>
      </c>
      <c r="D359">
        <v>0</v>
      </c>
      <c r="E359">
        <v>0</v>
      </c>
    </row>
    <row r="360" spans="1:5" x14ac:dyDescent="0.25">
      <c r="A360">
        <v>0</v>
      </c>
      <c r="B360">
        <v>0</v>
      </c>
      <c r="C360">
        <v>0</v>
      </c>
      <c r="D360">
        <v>0</v>
      </c>
      <c r="E360">
        <v>0</v>
      </c>
    </row>
    <row r="361" spans="1:5" x14ac:dyDescent="0.25">
      <c r="A361">
        <v>0</v>
      </c>
      <c r="B361">
        <v>0</v>
      </c>
      <c r="C361">
        <v>0</v>
      </c>
      <c r="D361">
        <v>0</v>
      </c>
      <c r="E361">
        <v>0</v>
      </c>
    </row>
    <row r="362" spans="1:5" x14ac:dyDescent="0.25">
      <c r="A362">
        <v>0</v>
      </c>
      <c r="B362">
        <v>0</v>
      </c>
      <c r="C362">
        <v>0</v>
      </c>
      <c r="D362">
        <v>0</v>
      </c>
      <c r="E362">
        <v>0</v>
      </c>
    </row>
    <row r="363" spans="1:5" x14ac:dyDescent="0.25">
      <c r="A363">
        <v>0</v>
      </c>
      <c r="B363">
        <v>0</v>
      </c>
      <c r="C363">
        <v>0</v>
      </c>
      <c r="D363">
        <v>0</v>
      </c>
      <c r="E363">
        <v>0</v>
      </c>
    </row>
    <row r="364" spans="1:5" x14ac:dyDescent="0.25">
      <c r="A364">
        <v>0</v>
      </c>
      <c r="B364">
        <v>0</v>
      </c>
      <c r="C364">
        <v>0</v>
      </c>
      <c r="D364">
        <v>0</v>
      </c>
      <c r="E364">
        <v>0</v>
      </c>
    </row>
    <row r="365" spans="1:5" x14ac:dyDescent="0.25">
      <c r="A365">
        <v>0</v>
      </c>
      <c r="B365">
        <v>0</v>
      </c>
      <c r="C365">
        <v>0</v>
      </c>
      <c r="D365">
        <v>0</v>
      </c>
      <c r="E365">
        <v>0</v>
      </c>
    </row>
    <row r="366" spans="1:5" x14ac:dyDescent="0.25">
      <c r="A366">
        <v>0</v>
      </c>
      <c r="B366">
        <v>0</v>
      </c>
      <c r="C366">
        <v>0</v>
      </c>
      <c r="D366">
        <v>0</v>
      </c>
      <c r="E366">
        <v>0</v>
      </c>
    </row>
    <row r="367" spans="1:5" x14ac:dyDescent="0.25">
      <c r="A367">
        <v>0</v>
      </c>
      <c r="B367">
        <v>0</v>
      </c>
      <c r="C367">
        <v>0</v>
      </c>
      <c r="D367">
        <v>0</v>
      </c>
      <c r="E367">
        <v>0</v>
      </c>
    </row>
    <row r="368" spans="1:5" x14ac:dyDescent="0.25">
      <c r="A368">
        <v>0</v>
      </c>
      <c r="B368">
        <v>0</v>
      </c>
      <c r="C368">
        <v>0</v>
      </c>
      <c r="D368">
        <v>0</v>
      </c>
      <c r="E368">
        <v>0</v>
      </c>
    </row>
    <row r="369" spans="1:5" x14ac:dyDescent="0.25">
      <c r="A369">
        <v>0</v>
      </c>
      <c r="B369">
        <v>0</v>
      </c>
      <c r="C369">
        <v>0</v>
      </c>
      <c r="D369">
        <v>0</v>
      </c>
      <c r="E369">
        <v>0</v>
      </c>
    </row>
    <row r="370" spans="1:5" x14ac:dyDescent="0.25">
      <c r="A370">
        <v>0</v>
      </c>
      <c r="B370">
        <v>0</v>
      </c>
      <c r="C370">
        <v>0</v>
      </c>
      <c r="D370">
        <v>0</v>
      </c>
      <c r="E370">
        <v>0</v>
      </c>
    </row>
    <row r="371" spans="1:5" x14ac:dyDescent="0.25">
      <c r="A371">
        <v>0</v>
      </c>
      <c r="B371">
        <v>0</v>
      </c>
      <c r="C371">
        <v>0</v>
      </c>
      <c r="D371">
        <v>0</v>
      </c>
      <c r="E371">
        <v>0</v>
      </c>
    </row>
    <row r="372" spans="1:5" x14ac:dyDescent="0.25">
      <c r="A372">
        <v>0</v>
      </c>
      <c r="B372">
        <v>0</v>
      </c>
      <c r="C372">
        <v>0</v>
      </c>
      <c r="D372">
        <v>0</v>
      </c>
      <c r="E372">
        <v>0</v>
      </c>
    </row>
    <row r="373" spans="1:5" x14ac:dyDescent="0.25">
      <c r="A373">
        <v>0</v>
      </c>
      <c r="B373">
        <v>0</v>
      </c>
      <c r="C373">
        <v>0</v>
      </c>
      <c r="D373">
        <v>0</v>
      </c>
      <c r="E373">
        <v>0</v>
      </c>
    </row>
    <row r="374" spans="1:5" x14ac:dyDescent="0.25">
      <c r="A374">
        <v>0</v>
      </c>
      <c r="B374">
        <v>0</v>
      </c>
      <c r="C374">
        <v>0</v>
      </c>
      <c r="D374">
        <v>0</v>
      </c>
      <c r="E374">
        <v>0</v>
      </c>
    </row>
    <row r="375" spans="1:5" x14ac:dyDescent="0.25">
      <c r="A375">
        <v>0</v>
      </c>
      <c r="B375">
        <v>0</v>
      </c>
      <c r="C375">
        <v>0</v>
      </c>
      <c r="D375">
        <v>0</v>
      </c>
      <c r="E375">
        <v>0</v>
      </c>
    </row>
    <row r="376" spans="1:5" x14ac:dyDescent="0.25">
      <c r="A376">
        <v>0</v>
      </c>
      <c r="B376">
        <v>0</v>
      </c>
      <c r="C376">
        <v>0</v>
      </c>
      <c r="D376">
        <v>0</v>
      </c>
      <c r="E376">
        <v>0</v>
      </c>
    </row>
    <row r="377" spans="1:5" x14ac:dyDescent="0.25">
      <c r="A377">
        <v>0</v>
      </c>
      <c r="B377">
        <v>0</v>
      </c>
      <c r="C377">
        <v>0</v>
      </c>
      <c r="D377">
        <v>0</v>
      </c>
      <c r="E377">
        <v>0</v>
      </c>
    </row>
    <row r="378" spans="1:5" x14ac:dyDescent="0.25">
      <c r="A378">
        <v>0</v>
      </c>
      <c r="B378">
        <v>0</v>
      </c>
      <c r="C378">
        <v>0</v>
      </c>
      <c r="D378">
        <v>0</v>
      </c>
      <c r="E378">
        <v>0</v>
      </c>
    </row>
    <row r="379" spans="1:5" x14ac:dyDescent="0.25">
      <c r="A379">
        <v>0</v>
      </c>
      <c r="B379">
        <v>0</v>
      </c>
      <c r="C379">
        <v>0</v>
      </c>
      <c r="D379">
        <v>0</v>
      </c>
      <c r="E379">
        <v>0</v>
      </c>
    </row>
    <row r="380" spans="1:5" x14ac:dyDescent="0.25">
      <c r="A380">
        <v>0</v>
      </c>
      <c r="B380">
        <v>0</v>
      </c>
      <c r="C380">
        <v>0</v>
      </c>
      <c r="D380">
        <v>0</v>
      </c>
      <c r="E380">
        <v>0</v>
      </c>
    </row>
    <row r="381" spans="1:5" x14ac:dyDescent="0.25">
      <c r="A381">
        <v>0</v>
      </c>
      <c r="B381">
        <v>0</v>
      </c>
      <c r="C381">
        <v>0</v>
      </c>
      <c r="D381">
        <v>0</v>
      </c>
      <c r="E381">
        <v>0</v>
      </c>
    </row>
    <row r="382" spans="1:5" x14ac:dyDescent="0.25">
      <c r="A382">
        <v>0</v>
      </c>
      <c r="B382">
        <v>0</v>
      </c>
      <c r="C382">
        <v>0</v>
      </c>
      <c r="D382">
        <v>0</v>
      </c>
      <c r="E382">
        <v>0</v>
      </c>
    </row>
    <row r="383" spans="1:5" x14ac:dyDescent="0.25">
      <c r="A383">
        <v>0</v>
      </c>
      <c r="B383">
        <v>0</v>
      </c>
      <c r="C383">
        <v>0</v>
      </c>
      <c r="D383">
        <v>0</v>
      </c>
      <c r="E383">
        <v>0</v>
      </c>
    </row>
    <row r="384" spans="1:5" x14ac:dyDescent="0.25">
      <c r="A384">
        <v>0</v>
      </c>
      <c r="B384">
        <v>0</v>
      </c>
      <c r="C384">
        <v>0</v>
      </c>
      <c r="D384">
        <v>0</v>
      </c>
      <c r="E384">
        <v>0</v>
      </c>
    </row>
    <row r="385" spans="1:5" x14ac:dyDescent="0.25">
      <c r="A385">
        <v>0</v>
      </c>
      <c r="B385">
        <v>0</v>
      </c>
      <c r="C385">
        <v>0</v>
      </c>
      <c r="D385">
        <v>0</v>
      </c>
      <c r="E385">
        <v>0</v>
      </c>
    </row>
    <row r="386" spans="1:5" x14ac:dyDescent="0.25">
      <c r="A386">
        <v>0</v>
      </c>
      <c r="B386">
        <v>0</v>
      </c>
      <c r="C386">
        <v>0</v>
      </c>
      <c r="D386">
        <v>0</v>
      </c>
      <c r="E386">
        <v>0</v>
      </c>
    </row>
    <row r="387" spans="1:5" x14ac:dyDescent="0.25">
      <c r="A387">
        <v>0</v>
      </c>
      <c r="B387">
        <v>0</v>
      </c>
      <c r="C387">
        <v>0</v>
      </c>
      <c r="D387">
        <v>0</v>
      </c>
      <c r="E387">
        <v>0</v>
      </c>
    </row>
    <row r="388" spans="1:5" x14ac:dyDescent="0.25">
      <c r="A388">
        <v>0</v>
      </c>
      <c r="B388">
        <v>0</v>
      </c>
      <c r="C388">
        <v>0</v>
      </c>
      <c r="D388">
        <v>0</v>
      </c>
      <c r="E388">
        <v>0</v>
      </c>
    </row>
    <row r="389" spans="1:5" x14ac:dyDescent="0.25">
      <c r="A389">
        <v>0</v>
      </c>
      <c r="B389">
        <v>0</v>
      </c>
      <c r="C389">
        <v>0</v>
      </c>
      <c r="D389">
        <v>0</v>
      </c>
      <c r="E389">
        <v>0</v>
      </c>
    </row>
    <row r="390" spans="1:5" x14ac:dyDescent="0.25">
      <c r="A390">
        <v>0</v>
      </c>
      <c r="B390">
        <v>0</v>
      </c>
      <c r="C390">
        <v>0</v>
      </c>
      <c r="D390">
        <v>0</v>
      </c>
      <c r="E390">
        <v>0</v>
      </c>
    </row>
    <row r="391" spans="1:5" x14ac:dyDescent="0.25">
      <c r="A391">
        <v>0</v>
      </c>
      <c r="B391">
        <v>0</v>
      </c>
      <c r="C391">
        <v>0</v>
      </c>
      <c r="D391">
        <v>0</v>
      </c>
      <c r="E391">
        <v>0</v>
      </c>
    </row>
    <row r="392" spans="1:5" x14ac:dyDescent="0.25">
      <c r="A392">
        <v>0</v>
      </c>
      <c r="B392">
        <v>0</v>
      </c>
      <c r="C392">
        <v>0</v>
      </c>
      <c r="D392">
        <v>0</v>
      </c>
      <c r="E392">
        <v>0</v>
      </c>
    </row>
    <row r="393" spans="1:5" x14ac:dyDescent="0.25">
      <c r="A393">
        <v>0</v>
      </c>
      <c r="B393">
        <v>0</v>
      </c>
      <c r="C393">
        <v>0</v>
      </c>
      <c r="D393">
        <v>0</v>
      </c>
      <c r="E393">
        <v>0</v>
      </c>
    </row>
    <row r="394" spans="1:5" x14ac:dyDescent="0.25">
      <c r="A394">
        <v>0</v>
      </c>
      <c r="B394">
        <v>0</v>
      </c>
      <c r="C394">
        <v>0</v>
      </c>
      <c r="D394">
        <v>0</v>
      </c>
      <c r="E394">
        <v>0</v>
      </c>
    </row>
    <row r="395" spans="1:5" x14ac:dyDescent="0.25">
      <c r="A395">
        <v>0</v>
      </c>
      <c r="B395">
        <v>0</v>
      </c>
      <c r="C395">
        <v>0</v>
      </c>
      <c r="D395">
        <v>0</v>
      </c>
      <c r="E395">
        <v>0</v>
      </c>
    </row>
    <row r="396" spans="1:5" x14ac:dyDescent="0.25">
      <c r="A396">
        <v>0</v>
      </c>
      <c r="B396">
        <v>0</v>
      </c>
      <c r="C396">
        <v>0</v>
      </c>
      <c r="D396">
        <v>0</v>
      </c>
      <c r="E396">
        <v>0</v>
      </c>
    </row>
    <row r="397" spans="1:5" x14ac:dyDescent="0.25">
      <c r="A397">
        <v>0</v>
      </c>
      <c r="B397">
        <v>0</v>
      </c>
      <c r="C397">
        <v>0</v>
      </c>
      <c r="D397">
        <v>0</v>
      </c>
      <c r="E397">
        <v>0</v>
      </c>
    </row>
    <row r="398" spans="1:5" x14ac:dyDescent="0.25">
      <c r="A398">
        <v>0</v>
      </c>
      <c r="B398">
        <v>0</v>
      </c>
      <c r="C398">
        <v>0</v>
      </c>
      <c r="D398">
        <v>0</v>
      </c>
      <c r="E398">
        <v>0</v>
      </c>
    </row>
    <row r="399" spans="1:5" x14ac:dyDescent="0.25">
      <c r="A399">
        <v>0</v>
      </c>
      <c r="B399">
        <v>0</v>
      </c>
      <c r="C399">
        <v>0</v>
      </c>
      <c r="D399">
        <v>0</v>
      </c>
      <c r="E399">
        <v>0</v>
      </c>
    </row>
    <row r="400" spans="1:5" x14ac:dyDescent="0.25">
      <c r="A400">
        <v>0</v>
      </c>
      <c r="B400">
        <v>0</v>
      </c>
      <c r="C400">
        <v>0</v>
      </c>
      <c r="D400">
        <v>0</v>
      </c>
      <c r="E400">
        <v>0</v>
      </c>
    </row>
    <row r="401" spans="1:5" x14ac:dyDescent="0.25">
      <c r="A401">
        <v>0</v>
      </c>
      <c r="B401">
        <v>0</v>
      </c>
      <c r="C401">
        <v>0</v>
      </c>
      <c r="D401">
        <v>0</v>
      </c>
      <c r="E401">
        <v>0</v>
      </c>
    </row>
    <row r="402" spans="1:5" x14ac:dyDescent="0.25">
      <c r="A402">
        <v>0</v>
      </c>
      <c r="B402">
        <v>0</v>
      </c>
      <c r="C402">
        <v>0</v>
      </c>
      <c r="D402">
        <v>0</v>
      </c>
      <c r="E402">
        <v>0</v>
      </c>
    </row>
    <row r="403" spans="1:5" x14ac:dyDescent="0.25">
      <c r="A403">
        <v>0</v>
      </c>
      <c r="B403">
        <v>0</v>
      </c>
      <c r="C403">
        <v>0</v>
      </c>
      <c r="D403">
        <v>0</v>
      </c>
      <c r="E403">
        <v>0</v>
      </c>
    </row>
    <row r="404" spans="1:5" x14ac:dyDescent="0.25">
      <c r="A404">
        <v>0</v>
      </c>
      <c r="B404">
        <v>0</v>
      </c>
      <c r="C404">
        <v>0</v>
      </c>
      <c r="D404">
        <v>0</v>
      </c>
      <c r="E404">
        <v>0</v>
      </c>
    </row>
    <row r="405" spans="1:5" x14ac:dyDescent="0.25">
      <c r="A405">
        <v>0</v>
      </c>
      <c r="B405">
        <v>0</v>
      </c>
      <c r="C405">
        <v>0</v>
      </c>
      <c r="D405">
        <v>0</v>
      </c>
      <c r="E405">
        <v>0</v>
      </c>
    </row>
    <row r="406" spans="1:5" x14ac:dyDescent="0.25">
      <c r="A406">
        <v>0</v>
      </c>
      <c r="B406">
        <v>0</v>
      </c>
      <c r="C406">
        <v>0</v>
      </c>
      <c r="D406">
        <v>0</v>
      </c>
      <c r="E406">
        <v>0</v>
      </c>
    </row>
    <row r="407" spans="1:5" x14ac:dyDescent="0.25">
      <c r="A407">
        <v>0</v>
      </c>
      <c r="B407">
        <v>0</v>
      </c>
      <c r="C407">
        <v>0</v>
      </c>
      <c r="D407">
        <v>0</v>
      </c>
      <c r="E407">
        <v>0</v>
      </c>
    </row>
    <row r="408" spans="1:5" x14ac:dyDescent="0.25">
      <c r="A408">
        <v>0</v>
      </c>
      <c r="B408">
        <v>0</v>
      </c>
      <c r="C408">
        <v>0</v>
      </c>
      <c r="D408">
        <v>0</v>
      </c>
      <c r="E408">
        <v>0</v>
      </c>
    </row>
    <row r="409" spans="1:5" x14ac:dyDescent="0.25">
      <c r="A409">
        <v>0</v>
      </c>
      <c r="B409">
        <v>0</v>
      </c>
      <c r="C409">
        <v>0</v>
      </c>
      <c r="D409">
        <v>0</v>
      </c>
      <c r="E409">
        <v>0</v>
      </c>
    </row>
    <row r="410" spans="1:5" x14ac:dyDescent="0.25">
      <c r="A410">
        <v>0</v>
      </c>
      <c r="B410">
        <v>0</v>
      </c>
      <c r="C410">
        <v>0</v>
      </c>
      <c r="D410">
        <v>0</v>
      </c>
      <c r="E410">
        <v>0</v>
      </c>
    </row>
    <row r="411" spans="1:5" x14ac:dyDescent="0.25">
      <c r="A411">
        <v>0</v>
      </c>
      <c r="B411">
        <v>0</v>
      </c>
      <c r="C411">
        <v>0</v>
      </c>
      <c r="D411">
        <v>0</v>
      </c>
      <c r="E411">
        <v>0</v>
      </c>
    </row>
    <row r="412" spans="1:5" x14ac:dyDescent="0.25">
      <c r="A412">
        <v>0</v>
      </c>
      <c r="B412">
        <v>0</v>
      </c>
      <c r="C412">
        <v>0</v>
      </c>
      <c r="D412">
        <v>0</v>
      </c>
      <c r="E412">
        <v>0</v>
      </c>
    </row>
    <row r="413" spans="1:5" x14ac:dyDescent="0.25">
      <c r="A413">
        <v>0</v>
      </c>
      <c r="B413">
        <v>0</v>
      </c>
      <c r="C413">
        <v>0</v>
      </c>
      <c r="D413">
        <v>0</v>
      </c>
      <c r="E413">
        <v>0</v>
      </c>
    </row>
    <row r="414" spans="1:5" x14ac:dyDescent="0.25">
      <c r="A414">
        <v>0</v>
      </c>
      <c r="B414">
        <v>0</v>
      </c>
      <c r="C414">
        <v>0</v>
      </c>
      <c r="D414">
        <v>0</v>
      </c>
      <c r="E414">
        <v>0</v>
      </c>
    </row>
    <row r="415" spans="1:5" x14ac:dyDescent="0.25">
      <c r="A415">
        <v>0</v>
      </c>
      <c r="B415">
        <v>0</v>
      </c>
      <c r="C415">
        <v>0</v>
      </c>
      <c r="D415">
        <v>0</v>
      </c>
      <c r="E415">
        <v>0</v>
      </c>
    </row>
    <row r="416" spans="1:5" x14ac:dyDescent="0.25">
      <c r="A416">
        <v>0</v>
      </c>
      <c r="B416">
        <v>0</v>
      </c>
      <c r="C416">
        <v>0</v>
      </c>
      <c r="D416">
        <v>0</v>
      </c>
      <c r="E416">
        <v>0</v>
      </c>
    </row>
    <row r="417" spans="1:5" x14ac:dyDescent="0.25">
      <c r="A417">
        <v>0</v>
      </c>
      <c r="B417">
        <v>0</v>
      </c>
      <c r="C417">
        <v>0</v>
      </c>
      <c r="D417">
        <v>0</v>
      </c>
      <c r="E417">
        <v>0</v>
      </c>
    </row>
    <row r="418" spans="1:5" x14ac:dyDescent="0.25">
      <c r="A418">
        <v>0</v>
      </c>
      <c r="B418">
        <v>0</v>
      </c>
      <c r="C418">
        <v>0</v>
      </c>
      <c r="D418">
        <v>0</v>
      </c>
      <c r="E418">
        <v>0</v>
      </c>
    </row>
    <row r="419" spans="1:5" x14ac:dyDescent="0.25">
      <c r="A419">
        <v>0</v>
      </c>
      <c r="B419">
        <v>0</v>
      </c>
      <c r="C419">
        <v>0</v>
      </c>
      <c r="D419">
        <v>0</v>
      </c>
      <c r="E419">
        <v>0</v>
      </c>
    </row>
    <row r="420" spans="1:5" x14ac:dyDescent="0.25">
      <c r="A420">
        <v>0</v>
      </c>
      <c r="B420">
        <v>0</v>
      </c>
      <c r="C420">
        <v>0</v>
      </c>
      <c r="D420">
        <v>0</v>
      </c>
      <c r="E420">
        <v>0</v>
      </c>
    </row>
    <row r="421" spans="1:5" x14ac:dyDescent="0.25">
      <c r="A421">
        <v>0</v>
      </c>
      <c r="B421">
        <v>0</v>
      </c>
      <c r="C421">
        <v>0</v>
      </c>
      <c r="D421">
        <v>0</v>
      </c>
      <c r="E421">
        <v>0</v>
      </c>
    </row>
    <row r="422" spans="1:5" x14ac:dyDescent="0.25">
      <c r="A422">
        <v>0</v>
      </c>
      <c r="B422">
        <v>0</v>
      </c>
      <c r="C422">
        <v>0</v>
      </c>
      <c r="D422">
        <v>0</v>
      </c>
      <c r="E422">
        <v>0</v>
      </c>
    </row>
    <row r="423" spans="1:5" x14ac:dyDescent="0.25">
      <c r="A423">
        <v>0</v>
      </c>
      <c r="B423">
        <v>0</v>
      </c>
      <c r="C423">
        <v>0</v>
      </c>
      <c r="D423">
        <v>0</v>
      </c>
      <c r="E423">
        <v>0</v>
      </c>
    </row>
    <row r="424" spans="1:5" x14ac:dyDescent="0.25">
      <c r="A424">
        <v>0</v>
      </c>
      <c r="B424">
        <v>0</v>
      </c>
      <c r="C424">
        <v>0</v>
      </c>
      <c r="D424">
        <v>0</v>
      </c>
      <c r="E424">
        <v>0</v>
      </c>
    </row>
    <row r="425" spans="1:5" x14ac:dyDescent="0.25">
      <c r="A425">
        <v>0</v>
      </c>
      <c r="B425">
        <v>0</v>
      </c>
      <c r="C425">
        <v>0</v>
      </c>
      <c r="D425">
        <v>0</v>
      </c>
      <c r="E425">
        <v>0</v>
      </c>
    </row>
    <row r="426" spans="1:5" x14ac:dyDescent="0.25">
      <c r="A426">
        <v>0</v>
      </c>
      <c r="B426">
        <v>0</v>
      </c>
      <c r="C426">
        <v>0</v>
      </c>
      <c r="D426">
        <v>0</v>
      </c>
      <c r="E426">
        <v>0</v>
      </c>
    </row>
    <row r="427" spans="1:5" x14ac:dyDescent="0.25">
      <c r="A427">
        <v>0</v>
      </c>
      <c r="B427">
        <v>0</v>
      </c>
      <c r="C427">
        <v>0</v>
      </c>
      <c r="D427">
        <v>0</v>
      </c>
      <c r="E427">
        <v>0</v>
      </c>
    </row>
    <row r="428" spans="1:5" x14ac:dyDescent="0.25">
      <c r="A428">
        <v>0</v>
      </c>
      <c r="B428">
        <v>0</v>
      </c>
      <c r="C428">
        <v>0</v>
      </c>
      <c r="D428">
        <v>0</v>
      </c>
      <c r="E428">
        <v>0</v>
      </c>
    </row>
    <row r="429" spans="1:5" x14ac:dyDescent="0.25">
      <c r="A429">
        <v>0</v>
      </c>
      <c r="B429">
        <v>0</v>
      </c>
      <c r="C429">
        <v>0</v>
      </c>
      <c r="D429">
        <v>0</v>
      </c>
      <c r="E429">
        <v>0</v>
      </c>
    </row>
    <row r="430" spans="1:5" x14ac:dyDescent="0.25">
      <c r="A430">
        <v>0</v>
      </c>
      <c r="B430">
        <v>0</v>
      </c>
      <c r="C430">
        <v>0</v>
      </c>
      <c r="D430">
        <v>0</v>
      </c>
      <c r="E430">
        <v>0</v>
      </c>
    </row>
    <row r="431" spans="1:5" x14ac:dyDescent="0.25">
      <c r="A431">
        <v>0</v>
      </c>
      <c r="B431">
        <v>0</v>
      </c>
      <c r="C431">
        <v>0</v>
      </c>
      <c r="D431">
        <v>0</v>
      </c>
      <c r="E431">
        <v>0</v>
      </c>
    </row>
    <row r="432" spans="1:5" x14ac:dyDescent="0.25">
      <c r="A432">
        <v>0</v>
      </c>
      <c r="B432">
        <v>0</v>
      </c>
      <c r="C432">
        <v>0</v>
      </c>
      <c r="D432">
        <v>0</v>
      </c>
      <c r="E432">
        <v>0</v>
      </c>
    </row>
    <row r="433" spans="1:5" x14ac:dyDescent="0.25">
      <c r="A433">
        <v>0</v>
      </c>
      <c r="B433">
        <v>0</v>
      </c>
      <c r="C433">
        <v>0</v>
      </c>
      <c r="D433">
        <v>0</v>
      </c>
      <c r="E433">
        <v>0</v>
      </c>
    </row>
    <row r="434" spans="1:5" x14ac:dyDescent="0.25">
      <c r="A434">
        <v>0</v>
      </c>
      <c r="B434">
        <v>0</v>
      </c>
      <c r="C434">
        <v>0</v>
      </c>
      <c r="D434">
        <v>0</v>
      </c>
      <c r="E434">
        <v>0</v>
      </c>
    </row>
    <row r="435" spans="1:5" x14ac:dyDescent="0.25">
      <c r="A435">
        <v>0</v>
      </c>
      <c r="B435">
        <v>0</v>
      </c>
      <c r="C435">
        <v>0</v>
      </c>
      <c r="D435">
        <v>0</v>
      </c>
      <c r="E435">
        <v>0</v>
      </c>
    </row>
    <row r="436" spans="1:5" x14ac:dyDescent="0.25">
      <c r="A436">
        <v>0</v>
      </c>
      <c r="B436">
        <v>0</v>
      </c>
      <c r="C436">
        <v>0</v>
      </c>
      <c r="D436">
        <v>0</v>
      </c>
      <c r="E436">
        <v>0</v>
      </c>
    </row>
    <row r="437" spans="1:5" x14ac:dyDescent="0.25">
      <c r="A437">
        <v>0</v>
      </c>
      <c r="B437">
        <v>0</v>
      </c>
      <c r="C437">
        <v>0</v>
      </c>
      <c r="D437">
        <v>0</v>
      </c>
      <c r="E437">
        <v>0</v>
      </c>
    </row>
    <row r="438" spans="1:5" x14ac:dyDescent="0.25">
      <c r="A438">
        <v>0</v>
      </c>
      <c r="B438">
        <v>0</v>
      </c>
      <c r="C438">
        <v>0</v>
      </c>
      <c r="D438">
        <v>0</v>
      </c>
      <c r="E438">
        <v>0</v>
      </c>
    </row>
    <row r="439" spans="1:5" x14ac:dyDescent="0.25">
      <c r="A439">
        <v>0</v>
      </c>
      <c r="B439">
        <v>0</v>
      </c>
      <c r="C439">
        <v>0</v>
      </c>
      <c r="D439">
        <v>0</v>
      </c>
      <c r="E439">
        <v>0</v>
      </c>
    </row>
    <row r="440" spans="1:5" x14ac:dyDescent="0.25">
      <c r="A440">
        <v>0</v>
      </c>
      <c r="B440">
        <v>0</v>
      </c>
      <c r="C440">
        <v>0</v>
      </c>
      <c r="D440">
        <v>0</v>
      </c>
      <c r="E440">
        <v>0</v>
      </c>
    </row>
    <row r="441" spans="1:5" x14ac:dyDescent="0.25">
      <c r="A441">
        <v>0</v>
      </c>
      <c r="B441">
        <v>0</v>
      </c>
      <c r="C441">
        <v>0</v>
      </c>
      <c r="D441">
        <v>0</v>
      </c>
      <c r="E441">
        <v>0</v>
      </c>
    </row>
    <row r="442" spans="1:5" x14ac:dyDescent="0.25">
      <c r="A442">
        <v>0</v>
      </c>
      <c r="B442">
        <v>0</v>
      </c>
      <c r="C442">
        <v>0</v>
      </c>
      <c r="D442">
        <v>0</v>
      </c>
      <c r="E442">
        <v>0</v>
      </c>
    </row>
    <row r="443" spans="1:5" x14ac:dyDescent="0.25">
      <c r="A443">
        <v>0</v>
      </c>
      <c r="B443">
        <v>0</v>
      </c>
      <c r="C443">
        <v>0</v>
      </c>
      <c r="D443">
        <v>0</v>
      </c>
      <c r="E443">
        <v>0</v>
      </c>
    </row>
    <row r="444" spans="1:5" x14ac:dyDescent="0.25">
      <c r="A444">
        <v>0</v>
      </c>
      <c r="B444">
        <v>0</v>
      </c>
      <c r="C444">
        <v>0</v>
      </c>
      <c r="D444">
        <v>0</v>
      </c>
      <c r="E444">
        <v>0</v>
      </c>
    </row>
    <row r="445" spans="1:5" x14ac:dyDescent="0.25">
      <c r="A445">
        <v>0</v>
      </c>
      <c r="B445">
        <v>0</v>
      </c>
      <c r="C445">
        <v>0</v>
      </c>
      <c r="D445">
        <v>0</v>
      </c>
      <c r="E445">
        <v>0</v>
      </c>
    </row>
    <row r="446" spans="1:5" x14ac:dyDescent="0.25">
      <c r="A446">
        <v>0</v>
      </c>
      <c r="B446">
        <v>0</v>
      </c>
      <c r="C446">
        <v>0</v>
      </c>
      <c r="D446">
        <v>0</v>
      </c>
      <c r="E446">
        <v>0</v>
      </c>
    </row>
    <row r="447" spans="1:5" x14ac:dyDescent="0.25">
      <c r="A447">
        <v>0</v>
      </c>
      <c r="B447">
        <v>0</v>
      </c>
      <c r="C447">
        <v>0</v>
      </c>
      <c r="D447">
        <v>0</v>
      </c>
      <c r="E447">
        <v>0</v>
      </c>
    </row>
    <row r="448" spans="1:5" x14ac:dyDescent="0.25">
      <c r="A448">
        <v>0</v>
      </c>
      <c r="B448">
        <v>0</v>
      </c>
      <c r="C448">
        <v>0</v>
      </c>
      <c r="D448">
        <v>0</v>
      </c>
      <c r="E448">
        <v>0</v>
      </c>
    </row>
    <row r="449" spans="1:5" x14ac:dyDescent="0.25">
      <c r="A449">
        <v>0</v>
      </c>
      <c r="B449">
        <v>0</v>
      </c>
      <c r="C449">
        <v>0</v>
      </c>
      <c r="D449">
        <v>0</v>
      </c>
      <c r="E449">
        <v>0</v>
      </c>
    </row>
    <row r="450" spans="1:5" x14ac:dyDescent="0.25">
      <c r="A450">
        <v>0</v>
      </c>
      <c r="B450">
        <v>0</v>
      </c>
      <c r="C450">
        <v>0</v>
      </c>
      <c r="D450">
        <v>0</v>
      </c>
      <c r="E450">
        <v>0</v>
      </c>
    </row>
    <row r="451" spans="1:5" x14ac:dyDescent="0.25">
      <c r="A451">
        <v>0</v>
      </c>
      <c r="B451">
        <v>0</v>
      </c>
      <c r="C451">
        <v>0</v>
      </c>
      <c r="D451">
        <v>0</v>
      </c>
      <c r="E451">
        <v>0</v>
      </c>
    </row>
    <row r="452" spans="1:5" x14ac:dyDescent="0.25">
      <c r="A452">
        <v>0</v>
      </c>
      <c r="B452">
        <v>0</v>
      </c>
      <c r="C452">
        <v>0</v>
      </c>
      <c r="D452">
        <v>0</v>
      </c>
      <c r="E452">
        <v>0</v>
      </c>
    </row>
    <row r="453" spans="1:5" x14ac:dyDescent="0.25">
      <c r="A453">
        <v>0</v>
      </c>
      <c r="B453">
        <v>0</v>
      </c>
      <c r="C453">
        <v>0</v>
      </c>
      <c r="D453">
        <v>0</v>
      </c>
      <c r="E453">
        <v>0</v>
      </c>
    </row>
    <row r="454" spans="1:5" x14ac:dyDescent="0.25">
      <c r="A454">
        <v>0</v>
      </c>
      <c r="B454">
        <v>0</v>
      </c>
      <c r="C454">
        <v>0</v>
      </c>
      <c r="D454">
        <v>0</v>
      </c>
      <c r="E454">
        <v>0</v>
      </c>
    </row>
    <row r="455" spans="1:5" x14ac:dyDescent="0.25">
      <c r="A455">
        <v>0</v>
      </c>
      <c r="B455">
        <v>0</v>
      </c>
      <c r="C455">
        <v>0</v>
      </c>
      <c r="D455">
        <v>0</v>
      </c>
      <c r="E455">
        <v>0</v>
      </c>
    </row>
    <row r="456" spans="1:5" x14ac:dyDescent="0.25">
      <c r="A456">
        <v>0</v>
      </c>
      <c r="B456">
        <v>0</v>
      </c>
      <c r="C456">
        <v>0</v>
      </c>
      <c r="D456">
        <v>0</v>
      </c>
      <c r="E456">
        <v>0</v>
      </c>
    </row>
    <row r="457" spans="1:5" x14ac:dyDescent="0.25">
      <c r="A457">
        <v>0</v>
      </c>
      <c r="B457">
        <v>0</v>
      </c>
      <c r="C457">
        <v>0</v>
      </c>
      <c r="D457">
        <v>0</v>
      </c>
      <c r="E457">
        <v>0</v>
      </c>
    </row>
    <row r="458" spans="1:5" x14ac:dyDescent="0.25">
      <c r="A458">
        <v>0</v>
      </c>
      <c r="B458">
        <v>0</v>
      </c>
      <c r="C458">
        <v>0</v>
      </c>
      <c r="D458">
        <v>0</v>
      </c>
      <c r="E458">
        <v>0</v>
      </c>
    </row>
    <row r="459" spans="1:5" x14ac:dyDescent="0.25">
      <c r="A459">
        <v>0</v>
      </c>
      <c r="B459">
        <v>0</v>
      </c>
      <c r="C459">
        <v>0</v>
      </c>
      <c r="D459">
        <v>0</v>
      </c>
      <c r="E459">
        <v>0</v>
      </c>
    </row>
    <row r="460" spans="1:5" x14ac:dyDescent="0.25">
      <c r="A460">
        <v>0</v>
      </c>
      <c r="B460">
        <v>0</v>
      </c>
      <c r="C460">
        <v>0</v>
      </c>
      <c r="D460">
        <v>0</v>
      </c>
      <c r="E460">
        <v>0</v>
      </c>
    </row>
    <row r="461" spans="1:5" x14ac:dyDescent="0.25">
      <c r="A461">
        <v>0</v>
      </c>
      <c r="B461">
        <v>0</v>
      </c>
      <c r="C461">
        <v>0</v>
      </c>
      <c r="D461">
        <v>0</v>
      </c>
      <c r="E461">
        <v>0</v>
      </c>
    </row>
    <row r="462" spans="1:5" x14ac:dyDescent="0.25">
      <c r="A462">
        <v>0</v>
      </c>
      <c r="B462">
        <v>0</v>
      </c>
      <c r="C462">
        <v>0</v>
      </c>
      <c r="D462">
        <v>0</v>
      </c>
      <c r="E462">
        <v>0</v>
      </c>
    </row>
    <row r="463" spans="1:5" x14ac:dyDescent="0.25">
      <c r="A463">
        <v>0</v>
      </c>
      <c r="B463">
        <v>0</v>
      </c>
      <c r="C463">
        <v>0</v>
      </c>
      <c r="D463">
        <v>0</v>
      </c>
      <c r="E463">
        <v>0</v>
      </c>
    </row>
    <row r="464" spans="1:5" x14ac:dyDescent="0.25">
      <c r="A464">
        <v>0</v>
      </c>
      <c r="B464">
        <v>0</v>
      </c>
      <c r="C464">
        <v>0</v>
      </c>
      <c r="D464">
        <v>0</v>
      </c>
      <c r="E464">
        <v>0</v>
      </c>
    </row>
    <row r="465" spans="1:5" x14ac:dyDescent="0.25">
      <c r="A465">
        <v>0</v>
      </c>
      <c r="B465">
        <v>0</v>
      </c>
      <c r="C465">
        <v>0</v>
      </c>
      <c r="D465">
        <v>0</v>
      </c>
      <c r="E465">
        <v>0</v>
      </c>
    </row>
    <row r="466" spans="1:5" x14ac:dyDescent="0.25">
      <c r="A466">
        <v>0</v>
      </c>
      <c r="B466">
        <v>0</v>
      </c>
      <c r="C466">
        <v>0</v>
      </c>
      <c r="D466">
        <v>0</v>
      </c>
      <c r="E466">
        <v>0</v>
      </c>
    </row>
    <row r="467" spans="1:5" x14ac:dyDescent="0.25">
      <c r="A467">
        <v>0</v>
      </c>
      <c r="B467">
        <v>0</v>
      </c>
      <c r="C467">
        <v>0</v>
      </c>
      <c r="D467">
        <v>0</v>
      </c>
      <c r="E467">
        <v>0</v>
      </c>
    </row>
    <row r="468" spans="1:5" x14ac:dyDescent="0.25">
      <c r="A468">
        <v>0</v>
      </c>
      <c r="B468">
        <v>0</v>
      </c>
      <c r="C468">
        <v>0</v>
      </c>
      <c r="D468">
        <v>0</v>
      </c>
      <c r="E468">
        <v>0</v>
      </c>
    </row>
    <row r="469" spans="1:5" x14ac:dyDescent="0.25">
      <c r="A469">
        <v>0</v>
      </c>
      <c r="B469">
        <v>0</v>
      </c>
      <c r="C469">
        <v>0</v>
      </c>
      <c r="D469">
        <v>0</v>
      </c>
      <c r="E469">
        <v>0</v>
      </c>
    </row>
    <row r="470" spans="1:5" x14ac:dyDescent="0.25">
      <c r="A470">
        <v>0</v>
      </c>
      <c r="B470">
        <v>0</v>
      </c>
      <c r="C470">
        <v>0</v>
      </c>
      <c r="D470">
        <v>0</v>
      </c>
      <c r="E470">
        <v>0</v>
      </c>
    </row>
    <row r="471" spans="1:5" x14ac:dyDescent="0.25">
      <c r="A471">
        <v>0</v>
      </c>
      <c r="B471">
        <v>0</v>
      </c>
      <c r="C471">
        <v>0</v>
      </c>
      <c r="D471">
        <v>0</v>
      </c>
      <c r="E471">
        <v>0</v>
      </c>
    </row>
    <row r="472" spans="1:5" x14ac:dyDescent="0.25">
      <c r="A472">
        <v>0</v>
      </c>
      <c r="B472">
        <v>0</v>
      </c>
      <c r="C472">
        <v>0</v>
      </c>
      <c r="D472">
        <v>0</v>
      </c>
      <c r="E472">
        <v>0</v>
      </c>
    </row>
    <row r="473" spans="1:5" x14ac:dyDescent="0.25">
      <c r="A473">
        <v>0</v>
      </c>
      <c r="B473">
        <v>0</v>
      </c>
      <c r="C473">
        <v>0</v>
      </c>
      <c r="D473">
        <v>0</v>
      </c>
      <c r="E473">
        <v>0</v>
      </c>
    </row>
    <row r="474" spans="1:5" x14ac:dyDescent="0.25">
      <c r="A474">
        <v>0</v>
      </c>
      <c r="B474">
        <v>0</v>
      </c>
      <c r="C474">
        <v>0</v>
      </c>
      <c r="D474">
        <v>0</v>
      </c>
      <c r="E474">
        <v>0</v>
      </c>
    </row>
    <row r="475" spans="1:5" x14ac:dyDescent="0.25">
      <c r="A475">
        <v>0</v>
      </c>
      <c r="B475">
        <v>0</v>
      </c>
      <c r="C475">
        <v>0</v>
      </c>
      <c r="D475">
        <v>0</v>
      </c>
      <c r="E475">
        <v>0</v>
      </c>
    </row>
    <row r="476" spans="1:5" x14ac:dyDescent="0.25">
      <c r="A476">
        <v>0</v>
      </c>
      <c r="B476">
        <v>0</v>
      </c>
      <c r="C476">
        <v>0</v>
      </c>
      <c r="D476">
        <v>0</v>
      </c>
      <c r="E476">
        <v>0</v>
      </c>
    </row>
    <row r="477" spans="1:5" x14ac:dyDescent="0.25">
      <c r="A477">
        <v>0</v>
      </c>
      <c r="B477">
        <v>0</v>
      </c>
      <c r="C477">
        <v>0</v>
      </c>
      <c r="D477">
        <v>0</v>
      </c>
      <c r="E477">
        <v>0</v>
      </c>
    </row>
    <row r="478" spans="1:5" x14ac:dyDescent="0.25">
      <c r="A478">
        <v>0</v>
      </c>
      <c r="B478">
        <v>0</v>
      </c>
      <c r="C478">
        <v>0</v>
      </c>
      <c r="D478">
        <v>0</v>
      </c>
      <c r="E478">
        <v>0</v>
      </c>
    </row>
    <row r="479" spans="1:5" x14ac:dyDescent="0.25">
      <c r="A479">
        <v>0</v>
      </c>
      <c r="B479">
        <v>0</v>
      </c>
      <c r="C479">
        <v>0</v>
      </c>
      <c r="D479">
        <v>0</v>
      </c>
      <c r="E479">
        <v>0</v>
      </c>
    </row>
    <row r="480" spans="1:5" x14ac:dyDescent="0.25">
      <c r="A480">
        <v>0</v>
      </c>
      <c r="B480">
        <v>0</v>
      </c>
      <c r="C480">
        <v>0</v>
      </c>
      <c r="D480">
        <v>0</v>
      </c>
      <c r="E480">
        <v>0</v>
      </c>
    </row>
    <row r="481" spans="1:5" x14ac:dyDescent="0.25">
      <c r="A481">
        <v>0</v>
      </c>
      <c r="B481">
        <v>0</v>
      </c>
      <c r="C481">
        <v>0</v>
      </c>
      <c r="D481">
        <v>0</v>
      </c>
      <c r="E481">
        <v>0</v>
      </c>
    </row>
    <row r="482" spans="1:5" x14ac:dyDescent="0.25">
      <c r="A482">
        <v>0</v>
      </c>
      <c r="B482">
        <v>0</v>
      </c>
      <c r="C482">
        <v>0</v>
      </c>
      <c r="D482">
        <v>0</v>
      </c>
      <c r="E482">
        <v>0</v>
      </c>
    </row>
    <row r="483" spans="1:5" x14ac:dyDescent="0.25">
      <c r="A483">
        <v>0</v>
      </c>
      <c r="B483">
        <v>0</v>
      </c>
      <c r="C483">
        <v>0</v>
      </c>
      <c r="D483">
        <v>0</v>
      </c>
      <c r="E483">
        <v>0</v>
      </c>
    </row>
    <row r="484" spans="1:5" x14ac:dyDescent="0.25">
      <c r="A484">
        <v>0</v>
      </c>
      <c r="B484">
        <v>0</v>
      </c>
      <c r="C484">
        <v>0</v>
      </c>
      <c r="D484">
        <v>0</v>
      </c>
      <c r="E484">
        <v>0</v>
      </c>
    </row>
    <row r="485" spans="1:5" x14ac:dyDescent="0.25">
      <c r="A485">
        <v>0</v>
      </c>
      <c r="B485">
        <v>0</v>
      </c>
      <c r="C485">
        <v>0</v>
      </c>
      <c r="D485">
        <v>0</v>
      </c>
      <c r="E485">
        <v>0</v>
      </c>
    </row>
    <row r="486" spans="1:5" x14ac:dyDescent="0.25">
      <c r="A486">
        <v>0</v>
      </c>
      <c r="B486">
        <v>0</v>
      </c>
      <c r="C486">
        <v>0</v>
      </c>
      <c r="D486">
        <v>0</v>
      </c>
      <c r="E486">
        <v>0</v>
      </c>
    </row>
    <row r="487" spans="1:5" x14ac:dyDescent="0.25">
      <c r="A487">
        <v>0</v>
      </c>
      <c r="B487">
        <v>0</v>
      </c>
      <c r="C487">
        <v>0</v>
      </c>
      <c r="D487">
        <v>0</v>
      </c>
      <c r="E487">
        <v>0</v>
      </c>
    </row>
    <row r="488" spans="1:5" x14ac:dyDescent="0.25">
      <c r="A488">
        <v>0</v>
      </c>
      <c r="B488">
        <v>0</v>
      </c>
      <c r="C488">
        <v>0</v>
      </c>
      <c r="D488">
        <v>0</v>
      </c>
      <c r="E488">
        <v>0</v>
      </c>
    </row>
    <row r="489" spans="1:5" x14ac:dyDescent="0.25">
      <c r="A489">
        <v>0</v>
      </c>
      <c r="B489">
        <v>0</v>
      </c>
      <c r="C489">
        <v>0</v>
      </c>
      <c r="D489">
        <v>0</v>
      </c>
      <c r="E489">
        <v>0</v>
      </c>
    </row>
    <row r="490" spans="1:5" x14ac:dyDescent="0.25">
      <c r="A490">
        <v>0</v>
      </c>
      <c r="B490">
        <v>0</v>
      </c>
      <c r="C490">
        <v>0</v>
      </c>
      <c r="D490">
        <v>0</v>
      </c>
      <c r="E490">
        <v>0</v>
      </c>
    </row>
    <row r="491" spans="1:5" x14ac:dyDescent="0.25">
      <c r="A491">
        <v>0</v>
      </c>
      <c r="B491">
        <v>0</v>
      </c>
      <c r="C491">
        <v>0</v>
      </c>
      <c r="D491">
        <v>0</v>
      </c>
      <c r="E491">
        <v>0</v>
      </c>
    </row>
    <row r="492" spans="1:5" x14ac:dyDescent="0.25">
      <c r="A492">
        <v>0</v>
      </c>
      <c r="B492">
        <v>0</v>
      </c>
      <c r="C492">
        <v>0</v>
      </c>
      <c r="D492">
        <v>0</v>
      </c>
      <c r="E492">
        <v>0</v>
      </c>
    </row>
    <row r="493" spans="1:5" x14ac:dyDescent="0.25">
      <c r="A493">
        <v>0</v>
      </c>
      <c r="B493">
        <v>0</v>
      </c>
      <c r="C493">
        <v>0</v>
      </c>
      <c r="D493">
        <v>0</v>
      </c>
      <c r="E493">
        <v>0</v>
      </c>
    </row>
    <row r="494" spans="1:5" x14ac:dyDescent="0.25">
      <c r="A494">
        <v>0</v>
      </c>
      <c r="B494">
        <v>0</v>
      </c>
      <c r="C494">
        <v>0</v>
      </c>
      <c r="D494">
        <v>0</v>
      </c>
      <c r="E494">
        <v>0</v>
      </c>
    </row>
    <row r="495" spans="1:5" x14ac:dyDescent="0.25">
      <c r="A495">
        <v>0</v>
      </c>
      <c r="B495">
        <v>0</v>
      </c>
      <c r="C495">
        <v>0</v>
      </c>
      <c r="D495">
        <v>0</v>
      </c>
      <c r="E495">
        <v>0</v>
      </c>
    </row>
    <row r="496" spans="1:5" x14ac:dyDescent="0.25">
      <c r="A496">
        <v>0</v>
      </c>
      <c r="B496">
        <v>0</v>
      </c>
      <c r="C496">
        <v>0</v>
      </c>
      <c r="D496">
        <v>0</v>
      </c>
      <c r="E496">
        <v>0</v>
      </c>
    </row>
    <row r="497" spans="1:5" x14ac:dyDescent="0.25">
      <c r="A497">
        <v>0</v>
      </c>
      <c r="B497">
        <v>0</v>
      </c>
      <c r="C497">
        <v>0</v>
      </c>
      <c r="D497">
        <v>0</v>
      </c>
      <c r="E497">
        <v>0</v>
      </c>
    </row>
    <row r="498" spans="1:5" x14ac:dyDescent="0.25">
      <c r="A498">
        <v>0</v>
      </c>
      <c r="B498">
        <v>0</v>
      </c>
      <c r="C498">
        <v>0</v>
      </c>
      <c r="D498">
        <v>0</v>
      </c>
      <c r="E498">
        <v>0</v>
      </c>
    </row>
    <row r="499" spans="1:5" x14ac:dyDescent="0.25">
      <c r="A499">
        <v>0</v>
      </c>
      <c r="B499">
        <v>0</v>
      </c>
      <c r="C499">
        <v>0</v>
      </c>
      <c r="D499">
        <v>0</v>
      </c>
      <c r="E499">
        <v>0</v>
      </c>
    </row>
    <row r="500" spans="1:5" x14ac:dyDescent="0.25">
      <c r="A500">
        <v>0</v>
      </c>
      <c r="B500">
        <v>0</v>
      </c>
      <c r="C500">
        <v>0</v>
      </c>
      <c r="D500">
        <v>0</v>
      </c>
      <c r="E50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19"/>
  <sheetViews>
    <sheetView workbookViewId="0">
      <selection activeCell="H31" sqref="H31"/>
    </sheetView>
  </sheetViews>
  <sheetFormatPr defaultRowHeight="15" x14ac:dyDescent="0.25"/>
  <cols>
    <col min="1" max="1" width="41.7109375" style="18" customWidth="1"/>
    <col min="2" max="2" width="30.42578125" style="18" customWidth="1"/>
    <col min="3" max="3" width="8.28515625" style="18" bestFit="1" customWidth="1"/>
  </cols>
  <sheetData>
    <row r="1" spans="1:3" x14ac:dyDescent="0.25">
      <c r="A1" s="18" t="s">
        <v>145</v>
      </c>
      <c r="B1" s="18" t="s">
        <v>146</v>
      </c>
      <c r="C1" s="18" t="s">
        <v>147</v>
      </c>
    </row>
    <row r="2" spans="1:3" x14ac:dyDescent="0.25">
      <c r="A2" s="18" t="s">
        <v>148</v>
      </c>
      <c r="B2" s="18" t="s">
        <v>149</v>
      </c>
      <c r="C2" s="18" t="s">
        <v>150</v>
      </c>
    </row>
    <row r="3" spans="1:3" x14ac:dyDescent="0.25">
      <c r="A3" s="18" t="s">
        <v>151</v>
      </c>
      <c r="B3" s="18" t="s">
        <v>152</v>
      </c>
      <c r="C3" s="18" t="s">
        <v>153</v>
      </c>
    </row>
    <row r="4" spans="1:3" x14ac:dyDescent="0.25">
      <c r="A4" s="18" t="s">
        <v>154</v>
      </c>
      <c r="B4" s="18" t="s">
        <v>155</v>
      </c>
      <c r="C4" s="18" t="s">
        <v>156</v>
      </c>
    </row>
    <row r="5" spans="1:3" x14ac:dyDescent="0.25">
      <c r="A5" s="18" t="s">
        <v>157</v>
      </c>
      <c r="B5" s="18" t="s">
        <v>158</v>
      </c>
      <c r="C5" s="18" t="s">
        <v>153</v>
      </c>
    </row>
    <row r="6" spans="1:3" x14ac:dyDescent="0.25">
      <c r="A6" s="18" t="s">
        <v>159</v>
      </c>
      <c r="B6" s="18" t="s">
        <v>160</v>
      </c>
      <c r="C6" s="18" t="s">
        <v>161</v>
      </c>
    </row>
    <row r="7" spans="1:3" x14ac:dyDescent="0.25">
      <c r="A7" s="18" t="s">
        <v>162</v>
      </c>
      <c r="B7" s="18" t="s">
        <v>162</v>
      </c>
      <c r="C7" s="18" t="s">
        <v>150</v>
      </c>
    </row>
    <row r="8" spans="1:3" x14ac:dyDescent="0.25">
      <c r="A8" s="18" t="s">
        <v>163</v>
      </c>
      <c r="B8" s="18" t="s">
        <v>163</v>
      </c>
      <c r="C8" s="18" t="s">
        <v>150</v>
      </c>
    </row>
    <row r="9" spans="1:3" x14ac:dyDescent="0.25">
      <c r="A9" s="18" t="s">
        <v>164</v>
      </c>
      <c r="B9" s="18" t="s">
        <v>165</v>
      </c>
      <c r="C9" s="18" t="s">
        <v>166</v>
      </c>
    </row>
    <row r="10" spans="1:3" x14ac:dyDescent="0.25">
      <c r="A10" s="18" t="s">
        <v>167</v>
      </c>
      <c r="B10" s="18" t="s">
        <v>168</v>
      </c>
      <c r="C10" s="18" t="s">
        <v>150</v>
      </c>
    </row>
    <row r="11" spans="1:3" x14ac:dyDescent="0.25">
      <c r="A11" s="18" t="s">
        <v>169</v>
      </c>
      <c r="B11" s="18" t="s">
        <v>170</v>
      </c>
      <c r="C11" s="18" t="s">
        <v>150</v>
      </c>
    </row>
    <row r="12" spans="1:3" x14ac:dyDescent="0.25">
      <c r="A12" s="18" t="s">
        <v>171</v>
      </c>
      <c r="B12" s="18" t="s">
        <v>172</v>
      </c>
      <c r="C12" s="18" t="s">
        <v>166</v>
      </c>
    </row>
    <row r="13" spans="1:3" x14ac:dyDescent="0.25">
      <c r="A13" s="18" t="s">
        <v>173</v>
      </c>
      <c r="B13" s="18" t="s">
        <v>174</v>
      </c>
      <c r="C13" s="18" t="s">
        <v>150</v>
      </c>
    </row>
    <row r="14" spans="1:3" x14ac:dyDescent="0.25">
      <c r="A14" s="18" t="s">
        <v>175</v>
      </c>
      <c r="B14" s="18" t="s">
        <v>176</v>
      </c>
      <c r="C14" s="18" t="s">
        <v>177</v>
      </c>
    </row>
    <row r="15" spans="1:3" x14ac:dyDescent="0.25">
      <c r="A15" s="18" t="s">
        <v>178</v>
      </c>
      <c r="B15" s="18" t="s">
        <v>179</v>
      </c>
      <c r="C15" s="18" t="s">
        <v>177</v>
      </c>
    </row>
    <row r="16" spans="1:3" x14ac:dyDescent="0.25">
      <c r="A16" s="18" t="s">
        <v>180</v>
      </c>
      <c r="B16" s="18" t="s">
        <v>181</v>
      </c>
      <c r="C16" s="18" t="s">
        <v>166</v>
      </c>
    </row>
    <row r="17" spans="1:3" x14ac:dyDescent="0.25">
      <c r="A17" s="18" t="s">
        <v>182</v>
      </c>
      <c r="B17" s="18" t="s">
        <v>183</v>
      </c>
      <c r="C17" s="18" t="s">
        <v>184</v>
      </c>
    </row>
    <row r="18" spans="1:3" x14ac:dyDescent="0.25">
      <c r="A18" s="18" t="s">
        <v>185</v>
      </c>
      <c r="B18" s="18" t="s">
        <v>186</v>
      </c>
      <c r="C18" s="18" t="s">
        <v>177</v>
      </c>
    </row>
    <row r="19" spans="1:3" x14ac:dyDescent="0.25">
      <c r="A19" s="18" t="s">
        <v>187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284"/>
  <sheetViews>
    <sheetView workbookViewId="0">
      <selection activeCell="B163" sqref="B163"/>
    </sheetView>
  </sheetViews>
  <sheetFormatPr defaultRowHeight="15" x14ac:dyDescent="0.25"/>
  <cols>
    <col min="1" max="1" width="16.42578125" style="18" bestFit="1" customWidth="1"/>
    <col min="2" max="2" width="60.85546875" style="37" bestFit="1" customWidth="1"/>
    <col min="3" max="3" width="137.5703125" style="37" bestFit="1" customWidth="1"/>
    <col min="4" max="4" width="11.7109375" style="37" bestFit="1" customWidth="1"/>
  </cols>
  <sheetData>
    <row r="1" spans="1:4" x14ac:dyDescent="0.25">
      <c r="A1" s="38" t="s">
        <v>188</v>
      </c>
      <c r="B1" s="39" t="s">
        <v>189</v>
      </c>
      <c r="C1" s="39" t="s">
        <v>190</v>
      </c>
      <c r="D1" s="39" t="s">
        <v>191</v>
      </c>
    </row>
    <row r="2" spans="1:4" x14ac:dyDescent="0.25">
      <c r="A2" s="18" t="s">
        <v>192</v>
      </c>
      <c r="B2" t="s">
        <v>193</v>
      </c>
      <c r="C2"/>
      <c r="D2" t="s">
        <v>194</v>
      </c>
    </row>
    <row r="3" spans="1:4" x14ac:dyDescent="0.25">
      <c r="A3" s="18" t="s">
        <v>195</v>
      </c>
      <c r="B3" t="s">
        <v>196</v>
      </c>
      <c r="C3"/>
      <c r="D3" t="s">
        <v>197</v>
      </c>
    </row>
    <row r="4" spans="1:4" x14ac:dyDescent="0.25">
      <c r="A4" s="18" t="s">
        <v>198</v>
      </c>
      <c r="B4" t="s">
        <v>199</v>
      </c>
      <c r="C4"/>
      <c r="D4" t="s">
        <v>200</v>
      </c>
    </row>
    <row r="5" spans="1:4" x14ac:dyDescent="0.25">
      <c r="A5" s="18" t="s">
        <v>201</v>
      </c>
      <c r="B5" t="s">
        <v>202</v>
      </c>
      <c r="C5"/>
      <c r="D5" t="s">
        <v>203</v>
      </c>
    </row>
    <row r="6" spans="1:4" x14ac:dyDescent="0.25">
      <c r="A6" s="18" t="s">
        <v>204</v>
      </c>
      <c r="B6" t="s">
        <v>205</v>
      </c>
      <c r="C6"/>
      <c r="D6" t="s">
        <v>206</v>
      </c>
    </row>
    <row r="7" spans="1:4" x14ac:dyDescent="0.25">
      <c r="A7" s="18" t="s">
        <v>207</v>
      </c>
      <c r="B7" t="s">
        <v>208</v>
      </c>
      <c r="C7"/>
      <c r="D7" t="s">
        <v>209</v>
      </c>
    </row>
    <row r="8" spans="1:4" x14ac:dyDescent="0.25">
      <c r="A8" s="18" t="s">
        <v>210</v>
      </c>
      <c r="B8" t="s">
        <v>211</v>
      </c>
      <c r="C8"/>
      <c r="D8" t="s">
        <v>212</v>
      </c>
    </row>
    <row r="9" spans="1:4" x14ac:dyDescent="0.25">
      <c r="A9" s="18" t="s">
        <v>213</v>
      </c>
      <c r="B9" t="s">
        <v>214</v>
      </c>
      <c r="C9"/>
      <c r="D9" t="s">
        <v>215</v>
      </c>
    </row>
    <row r="10" spans="1:4" x14ac:dyDescent="0.25">
      <c r="A10" s="18" t="s">
        <v>216</v>
      </c>
      <c r="B10" t="s">
        <v>12</v>
      </c>
      <c r="C10" t="s">
        <v>217</v>
      </c>
      <c r="D10" t="s">
        <v>218</v>
      </c>
    </row>
    <row r="11" spans="1:4" x14ac:dyDescent="0.25">
      <c r="A11" s="18" t="s">
        <v>219</v>
      </c>
      <c r="B11" t="s">
        <v>220</v>
      </c>
      <c r="C11"/>
      <c r="D11" t="s">
        <v>221</v>
      </c>
    </row>
    <row r="12" spans="1:4" x14ac:dyDescent="0.25">
      <c r="A12" s="18" t="s">
        <v>222</v>
      </c>
      <c r="B12" t="s">
        <v>223</v>
      </c>
      <c r="C12"/>
      <c r="D12" t="s">
        <v>224</v>
      </c>
    </row>
    <row r="13" spans="1:4" x14ac:dyDescent="0.25">
      <c r="A13" s="18" t="s">
        <v>225</v>
      </c>
      <c r="B13" t="s">
        <v>226</v>
      </c>
      <c r="C13"/>
      <c r="D13" t="s">
        <v>227</v>
      </c>
    </row>
    <row r="14" spans="1:4" x14ac:dyDescent="0.25">
      <c r="A14" s="18" t="s">
        <v>228</v>
      </c>
      <c r="B14" t="s">
        <v>229</v>
      </c>
      <c r="C14"/>
      <c r="D14" t="s">
        <v>230</v>
      </c>
    </row>
    <row r="15" spans="1:4" x14ac:dyDescent="0.25">
      <c r="A15" s="18" t="s">
        <v>231</v>
      </c>
      <c r="B15" t="s">
        <v>232</v>
      </c>
      <c r="C15" t="s">
        <v>233</v>
      </c>
      <c r="D15" t="s">
        <v>234</v>
      </c>
    </row>
    <row r="16" spans="1:4" x14ac:dyDescent="0.25">
      <c r="A16" s="18" t="s">
        <v>235</v>
      </c>
      <c r="B16" t="s">
        <v>236</v>
      </c>
      <c r="C16"/>
      <c r="D16" t="s">
        <v>237</v>
      </c>
    </row>
    <row r="17" spans="1:4" x14ac:dyDescent="0.25">
      <c r="A17" s="18" t="s">
        <v>238</v>
      </c>
      <c r="B17" t="s">
        <v>239</v>
      </c>
      <c r="C17" t="s">
        <v>240</v>
      </c>
      <c r="D17" t="s">
        <v>241</v>
      </c>
    </row>
    <row r="18" spans="1:4" x14ac:dyDescent="0.25">
      <c r="A18" s="18" t="s">
        <v>242</v>
      </c>
      <c r="B18" t="s">
        <v>243</v>
      </c>
      <c r="C18"/>
      <c r="D18" t="s">
        <v>244</v>
      </c>
    </row>
    <row r="19" spans="1:4" x14ac:dyDescent="0.25">
      <c r="A19" s="18" t="s">
        <v>245</v>
      </c>
      <c r="B19" t="s">
        <v>246</v>
      </c>
      <c r="C19"/>
      <c r="D19" t="s">
        <v>247</v>
      </c>
    </row>
    <row r="20" spans="1:4" x14ac:dyDescent="0.25">
      <c r="A20" s="18" t="s">
        <v>248</v>
      </c>
      <c r="B20" t="s">
        <v>29</v>
      </c>
      <c r="C20" t="s">
        <v>249</v>
      </c>
      <c r="D20" t="s">
        <v>250</v>
      </c>
    </row>
    <row r="21" spans="1:4" x14ac:dyDescent="0.25">
      <c r="A21" s="18" t="s">
        <v>251</v>
      </c>
      <c r="B21" t="s">
        <v>47</v>
      </c>
      <c r="C21" t="s">
        <v>252</v>
      </c>
      <c r="D21" t="s">
        <v>253</v>
      </c>
    </row>
    <row r="22" spans="1:4" x14ac:dyDescent="0.25">
      <c r="A22" s="18" t="s">
        <v>254</v>
      </c>
      <c r="B22" t="s">
        <v>255</v>
      </c>
      <c r="C22"/>
      <c r="D22" t="s">
        <v>256</v>
      </c>
    </row>
    <row r="23" spans="1:4" x14ac:dyDescent="0.25">
      <c r="A23" s="18" t="s">
        <v>257</v>
      </c>
      <c r="B23" t="s">
        <v>258</v>
      </c>
      <c r="C23"/>
      <c r="D23" t="s">
        <v>259</v>
      </c>
    </row>
    <row r="24" spans="1:4" x14ac:dyDescent="0.25">
      <c r="A24" s="18" t="s">
        <v>260</v>
      </c>
      <c r="B24" t="s">
        <v>261</v>
      </c>
      <c r="C24"/>
      <c r="D24" t="s">
        <v>262</v>
      </c>
    </row>
    <row r="25" spans="1:4" x14ac:dyDescent="0.25">
      <c r="A25" s="18" t="s">
        <v>263</v>
      </c>
      <c r="B25" t="s">
        <v>264</v>
      </c>
      <c r="C25"/>
      <c r="D25" t="s">
        <v>265</v>
      </c>
    </row>
    <row r="26" spans="1:4" x14ac:dyDescent="0.25">
      <c r="A26" s="18" t="s">
        <v>266</v>
      </c>
      <c r="B26" t="s">
        <v>27</v>
      </c>
      <c r="C26" t="s">
        <v>267</v>
      </c>
      <c r="D26" t="s">
        <v>268</v>
      </c>
    </row>
    <row r="27" spans="1:4" x14ac:dyDescent="0.25">
      <c r="A27" s="18" t="s">
        <v>269</v>
      </c>
      <c r="B27" t="s">
        <v>270</v>
      </c>
      <c r="C27"/>
      <c r="D27" t="s">
        <v>271</v>
      </c>
    </row>
    <row r="28" spans="1:4" x14ac:dyDescent="0.25">
      <c r="A28" s="18" t="s">
        <v>272</v>
      </c>
      <c r="B28" t="s">
        <v>45</v>
      </c>
      <c r="C28" t="s">
        <v>273</v>
      </c>
      <c r="D28" t="s">
        <v>274</v>
      </c>
    </row>
    <row r="29" spans="1:4" x14ac:dyDescent="0.25">
      <c r="A29" s="18" t="s">
        <v>275</v>
      </c>
      <c r="B29" t="s">
        <v>276</v>
      </c>
      <c r="C29" t="s">
        <v>277</v>
      </c>
      <c r="D29" t="s">
        <v>278</v>
      </c>
    </row>
    <row r="30" spans="1:4" x14ac:dyDescent="0.25">
      <c r="A30" s="18" t="s">
        <v>279</v>
      </c>
      <c r="B30" t="s">
        <v>280</v>
      </c>
      <c r="C30" t="s">
        <v>281</v>
      </c>
      <c r="D30" t="s">
        <v>282</v>
      </c>
    </row>
    <row r="31" spans="1:4" x14ac:dyDescent="0.25">
      <c r="A31" s="18" t="s">
        <v>283</v>
      </c>
      <c r="B31" t="s">
        <v>284</v>
      </c>
      <c r="C31"/>
      <c r="D31" t="s">
        <v>285</v>
      </c>
    </row>
    <row r="32" spans="1:4" x14ac:dyDescent="0.25">
      <c r="A32" s="18" t="s">
        <v>286</v>
      </c>
      <c r="B32" t="s">
        <v>287</v>
      </c>
      <c r="C32"/>
      <c r="D32" t="s">
        <v>288</v>
      </c>
    </row>
    <row r="33" spans="1:4" x14ac:dyDescent="0.25">
      <c r="A33" s="18" t="s">
        <v>289</v>
      </c>
      <c r="B33" t="s">
        <v>290</v>
      </c>
      <c r="C33"/>
      <c r="D33" t="s">
        <v>291</v>
      </c>
    </row>
    <row r="34" spans="1:4" x14ac:dyDescent="0.25">
      <c r="A34" s="18" t="s">
        <v>292</v>
      </c>
      <c r="B34" t="s">
        <v>293</v>
      </c>
      <c r="C34"/>
      <c r="D34" t="s">
        <v>294</v>
      </c>
    </row>
    <row r="35" spans="1:4" x14ac:dyDescent="0.25">
      <c r="A35" s="18" t="s">
        <v>295</v>
      </c>
      <c r="B35" t="s">
        <v>296</v>
      </c>
      <c r="C35"/>
      <c r="D35" t="s">
        <v>297</v>
      </c>
    </row>
    <row r="36" spans="1:4" x14ac:dyDescent="0.25">
      <c r="A36" s="18" t="s">
        <v>298</v>
      </c>
      <c r="B36" t="s">
        <v>299</v>
      </c>
      <c r="C36"/>
      <c r="D36" t="s">
        <v>300</v>
      </c>
    </row>
    <row r="37" spans="1:4" x14ac:dyDescent="0.25">
      <c r="A37" s="18" t="s">
        <v>301</v>
      </c>
      <c r="B37" t="s">
        <v>302</v>
      </c>
      <c r="C37"/>
      <c r="D37" t="s">
        <v>303</v>
      </c>
    </row>
    <row r="38" spans="1:4" x14ac:dyDescent="0.25">
      <c r="A38" s="18" t="s">
        <v>304</v>
      </c>
      <c r="B38" t="s">
        <v>305</v>
      </c>
      <c r="C38"/>
      <c r="D38" t="s">
        <v>306</v>
      </c>
    </row>
    <row r="39" spans="1:4" x14ac:dyDescent="0.25">
      <c r="A39" s="18" t="s">
        <v>307</v>
      </c>
      <c r="B39" t="s">
        <v>308</v>
      </c>
      <c r="C39" t="s">
        <v>309</v>
      </c>
      <c r="D39" t="s">
        <v>310</v>
      </c>
    </row>
    <row r="40" spans="1:4" x14ac:dyDescent="0.25">
      <c r="A40" s="18" t="s">
        <v>311</v>
      </c>
      <c r="B40" t="s">
        <v>312</v>
      </c>
      <c r="C40"/>
      <c r="D40" t="s">
        <v>313</v>
      </c>
    </row>
    <row r="41" spans="1:4" x14ac:dyDescent="0.25">
      <c r="A41" s="18" t="s">
        <v>314</v>
      </c>
      <c r="B41" t="s">
        <v>315</v>
      </c>
      <c r="C41" t="s">
        <v>316</v>
      </c>
      <c r="D41" t="s">
        <v>317</v>
      </c>
    </row>
    <row r="42" spans="1:4" x14ac:dyDescent="0.25">
      <c r="A42" s="18" t="s">
        <v>318</v>
      </c>
      <c r="B42" t="s">
        <v>319</v>
      </c>
      <c r="C42"/>
      <c r="D42" t="s">
        <v>320</v>
      </c>
    </row>
    <row r="43" spans="1:4" x14ac:dyDescent="0.25">
      <c r="A43" s="18" t="s">
        <v>321</v>
      </c>
      <c r="B43" t="s">
        <v>322</v>
      </c>
      <c r="C43"/>
      <c r="D43" t="s">
        <v>323</v>
      </c>
    </row>
    <row r="44" spans="1:4" x14ac:dyDescent="0.25">
      <c r="A44" s="18" t="s">
        <v>324</v>
      </c>
      <c r="B44" t="s">
        <v>325</v>
      </c>
      <c r="C44"/>
      <c r="D44" t="s">
        <v>326</v>
      </c>
    </row>
    <row r="45" spans="1:4" x14ac:dyDescent="0.25">
      <c r="A45" s="18" t="s">
        <v>327</v>
      </c>
      <c r="B45" t="s">
        <v>328</v>
      </c>
      <c r="C45"/>
      <c r="D45" t="s">
        <v>329</v>
      </c>
    </row>
    <row r="46" spans="1:4" x14ac:dyDescent="0.25">
      <c r="A46" s="18" t="s">
        <v>330</v>
      </c>
      <c r="B46" t="s">
        <v>331</v>
      </c>
      <c r="C46"/>
      <c r="D46" t="s">
        <v>332</v>
      </c>
    </row>
    <row r="47" spans="1:4" x14ac:dyDescent="0.25">
      <c r="A47" s="18" t="s">
        <v>333</v>
      </c>
      <c r="B47" t="s">
        <v>334</v>
      </c>
      <c r="C47"/>
      <c r="D47" t="s">
        <v>335</v>
      </c>
    </row>
    <row r="48" spans="1:4" x14ac:dyDescent="0.25">
      <c r="A48" s="18" t="s">
        <v>336</v>
      </c>
      <c r="B48" t="s">
        <v>7</v>
      </c>
      <c r="C48" t="s">
        <v>337</v>
      </c>
      <c r="D48" t="s">
        <v>338</v>
      </c>
    </row>
    <row r="49" spans="1:4" x14ac:dyDescent="0.25">
      <c r="A49" s="18" t="s">
        <v>339</v>
      </c>
      <c r="B49" t="s">
        <v>340</v>
      </c>
      <c r="C49"/>
      <c r="D49" t="s">
        <v>341</v>
      </c>
    </row>
    <row r="50" spans="1:4" x14ac:dyDescent="0.25">
      <c r="A50" s="18" t="s">
        <v>342</v>
      </c>
      <c r="B50" t="s">
        <v>343</v>
      </c>
      <c r="C50"/>
      <c r="D50" t="s">
        <v>344</v>
      </c>
    </row>
    <row r="51" spans="1:4" x14ac:dyDescent="0.25">
      <c r="A51" s="18" t="s">
        <v>345</v>
      </c>
      <c r="B51" t="s">
        <v>346</v>
      </c>
      <c r="C51"/>
      <c r="D51" t="s">
        <v>347</v>
      </c>
    </row>
    <row r="52" spans="1:4" x14ac:dyDescent="0.25">
      <c r="A52" s="18" t="s">
        <v>348</v>
      </c>
      <c r="B52" t="s">
        <v>349</v>
      </c>
      <c r="C52"/>
      <c r="D52" t="s">
        <v>350</v>
      </c>
    </row>
    <row r="53" spans="1:4" x14ac:dyDescent="0.25">
      <c r="A53" s="18" t="s">
        <v>351</v>
      </c>
      <c r="B53" t="s">
        <v>352</v>
      </c>
      <c r="C53"/>
      <c r="D53" t="s">
        <v>353</v>
      </c>
    </row>
    <row r="54" spans="1:4" x14ac:dyDescent="0.25">
      <c r="A54" s="18" t="s">
        <v>354</v>
      </c>
      <c r="B54" t="s">
        <v>355</v>
      </c>
      <c r="C54"/>
      <c r="D54" t="s">
        <v>356</v>
      </c>
    </row>
    <row r="55" spans="1:4" x14ac:dyDescent="0.25">
      <c r="A55" s="18" t="s">
        <v>357</v>
      </c>
      <c r="B55" t="s">
        <v>358</v>
      </c>
      <c r="C55"/>
      <c r="D55" t="s">
        <v>359</v>
      </c>
    </row>
    <row r="56" spans="1:4" x14ac:dyDescent="0.25">
      <c r="A56" s="18" t="s">
        <v>177</v>
      </c>
      <c r="B56" t="s">
        <v>32</v>
      </c>
      <c r="C56" t="s">
        <v>360</v>
      </c>
      <c r="D56" t="s">
        <v>361</v>
      </c>
    </row>
    <row r="57" spans="1:4" x14ac:dyDescent="0.25">
      <c r="A57" s="18" t="s">
        <v>362</v>
      </c>
      <c r="B57" t="s">
        <v>363</v>
      </c>
      <c r="C57" t="s">
        <v>364</v>
      </c>
      <c r="D57" t="s">
        <v>365</v>
      </c>
    </row>
    <row r="58" spans="1:4" x14ac:dyDescent="0.25">
      <c r="A58" s="18" t="s">
        <v>366</v>
      </c>
      <c r="B58" t="s">
        <v>36</v>
      </c>
      <c r="C58"/>
      <c r="D58" t="s">
        <v>367</v>
      </c>
    </row>
    <row r="59" spans="1:4" x14ac:dyDescent="0.25">
      <c r="A59" s="18" t="s">
        <v>368</v>
      </c>
      <c r="B59" t="s">
        <v>39</v>
      </c>
      <c r="C59" t="s">
        <v>369</v>
      </c>
      <c r="D59" t="s">
        <v>370</v>
      </c>
    </row>
    <row r="60" spans="1:4" x14ac:dyDescent="0.25">
      <c r="A60" s="18" t="s">
        <v>371</v>
      </c>
      <c r="B60" t="s">
        <v>372</v>
      </c>
      <c r="C60"/>
      <c r="D60" t="s">
        <v>373</v>
      </c>
    </row>
    <row r="61" spans="1:4" x14ac:dyDescent="0.25">
      <c r="A61" s="18" t="s">
        <v>374</v>
      </c>
      <c r="B61" t="s">
        <v>375</v>
      </c>
      <c r="C61"/>
      <c r="D61" t="s">
        <v>376</v>
      </c>
    </row>
    <row r="62" spans="1:4" x14ac:dyDescent="0.25">
      <c r="A62" s="18" t="s">
        <v>377</v>
      </c>
      <c r="B62" t="s">
        <v>378</v>
      </c>
      <c r="C62"/>
      <c r="D62" t="s">
        <v>379</v>
      </c>
    </row>
    <row r="63" spans="1:4" x14ac:dyDescent="0.25">
      <c r="A63" s="18" t="s">
        <v>380</v>
      </c>
      <c r="B63" t="s">
        <v>381</v>
      </c>
      <c r="C63"/>
      <c r="D63" t="s">
        <v>382</v>
      </c>
    </row>
    <row r="64" spans="1:4" x14ac:dyDescent="0.25">
      <c r="A64" s="18" t="s">
        <v>383</v>
      </c>
      <c r="B64" t="s">
        <v>16</v>
      </c>
      <c r="C64"/>
      <c r="D64" t="s">
        <v>384</v>
      </c>
    </row>
    <row r="65" spans="1:4" x14ac:dyDescent="0.25">
      <c r="A65" s="18" t="s">
        <v>385</v>
      </c>
      <c r="B65" t="s">
        <v>386</v>
      </c>
      <c r="C65" t="s">
        <v>387</v>
      </c>
      <c r="D65" t="s">
        <v>388</v>
      </c>
    </row>
    <row r="66" spans="1:4" x14ac:dyDescent="0.25">
      <c r="A66" s="18" t="s">
        <v>389</v>
      </c>
      <c r="B66" t="s">
        <v>390</v>
      </c>
      <c r="C66"/>
      <c r="D66" t="s">
        <v>391</v>
      </c>
    </row>
    <row r="67" spans="1:4" x14ac:dyDescent="0.25">
      <c r="A67" s="18" t="s">
        <v>392</v>
      </c>
      <c r="B67" t="s">
        <v>69</v>
      </c>
      <c r="C67"/>
      <c r="D67" t="s">
        <v>393</v>
      </c>
    </row>
    <row r="68" spans="1:4" x14ac:dyDescent="0.25">
      <c r="A68" s="18" t="s">
        <v>394</v>
      </c>
      <c r="B68" t="s">
        <v>395</v>
      </c>
      <c r="C68"/>
      <c r="D68" t="s">
        <v>396</v>
      </c>
    </row>
    <row r="69" spans="1:4" x14ac:dyDescent="0.25">
      <c r="A69" s="18" t="s">
        <v>397</v>
      </c>
      <c r="B69" t="s">
        <v>398</v>
      </c>
      <c r="C69"/>
      <c r="D69" t="s">
        <v>399</v>
      </c>
    </row>
    <row r="70" spans="1:4" x14ac:dyDescent="0.25">
      <c r="A70" s="18" t="s">
        <v>400</v>
      </c>
      <c r="B70" t="s">
        <v>401</v>
      </c>
      <c r="C70"/>
      <c r="D70" t="s">
        <v>402</v>
      </c>
    </row>
    <row r="71" spans="1:4" x14ac:dyDescent="0.25">
      <c r="A71" s="18" t="s">
        <v>403</v>
      </c>
      <c r="B71" t="s">
        <v>404</v>
      </c>
      <c r="C71"/>
      <c r="D71" t="s">
        <v>405</v>
      </c>
    </row>
    <row r="72" spans="1:4" x14ac:dyDescent="0.25">
      <c r="A72" s="18" t="s">
        <v>406</v>
      </c>
      <c r="B72" t="s">
        <v>407</v>
      </c>
      <c r="C72"/>
      <c r="D72" t="s">
        <v>408</v>
      </c>
    </row>
    <row r="73" spans="1:4" x14ac:dyDescent="0.25">
      <c r="A73" s="18" t="s">
        <v>409</v>
      </c>
      <c r="B73" t="s">
        <v>410</v>
      </c>
      <c r="C73"/>
      <c r="D73" t="s">
        <v>411</v>
      </c>
    </row>
    <row r="74" spans="1:4" x14ac:dyDescent="0.25">
      <c r="A74" s="18" t="s">
        <v>412</v>
      </c>
      <c r="B74" t="s">
        <v>413</v>
      </c>
      <c r="C74"/>
      <c r="D74" t="s">
        <v>414</v>
      </c>
    </row>
    <row r="75" spans="1:4" x14ac:dyDescent="0.25">
      <c r="A75" s="18" t="s">
        <v>415</v>
      </c>
      <c r="B75" t="s">
        <v>416</v>
      </c>
      <c r="C75"/>
      <c r="D75" t="s">
        <v>417</v>
      </c>
    </row>
    <row r="76" spans="1:4" x14ac:dyDescent="0.25">
      <c r="A76" s="18" t="s">
        <v>418</v>
      </c>
      <c r="B76" t="s">
        <v>419</v>
      </c>
      <c r="C76"/>
      <c r="D76" t="s">
        <v>420</v>
      </c>
    </row>
    <row r="77" spans="1:4" x14ac:dyDescent="0.25">
      <c r="A77" s="18" t="s">
        <v>421</v>
      </c>
      <c r="B77" t="s">
        <v>422</v>
      </c>
      <c r="C77"/>
      <c r="D77" t="s">
        <v>423</v>
      </c>
    </row>
    <row r="78" spans="1:4" x14ac:dyDescent="0.25">
      <c r="A78" s="18" t="s">
        <v>424</v>
      </c>
      <c r="B78" t="s">
        <v>425</v>
      </c>
      <c r="C78" t="s">
        <v>426</v>
      </c>
      <c r="D78" t="s">
        <v>427</v>
      </c>
    </row>
    <row r="79" spans="1:4" x14ac:dyDescent="0.25">
      <c r="A79" s="18" t="s">
        <v>428</v>
      </c>
      <c r="B79" t="s">
        <v>429</v>
      </c>
      <c r="C79"/>
      <c r="D79" t="s">
        <v>430</v>
      </c>
    </row>
    <row r="80" spans="1:4" x14ac:dyDescent="0.25">
      <c r="A80" s="18" t="s">
        <v>431</v>
      </c>
      <c r="B80" t="s">
        <v>432</v>
      </c>
      <c r="C80"/>
      <c r="D80" t="s">
        <v>433</v>
      </c>
    </row>
    <row r="81" spans="1:4" x14ac:dyDescent="0.25">
      <c r="A81" s="18" t="s">
        <v>434</v>
      </c>
      <c r="B81" t="s">
        <v>435</v>
      </c>
      <c r="C81"/>
      <c r="D81" t="s">
        <v>436</v>
      </c>
    </row>
    <row r="82" spans="1:4" x14ac:dyDescent="0.25">
      <c r="A82" s="18" t="s">
        <v>437</v>
      </c>
      <c r="B82" t="s">
        <v>308</v>
      </c>
      <c r="C82" t="s">
        <v>438</v>
      </c>
      <c r="D82" t="s">
        <v>439</v>
      </c>
    </row>
    <row r="83" spans="1:4" x14ac:dyDescent="0.25">
      <c r="A83" s="18" t="s">
        <v>440</v>
      </c>
      <c r="B83" t="s">
        <v>441</v>
      </c>
      <c r="C83"/>
      <c r="D83" t="s">
        <v>442</v>
      </c>
    </row>
    <row r="84" spans="1:4" x14ac:dyDescent="0.25">
      <c r="A84" s="18" t="s">
        <v>443</v>
      </c>
      <c r="B84" t="s">
        <v>444</v>
      </c>
      <c r="C84"/>
      <c r="D84" t="s">
        <v>445</v>
      </c>
    </row>
    <row r="85" spans="1:4" x14ac:dyDescent="0.25">
      <c r="A85" s="18" t="s">
        <v>446</v>
      </c>
      <c r="B85" t="s">
        <v>447</v>
      </c>
      <c r="C85" t="s">
        <v>448</v>
      </c>
      <c r="D85" t="s">
        <v>449</v>
      </c>
    </row>
    <row r="86" spans="1:4" x14ac:dyDescent="0.25">
      <c r="A86" s="18" t="s">
        <v>450</v>
      </c>
      <c r="B86" t="s">
        <v>451</v>
      </c>
      <c r="C86" t="s">
        <v>452</v>
      </c>
      <c r="D86" t="s">
        <v>453</v>
      </c>
    </row>
    <row r="87" spans="1:4" x14ac:dyDescent="0.25">
      <c r="A87" s="18" t="s">
        <v>454</v>
      </c>
      <c r="B87" t="s">
        <v>13</v>
      </c>
      <c r="C87"/>
      <c r="D87" t="s">
        <v>455</v>
      </c>
    </row>
    <row r="88" spans="1:4" x14ac:dyDescent="0.25">
      <c r="A88" s="18" t="s">
        <v>456</v>
      </c>
      <c r="B88" t="s">
        <v>102</v>
      </c>
      <c r="C88"/>
      <c r="D88" t="s">
        <v>457</v>
      </c>
    </row>
    <row r="89" spans="1:4" x14ac:dyDescent="0.25">
      <c r="A89" s="18" t="s">
        <v>458</v>
      </c>
      <c r="B89" t="s">
        <v>459</v>
      </c>
      <c r="C89"/>
      <c r="D89" t="s">
        <v>460</v>
      </c>
    </row>
    <row r="90" spans="1:4" x14ac:dyDescent="0.25">
      <c r="A90" s="18" t="s">
        <v>461</v>
      </c>
      <c r="B90" t="s">
        <v>91</v>
      </c>
      <c r="C90"/>
      <c r="D90" t="s">
        <v>462</v>
      </c>
    </row>
    <row r="91" spans="1:4" x14ac:dyDescent="0.25">
      <c r="A91" s="18" t="s">
        <v>463</v>
      </c>
      <c r="B91" t="s">
        <v>464</v>
      </c>
      <c r="C91"/>
      <c r="D91" t="s">
        <v>465</v>
      </c>
    </row>
    <row r="92" spans="1:4" x14ac:dyDescent="0.25">
      <c r="A92" s="18" t="s">
        <v>466</v>
      </c>
      <c r="B92" t="s">
        <v>467</v>
      </c>
      <c r="C92"/>
      <c r="D92" t="s">
        <v>468</v>
      </c>
    </row>
    <row r="93" spans="1:4" x14ac:dyDescent="0.25">
      <c r="A93" s="18" t="s">
        <v>469</v>
      </c>
      <c r="B93" t="s">
        <v>470</v>
      </c>
      <c r="C93" t="s">
        <v>471</v>
      </c>
      <c r="D93" t="s">
        <v>472</v>
      </c>
    </row>
    <row r="94" spans="1:4" x14ac:dyDescent="0.25">
      <c r="A94" s="18" t="s">
        <v>473</v>
      </c>
      <c r="B94" t="s">
        <v>474</v>
      </c>
      <c r="C94"/>
      <c r="D94" t="s">
        <v>475</v>
      </c>
    </row>
    <row r="95" spans="1:4" x14ac:dyDescent="0.25">
      <c r="A95" s="18" t="s">
        <v>476</v>
      </c>
      <c r="B95" t="s">
        <v>477</v>
      </c>
      <c r="C95" t="s">
        <v>478</v>
      </c>
      <c r="D95" t="s">
        <v>479</v>
      </c>
    </row>
    <row r="96" spans="1:4" x14ac:dyDescent="0.25">
      <c r="A96" s="18" t="s">
        <v>480</v>
      </c>
      <c r="B96" t="s">
        <v>481</v>
      </c>
      <c r="C96"/>
      <c r="D96" t="s">
        <v>482</v>
      </c>
    </row>
    <row r="97" spans="1:4" x14ac:dyDescent="0.25">
      <c r="A97" s="18" t="s">
        <v>483</v>
      </c>
      <c r="B97" t="s">
        <v>484</v>
      </c>
      <c r="C97"/>
      <c r="D97" t="s">
        <v>485</v>
      </c>
    </row>
    <row r="98" spans="1:4" x14ac:dyDescent="0.25">
      <c r="A98" s="18" t="s">
        <v>486</v>
      </c>
      <c r="B98" t="s">
        <v>487</v>
      </c>
      <c r="C98"/>
      <c r="D98" t="s">
        <v>488</v>
      </c>
    </row>
    <row r="99" spans="1:4" x14ac:dyDescent="0.25">
      <c r="A99" s="18" t="s">
        <v>489</v>
      </c>
      <c r="B99" t="s">
        <v>490</v>
      </c>
      <c r="C99"/>
      <c r="D99" t="s">
        <v>491</v>
      </c>
    </row>
    <row r="100" spans="1:4" x14ac:dyDescent="0.25">
      <c r="A100" s="18" t="s">
        <v>492</v>
      </c>
      <c r="B100" t="s">
        <v>493</v>
      </c>
      <c r="C100"/>
      <c r="D100" t="s">
        <v>494</v>
      </c>
    </row>
    <row r="101" spans="1:4" x14ac:dyDescent="0.25">
      <c r="A101" s="18" t="s">
        <v>495</v>
      </c>
      <c r="B101" t="s">
        <v>496</v>
      </c>
      <c r="C101"/>
      <c r="D101" t="s">
        <v>497</v>
      </c>
    </row>
    <row r="102" spans="1:4" x14ac:dyDescent="0.25">
      <c r="A102" s="18" t="s">
        <v>498</v>
      </c>
      <c r="B102" t="s">
        <v>499</v>
      </c>
      <c r="C102"/>
      <c r="D102" t="s">
        <v>500</v>
      </c>
    </row>
    <row r="103" spans="1:4" x14ac:dyDescent="0.25">
      <c r="A103" s="18" t="s">
        <v>501</v>
      </c>
      <c r="B103" t="s">
        <v>502</v>
      </c>
      <c r="C103"/>
      <c r="D103" t="s">
        <v>503</v>
      </c>
    </row>
    <row r="104" spans="1:4" x14ac:dyDescent="0.25">
      <c r="A104" s="18" t="s">
        <v>504</v>
      </c>
      <c r="B104" t="s">
        <v>505</v>
      </c>
      <c r="C104"/>
      <c r="D104" t="s">
        <v>506</v>
      </c>
    </row>
    <row r="105" spans="1:4" x14ac:dyDescent="0.25">
      <c r="A105" s="18" t="s">
        <v>507</v>
      </c>
      <c r="B105" t="s">
        <v>508</v>
      </c>
      <c r="C105"/>
      <c r="D105" t="s">
        <v>509</v>
      </c>
    </row>
    <row r="106" spans="1:4" x14ac:dyDescent="0.25">
      <c r="A106" s="18" t="s">
        <v>510</v>
      </c>
      <c r="B106" t="s">
        <v>308</v>
      </c>
      <c r="C106" t="s">
        <v>511</v>
      </c>
      <c r="D106" t="s">
        <v>512</v>
      </c>
    </row>
    <row r="107" spans="1:4" x14ac:dyDescent="0.25">
      <c r="A107" s="18" t="s">
        <v>513</v>
      </c>
      <c r="B107" t="s">
        <v>514</v>
      </c>
      <c r="C107"/>
      <c r="D107" t="s">
        <v>515</v>
      </c>
    </row>
    <row r="108" spans="1:4" x14ac:dyDescent="0.25">
      <c r="A108" s="18" t="s">
        <v>516</v>
      </c>
      <c r="B108" t="s">
        <v>517</v>
      </c>
      <c r="C108"/>
      <c r="D108" t="s">
        <v>518</v>
      </c>
    </row>
    <row r="109" spans="1:4" x14ac:dyDescent="0.25">
      <c r="A109" s="18" t="s">
        <v>519</v>
      </c>
      <c r="B109" t="s">
        <v>520</v>
      </c>
      <c r="C109"/>
      <c r="D109" t="s">
        <v>521</v>
      </c>
    </row>
    <row r="110" spans="1:4" x14ac:dyDescent="0.25">
      <c r="A110" s="18" t="s">
        <v>522</v>
      </c>
      <c r="B110" t="s">
        <v>523</v>
      </c>
      <c r="C110"/>
      <c r="D110" t="s">
        <v>524</v>
      </c>
    </row>
    <row r="111" spans="1:4" x14ac:dyDescent="0.25">
      <c r="A111" s="18" t="s">
        <v>525</v>
      </c>
      <c r="B111" t="s">
        <v>526</v>
      </c>
      <c r="C111"/>
      <c r="D111" t="s">
        <v>527</v>
      </c>
    </row>
    <row r="112" spans="1:4" x14ac:dyDescent="0.25">
      <c r="A112" s="18" t="s">
        <v>528</v>
      </c>
      <c r="B112" t="s">
        <v>12</v>
      </c>
      <c r="C112"/>
      <c r="D112" t="s">
        <v>529</v>
      </c>
    </row>
    <row r="113" spans="1:4" x14ac:dyDescent="0.25">
      <c r="A113" s="18" t="s">
        <v>530</v>
      </c>
      <c r="B113" t="s">
        <v>531</v>
      </c>
      <c r="C113" t="s">
        <v>532</v>
      </c>
      <c r="D113" t="s">
        <v>533</v>
      </c>
    </row>
    <row r="114" spans="1:4" x14ac:dyDescent="0.25">
      <c r="A114" s="18" t="s">
        <v>534</v>
      </c>
      <c r="B114" t="s">
        <v>232</v>
      </c>
      <c r="C114"/>
      <c r="D114" t="s">
        <v>535</v>
      </c>
    </row>
    <row r="115" spans="1:4" x14ac:dyDescent="0.25">
      <c r="A115" s="18" t="s">
        <v>536</v>
      </c>
      <c r="B115" t="s">
        <v>239</v>
      </c>
      <c r="C115"/>
      <c r="D115" t="s">
        <v>537</v>
      </c>
    </row>
    <row r="116" spans="1:4" x14ac:dyDescent="0.25">
      <c r="A116" s="18" t="s">
        <v>538</v>
      </c>
      <c r="B116" t="s">
        <v>116</v>
      </c>
      <c r="C116"/>
      <c r="D116" t="s">
        <v>539</v>
      </c>
    </row>
    <row r="117" spans="1:4" x14ac:dyDescent="0.25">
      <c r="A117" s="18" t="s">
        <v>540</v>
      </c>
      <c r="B117" t="s">
        <v>47</v>
      </c>
      <c r="C117"/>
      <c r="D117" t="s">
        <v>541</v>
      </c>
    </row>
    <row r="118" spans="1:4" x14ac:dyDescent="0.25">
      <c r="A118" s="18" t="s">
        <v>542</v>
      </c>
      <c r="B118" t="s">
        <v>543</v>
      </c>
      <c r="C118"/>
      <c r="D118" t="s">
        <v>544</v>
      </c>
    </row>
    <row r="119" spans="1:4" x14ac:dyDescent="0.25">
      <c r="A119" s="18" t="s">
        <v>545</v>
      </c>
      <c r="B119" t="s">
        <v>546</v>
      </c>
      <c r="C119"/>
      <c r="D119" t="s">
        <v>547</v>
      </c>
    </row>
    <row r="120" spans="1:4" x14ac:dyDescent="0.25">
      <c r="A120" s="18" t="s">
        <v>548</v>
      </c>
      <c r="B120" t="s">
        <v>549</v>
      </c>
      <c r="C120"/>
      <c r="D120" t="s">
        <v>550</v>
      </c>
    </row>
    <row r="121" spans="1:4" x14ac:dyDescent="0.25">
      <c r="A121" s="18" t="s">
        <v>551</v>
      </c>
      <c r="B121" t="s">
        <v>107</v>
      </c>
      <c r="C121"/>
      <c r="D121" t="s">
        <v>552</v>
      </c>
    </row>
    <row r="122" spans="1:4" x14ac:dyDescent="0.25">
      <c r="A122" s="18" t="s">
        <v>553</v>
      </c>
      <c r="B122" t="s">
        <v>14</v>
      </c>
      <c r="C122"/>
      <c r="D122" t="s">
        <v>554</v>
      </c>
    </row>
    <row r="123" spans="1:4" x14ac:dyDescent="0.25">
      <c r="A123" s="18" t="s">
        <v>555</v>
      </c>
      <c r="B123" t="s">
        <v>105</v>
      </c>
      <c r="C123" t="s">
        <v>556</v>
      </c>
      <c r="D123" t="s">
        <v>557</v>
      </c>
    </row>
    <row r="124" spans="1:4" x14ac:dyDescent="0.25">
      <c r="A124" s="18" t="s">
        <v>558</v>
      </c>
      <c r="B124" t="s">
        <v>32</v>
      </c>
      <c r="C124"/>
      <c r="D124" t="s">
        <v>559</v>
      </c>
    </row>
    <row r="125" spans="1:4" x14ac:dyDescent="0.25">
      <c r="A125" s="18" t="s">
        <v>560</v>
      </c>
      <c r="B125" t="s">
        <v>39</v>
      </c>
      <c r="C125"/>
      <c r="D125" t="s">
        <v>561</v>
      </c>
    </row>
    <row r="126" spans="1:4" x14ac:dyDescent="0.25">
      <c r="A126" s="18" t="s">
        <v>562</v>
      </c>
      <c r="B126" t="s">
        <v>563</v>
      </c>
      <c r="C126"/>
      <c r="D126" t="s">
        <v>564</v>
      </c>
    </row>
    <row r="127" spans="1:4" x14ac:dyDescent="0.25">
      <c r="A127" s="18" t="s">
        <v>565</v>
      </c>
      <c r="B127" t="s">
        <v>566</v>
      </c>
      <c r="C127"/>
      <c r="D127" t="s">
        <v>567</v>
      </c>
    </row>
    <row r="128" spans="1:4" x14ac:dyDescent="0.25">
      <c r="A128" s="18" t="s">
        <v>568</v>
      </c>
      <c r="B128" t="s">
        <v>569</v>
      </c>
      <c r="C128"/>
      <c r="D128" t="s">
        <v>570</v>
      </c>
    </row>
    <row r="129" spans="1:4" x14ac:dyDescent="0.25">
      <c r="A129" s="18" t="s">
        <v>571</v>
      </c>
      <c r="B129" t="s">
        <v>572</v>
      </c>
      <c r="C129"/>
      <c r="D129" t="s">
        <v>573</v>
      </c>
    </row>
    <row r="130" spans="1:4" x14ac:dyDescent="0.25">
      <c r="A130" s="18" t="s">
        <v>574</v>
      </c>
      <c r="B130" t="s">
        <v>296</v>
      </c>
      <c r="C130"/>
      <c r="D130" t="s">
        <v>575</v>
      </c>
    </row>
    <row r="131" spans="1:4" x14ac:dyDescent="0.25">
      <c r="A131" s="18" t="s">
        <v>576</v>
      </c>
      <c r="B131" t="s">
        <v>531</v>
      </c>
      <c r="C131"/>
      <c r="D131" t="s">
        <v>577</v>
      </c>
    </row>
    <row r="132" spans="1:4" x14ac:dyDescent="0.25">
      <c r="A132" s="18" t="s">
        <v>578</v>
      </c>
      <c r="B132" t="s">
        <v>459</v>
      </c>
      <c r="C132"/>
      <c r="D132" t="s">
        <v>579</v>
      </c>
    </row>
    <row r="133" spans="1:4" x14ac:dyDescent="0.25">
      <c r="A133" s="18" t="s">
        <v>580</v>
      </c>
      <c r="B133" t="s">
        <v>581</v>
      </c>
      <c r="C133"/>
      <c r="D133" t="s">
        <v>582</v>
      </c>
    </row>
    <row r="134" spans="1:4" x14ac:dyDescent="0.25">
      <c r="A134" s="18" t="s">
        <v>583</v>
      </c>
      <c r="B134" t="s">
        <v>31</v>
      </c>
      <c r="C134"/>
      <c r="D134" t="s">
        <v>584</v>
      </c>
    </row>
    <row r="135" spans="1:4" x14ac:dyDescent="0.25">
      <c r="A135" s="18" t="s">
        <v>585</v>
      </c>
      <c r="B135" t="s">
        <v>24</v>
      </c>
      <c r="C135"/>
      <c r="D135" t="s">
        <v>586</v>
      </c>
    </row>
    <row r="136" spans="1:4" x14ac:dyDescent="0.25">
      <c r="A136" s="18" t="s">
        <v>587</v>
      </c>
      <c r="B136" t="s">
        <v>588</v>
      </c>
      <c r="C136"/>
      <c r="D136" t="s">
        <v>589</v>
      </c>
    </row>
    <row r="137" spans="1:4" x14ac:dyDescent="0.25">
      <c r="A137" s="18" t="s">
        <v>590</v>
      </c>
      <c r="B137" t="s">
        <v>591</v>
      </c>
      <c r="C137"/>
      <c r="D137" t="s">
        <v>592</v>
      </c>
    </row>
    <row r="138" spans="1:4" x14ac:dyDescent="0.25">
      <c r="A138" s="18" t="s">
        <v>593</v>
      </c>
      <c r="B138" t="s">
        <v>594</v>
      </c>
      <c r="C138"/>
      <c r="D138" t="s">
        <v>595</v>
      </c>
    </row>
    <row r="139" spans="1:4" x14ac:dyDescent="0.25">
      <c r="A139" s="18" t="s">
        <v>596</v>
      </c>
      <c r="B139" t="s">
        <v>96</v>
      </c>
      <c r="C139"/>
      <c r="D139" t="s">
        <v>597</v>
      </c>
    </row>
    <row r="140" spans="1:4" x14ac:dyDescent="0.25">
      <c r="A140" s="18" t="s">
        <v>598</v>
      </c>
      <c r="B140" t="s">
        <v>50</v>
      </c>
      <c r="C140"/>
      <c r="D140" t="s">
        <v>599</v>
      </c>
    </row>
    <row r="141" spans="1:4" x14ac:dyDescent="0.25">
      <c r="A141" s="18" t="s">
        <v>600</v>
      </c>
      <c r="B141" t="s">
        <v>52</v>
      </c>
      <c r="C141"/>
      <c r="D141" t="s">
        <v>601</v>
      </c>
    </row>
    <row r="142" spans="1:4" x14ac:dyDescent="0.25">
      <c r="A142" s="18" t="s">
        <v>602</v>
      </c>
      <c r="B142" t="s">
        <v>603</v>
      </c>
      <c r="C142"/>
      <c r="D142" t="s">
        <v>604</v>
      </c>
    </row>
    <row r="143" spans="1:4" x14ac:dyDescent="0.25">
      <c r="A143" s="18" t="s">
        <v>605</v>
      </c>
      <c r="B143" t="s">
        <v>606</v>
      </c>
      <c r="C143"/>
      <c r="D143" t="s">
        <v>607</v>
      </c>
    </row>
    <row r="144" spans="1:4" x14ac:dyDescent="0.25">
      <c r="A144" s="18" t="s">
        <v>608</v>
      </c>
      <c r="B144" t="s">
        <v>93</v>
      </c>
      <c r="C144"/>
      <c r="D144" t="s">
        <v>609</v>
      </c>
    </row>
    <row r="145" spans="1:4" x14ac:dyDescent="0.25">
      <c r="A145" s="18" t="s">
        <v>610</v>
      </c>
      <c r="B145" t="s">
        <v>611</v>
      </c>
      <c r="C145"/>
      <c r="D145" t="s">
        <v>612</v>
      </c>
    </row>
    <row r="146" spans="1:4" x14ac:dyDescent="0.25">
      <c r="A146" s="18" t="s">
        <v>613</v>
      </c>
      <c r="B146" t="s">
        <v>128</v>
      </c>
      <c r="C146"/>
      <c r="D146" t="s">
        <v>614</v>
      </c>
    </row>
    <row r="147" spans="1:4" x14ac:dyDescent="0.25">
      <c r="A147" s="18" t="s">
        <v>615</v>
      </c>
      <c r="B147" t="s">
        <v>616</v>
      </c>
      <c r="C147"/>
      <c r="D147" t="s">
        <v>617</v>
      </c>
    </row>
    <row r="148" spans="1:4" x14ac:dyDescent="0.25">
      <c r="A148" s="18" t="s">
        <v>618</v>
      </c>
      <c r="B148" t="s">
        <v>619</v>
      </c>
      <c r="C148"/>
      <c r="D148" t="s">
        <v>620</v>
      </c>
    </row>
    <row r="149" spans="1:4" x14ac:dyDescent="0.25">
      <c r="A149" s="18" t="s">
        <v>621</v>
      </c>
      <c r="B149" t="s">
        <v>622</v>
      </c>
      <c r="C149"/>
      <c r="D149" t="s">
        <v>623</v>
      </c>
    </row>
    <row r="150" spans="1:4" x14ac:dyDescent="0.25">
      <c r="A150" s="18" t="s">
        <v>624</v>
      </c>
      <c r="B150" t="s">
        <v>91</v>
      </c>
      <c r="C150"/>
      <c r="D150" t="s">
        <v>625</v>
      </c>
    </row>
    <row r="151" spans="1:4" x14ac:dyDescent="0.25">
      <c r="A151" s="18" t="s">
        <v>626</v>
      </c>
      <c r="B151" t="s">
        <v>627</v>
      </c>
      <c r="C151"/>
      <c r="D151" t="s">
        <v>628</v>
      </c>
    </row>
    <row r="152" spans="1:4" x14ac:dyDescent="0.25">
      <c r="A152" s="18" t="s">
        <v>629</v>
      </c>
      <c r="B152" t="s">
        <v>630</v>
      </c>
      <c r="C152"/>
      <c r="D152" t="s">
        <v>631</v>
      </c>
    </row>
    <row r="153" spans="1:4" x14ac:dyDescent="0.25">
      <c r="A153" s="18" t="s">
        <v>632</v>
      </c>
      <c r="B153" t="s">
        <v>633</v>
      </c>
      <c r="C153"/>
      <c r="D153" t="s">
        <v>634</v>
      </c>
    </row>
    <row r="154" spans="1:4" x14ac:dyDescent="0.25">
      <c r="A154" s="18" t="s">
        <v>635</v>
      </c>
      <c r="B154" t="s">
        <v>636</v>
      </c>
      <c r="C154"/>
      <c r="D154" t="s">
        <v>637</v>
      </c>
    </row>
    <row r="155" spans="1:4" x14ac:dyDescent="0.25">
      <c r="A155" s="18" t="s">
        <v>638</v>
      </c>
      <c r="B155" t="s">
        <v>40</v>
      </c>
      <c r="C155"/>
      <c r="D155" t="s">
        <v>639</v>
      </c>
    </row>
    <row r="156" spans="1:4" x14ac:dyDescent="0.25">
      <c r="A156" s="18" t="s">
        <v>640</v>
      </c>
      <c r="B156" t="s">
        <v>419</v>
      </c>
      <c r="C156"/>
      <c r="D156" t="s">
        <v>641</v>
      </c>
    </row>
    <row r="157" spans="1:4" x14ac:dyDescent="0.25">
      <c r="A157" s="18" t="s">
        <v>642</v>
      </c>
      <c r="B157" t="s">
        <v>643</v>
      </c>
      <c r="C157"/>
      <c r="D157" t="s">
        <v>644</v>
      </c>
    </row>
    <row r="158" spans="1:4" x14ac:dyDescent="0.25">
      <c r="A158" s="18" t="s">
        <v>645</v>
      </c>
      <c r="B158" t="s">
        <v>464</v>
      </c>
      <c r="C158"/>
      <c r="D158" t="s">
        <v>646</v>
      </c>
    </row>
    <row r="159" spans="1:4" x14ac:dyDescent="0.25">
      <c r="A159" s="18" t="s">
        <v>647</v>
      </c>
      <c r="B159" t="s">
        <v>80</v>
      </c>
      <c r="C159"/>
      <c r="D159" t="s">
        <v>648</v>
      </c>
    </row>
    <row r="160" spans="1:4" x14ac:dyDescent="0.25">
      <c r="A160" s="18" t="s">
        <v>649</v>
      </c>
      <c r="B160" t="s">
        <v>650</v>
      </c>
      <c r="C160"/>
      <c r="D160" t="s">
        <v>651</v>
      </c>
    </row>
    <row r="161" spans="1:4" x14ac:dyDescent="0.25">
      <c r="A161" s="18" t="s">
        <v>652</v>
      </c>
      <c r="B161" t="s">
        <v>70</v>
      </c>
      <c r="C161"/>
      <c r="D161" t="s">
        <v>653</v>
      </c>
    </row>
    <row r="162" spans="1:4" x14ac:dyDescent="0.25">
      <c r="A162" s="18" t="s">
        <v>654</v>
      </c>
      <c r="B162" t="s">
        <v>56</v>
      </c>
      <c r="C162"/>
      <c r="D162" t="s">
        <v>655</v>
      </c>
    </row>
    <row r="163" spans="1:4" x14ac:dyDescent="0.25">
      <c r="A163" s="18" t="s">
        <v>656</v>
      </c>
      <c r="B163" t="s">
        <v>71</v>
      </c>
      <c r="C163"/>
      <c r="D163" t="s">
        <v>657</v>
      </c>
    </row>
    <row r="164" spans="1:4" x14ac:dyDescent="0.25">
      <c r="A164" s="18" t="s">
        <v>658</v>
      </c>
      <c r="B164" t="s">
        <v>659</v>
      </c>
      <c r="C164"/>
      <c r="D164" t="s">
        <v>660</v>
      </c>
    </row>
    <row r="165" spans="1:4" x14ac:dyDescent="0.25">
      <c r="A165" s="18" t="s">
        <v>661</v>
      </c>
      <c r="B165" t="s">
        <v>56</v>
      </c>
      <c r="C165"/>
      <c r="D165" t="s">
        <v>662</v>
      </c>
    </row>
    <row r="166" spans="1:4" x14ac:dyDescent="0.25">
      <c r="A166" s="18" t="s">
        <v>663</v>
      </c>
      <c r="B166" t="s">
        <v>664</v>
      </c>
      <c r="C166"/>
      <c r="D166" t="s">
        <v>665</v>
      </c>
    </row>
    <row r="167" spans="1:4" x14ac:dyDescent="0.25">
      <c r="A167" s="18" t="s">
        <v>666</v>
      </c>
      <c r="B167" t="s">
        <v>667</v>
      </c>
      <c r="C167"/>
      <c r="D167" t="s">
        <v>668</v>
      </c>
    </row>
    <row r="168" spans="1:4" x14ac:dyDescent="0.25">
      <c r="A168" s="18" t="s">
        <v>669</v>
      </c>
      <c r="B168" t="s">
        <v>670</v>
      </c>
      <c r="C168"/>
      <c r="D168" t="s">
        <v>671</v>
      </c>
    </row>
    <row r="169" spans="1:4" x14ac:dyDescent="0.25">
      <c r="A169" s="18" t="s">
        <v>672</v>
      </c>
      <c r="B169" t="s">
        <v>673</v>
      </c>
      <c r="C169"/>
      <c r="D169" t="s">
        <v>674</v>
      </c>
    </row>
    <row r="170" spans="1:4" x14ac:dyDescent="0.25">
      <c r="A170" s="18" t="s">
        <v>675</v>
      </c>
      <c r="B170" t="s">
        <v>116</v>
      </c>
      <c r="C170"/>
      <c r="D170" t="s">
        <v>676</v>
      </c>
    </row>
    <row r="171" spans="1:4" x14ac:dyDescent="0.25">
      <c r="A171" s="18" t="s">
        <v>677</v>
      </c>
      <c r="B171" t="s">
        <v>54</v>
      </c>
      <c r="C171"/>
      <c r="D171" t="s">
        <v>678</v>
      </c>
    </row>
    <row r="172" spans="1:4" x14ac:dyDescent="0.25">
      <c r="A172" s="18" t="s">
        <v>679</v>
      </c>
      <c r="B172" t="s">
        <v>680</v>
      </c>
      <c r="C172"/>
      <c r="D172" t="s">
        <v>681</v>
      </c>
    </row>
    <row r="173" spans="1:4" x14ac:dyDescent="0.25">
      <c r="A173" s="18" t="s">
        <v>682</v>
      </c>
      <c r="B173" t="s">
        <v>89</v>
      </c>
      <c r="C173"/>
      <c r="D173" t="s">
        <v>683</v>
      </c>
    </row>
    <row r="174" spans="1:4" x14ac:dyDescent="0.25">
      <c r="A174" s="18" t="s">
        <v>684</v>
      </c>
      <c r="B174" t="s">
        <v>685</v>
      </c>
      <c r="C174"/>
      <c r="D174" t="s">
        <v>686</v>
      </c>
    </row>
    <row r="175" spans="1:4" x14ac:dyDescent="0.25">
      <c r="A175" s="18" t="s">
        <v>687</v>
      </c>
      <c r="B175" t="s">
        <v>688</v>
      </c>
      <c r="C175"/>
      <c r="D175" t="s">
        <v>689</v>
      </c>
    </row>
    <row r="176" spans="1:4" x14ac:dyDescent="0.25">
      <c r="A176" s="18" t="s">
        <v>690</v>
      </c>
      <c r="B176" t="s">
        <v>691</v>
      </c>
      <c r="C176"/>
      <c r="D176" t="s">
        <v>692</v>
      </c>
    </row>
    <row r="177" spans="1:4" x14ac:dyDescent="0.25">
      <c r="A177" s="18" t="s">
        <v>693</v>
      </c>
      <c r="B177" t="s">
        <v>14</v>
      </c>
      <c r="C177"/>
      <c r="D177" t="s">
        <v>694</v>
      </c>
    </row>
    <row r="178" spans="1:4" x14ac:dyDescent="0.25">
      <c r="A178" s="18" t="s">
        <v>695</v>
      </c>
      <c r="B178" t="s">
        <v>105</v>
      </c>
      <c r="C178"/>
      <c r="D178" t="s">
        <v>696</v>
      </c>
    </row>
    <row r="179" spans="1:4" x14ac:dyDescent="0.25">
      <c r="A179" s="18" t="s">
        <v>697</v>
      </c>
      <c r="B179" t="s">
        <v>698</v>
      </c>
      <c r="C179"/>
      <c r="D179" t="s">
        <v>699</v>
      </c>
    </row>
    <row r="180" spans="1:4" x14ac:dyDescent="0.25">
      <c r="A180" s="18" t="s">
        <v>700</v>
      </c>
      <c r="B180" t="s">
        <v>10</v>
      </c>
      <c r="C180"/>
      <c r="D180" t="s">
        <v>701</v>
      </c>
    </row>
    <row r="181" spans="1:4" x14ac:dyDescent="0.25">
      <c r="A181" s="18" t="s">
        <v>702</v>
      </c>
      <c r="B181" t="s">
        <v>703</v>
      </c>
      <c r="C181"/>
      <c r="D181" t="s">
        <v>704</v>
      </c>
    </row>
    <row r="182" spans="1:4" x14ac:dyDescent="0.25">
      <c r="A182" s="18" t="s">
        <v>705</v>
      </c>
      <c r="B182" t="s">
        <v>115</v>
      </c>
      <c r="C182"/>
      <c r="D182" t="s">
        <v>706</v>
      </c>
    </row>
    <row r="183" spans="1:4" x14ac:dyDescent="0.25">
      <c r="A183" s="18" t="s">
        <v>707</v>
      </c>
      <c r="B183" t="s">
        <v>708</v>
      </c>
      <c r="C183"/>
      <c r="D183" t="s">
        <v>709</v>
      </c>
    </row>
    <row r="184" spans="1:4" x14ac:dyDescent="0.25">
      <c r="A184" s="18" t="s">
        <v>710</v>
      </c>
      <c r="B184" t="s">
        <v>711</v>
      </c>
      <c r="C184"/>
      <c r="D184" t="s">
        <v>712</v>
      </c>
    </row>
    <row r="185" spans="1:4" x14ac:dyDescent="0.25">
      <c r="A185" s="18" t="s">
        <v>713</v>
      </c>
      <c r="B185" t="s">
        <v>572</v>
      </c>
      <c r="C185"/>
      <c r="D185" t="s">
        <v>714</v>
      </c>
    </row>
    <row r="186" spans="1:4" x14ac:dyDescent="0.25">
      <c r="A186" s="18" t="s">
        <v>715</v>
      </c>
      <c r="B186" t="s">
        <v>6</v>
      </c>
      <c r="C186"/>
      <c r="D186" t="s">
        <v>716</v>
      </c>
    </row>
    <row r="187" spans="1:4" x14ac:dyDescent="0.25">
      <c r="A187" s="18" t="s">
        <v>717</v>
      </c>
      <c r="B187" t="s">
        <v>8</v>
      </c>
      <c r="C187"/>
      <c r="D187" t="s">
        <v>718</v>
      </c>
    </row>
    <row r="188" spans="1:4" x14ac:dyDescent="0.25">
      <c r="A188" s="18" t="s">
        <v>719</v>
      </c>
      <c r="B188" t="s">
        <v>720</v>
      </c>
      <c r="C188"/>
      <c r="D188" t="s">
        <v>721</v>
      </c>
    </row>
    <row r="189" spans="1:4" x14ac:dyDescent="0.25">
      <c r="A189" s="18" t="s">
        <v>722</v>
      </c>
      <c r="B189" t="s">
        <v>723</v>
      </c>
      <c r="C189"/>
      <c r="D189" t="s">
        <v>724</v>
      </c>
    </row>
    <row r="190" spans="1:4" x14ac:dyDescent="0.25">
      <c r="A190" s="18" t="s">
        <v>725</v>
      </c>
      <c r="B190" t="s">
        <v>726</v>
      </c>
      <c r="C190"/>
      <c r="D190" t="s">
        <v>727</v>
      </c>
    </row>
    <row r="191" spans="1:4" x14ac:dyDescent="0.25">
      <c r="A191" s="18" t="s">
        <v>728</v>
      </c>
      <c r="B191" t="s">
        <v>88</v>
      </c>
      <c r="C191"/>
      <c r="D191" t="s">
        <v>729</v>
      </c>
    </row>
    <row r="192" spans="1:4" x14ac:dyDescent="0.25">
      <c r="A192" s="18" t="s">
        <v>730</v>
      </c>
      <c r="B192" t="s">
        <v>731</v>
      </c>
      <c r="C192"/>
      <c r="D192" t="s">
        <v>732</v>
      </c>
    </row>
    <row r="193" spans="1:4" x14ac:dyDescent="0.25">
      <c r="A193" s="18" t="s">
        <v>733</v>
      </c>
      <c r="B193" t="s">
        <v>734</v>
      </c>
      <c r="C193"/>
      <c r="D193" t="s">
        <v>735</v>
      </c>
    </row>
    <row r="194" spans="1:4" x14ac:dyDescent="0.25">
      <c r="A194" s="18" t="s">
        <v>736</v>
      </c>
      <c r="B194" t="s">
        <v>737</v>
      </c>
      <c r="C194"/>
      <c r="D194" t="s">
        <v>738</v>
      </c>
    </row>
    <row r="195" spans="1:4" x14ac:dyDescent="0.25">
      <c r="A195" s="18" t="s">
        <v>739</v>
      </c>
      <c r="B195" t="s">
        <v>79</v>
      </c>
      <c r="C195"/>
      <c r="D195" t="s">
        <v>740</v>
      </c>
    </row>
    <row r="196" spans="1:4" x14ac:dyDescent="0.25">
      <c r="A196" s="18" t="s">
        <v>741</v>
      </c>
      <c r="B196" t="s">
        <v>742</v>
      </c>
      <c r="C196"/>
      <c r="D196" t="s">
        <v>743</v>
      </c>
    </row>
    <row r="197" spans="1:4" x14ac:dyDescent="0.25">
      <c r="A197" s="18" t="s">
        <v>156</v>
      </c>
      <c r="B197" t="s">
        <v>588</v>
      </c>
      <c r="C197"/>
      <c r="D197" t="s">
        <v>744</v>
      </c>
    </row>
    <row r="198" spans="1:4" x14ac:dyDescent="0.25">
      <c r="A198" s="18" t="s">
        <v>745</v>
      </c>
      <c r="B198" t="s">
        <v>746</v>
      </c>
      <c r="C198"/>
      <c r="D198" t="s">
        <v>747</v>
      </c>
    </row>
    <row r="199" spans="1:4" x14ac:dyDescent="0.25">
      <c r="A199" s="18" t="s">
        <v>748</v>
      </c>
      <c r="B199" t="s">
        <v>749</v>
      </c>
      <c r="C199"/>
      <c r="D199" t="s">
        <v>750</v>
      </c>
    </row>
    <row r="200" spans="1:4" x14ac:dyDescent="0.25">
      <c r="A200" s="18" t="s">
        <v>751</v>
      </c>
      <c r="B200" t="s">
        <v>752</v>
      </c>
      <c r="C200"/>
      <c r="D200" t="s">
        <v>753</v>
      </c>
    </row>
    <row r="201" spans="1:4" x14ac:dyDescent="0.25">
      <c r="A201" s="18" t="s">
        <v>754</v>
      </c>
      <c r="B201" t="s">
        <v>755</v>
      </c>
      <c r="C201"/>
      <c r="D201" t="s">
        <v>756</v>
      </c>
    </row>
    <row r="202" spans="1:4" x14ac:dyDescent="0.25">
      <c r="A202" s="18" t="s">
        <v>757</v>
      </c>
      <c r="B202" t="s">
        <v>71</v>
      </c>
      <c r="C202"/>
      <c r="D202" t="s">
        <v>758</v>
      </c>
    </row>
    <row r="203" spans="1:4" x14ac:dyDescent="0.25">
      <c r="A203" s="18" t="s">
        <v>759</v>
      </c>
      <c r="B203" t="s">
        <v>760</v>
      </c>
      <c r="C203"/>
      <c r="D203" t="s">
        <v>761</v>
      </c>
    </row>
    <row r="204" spans="1:4" x14ac:dyDescent="0.25">
      <c r="A204" s="18" t="s">
        <v>184</v>
      </c>
      <c r="B204" t="s">
        <v>762</v>
      </c>
      <c r="C204"/>
      <c r="D204" t="s">
        <v>763</v>
      </c>
    </row>
    <row r="205" spans="1:4" x14ac:dyDescent="0.25">
      <c r="A205" s="18" t="s">
        <v>764</v>
      </c>
      <c r="B205" t="s">
        <v>765</v>
      </c>
      <c r="C205"/>
      <c r="D205" t="s">
        <v>766</v>
      </c>
    </row>
    <row r="206" spans="1:4" x14ac:dyDescent="0.25">
      <c r="A206" s="18" t="s">
        <v>767</v>
      </c>
      <c r="B206" t="s">
        <v>768</v>
      </c>
      <c r="C206"/>
      <c r="D206" t="s">
        <v>769</v>
      </c>
    </row>
    <row r="207" spans="1:4" x14ac:dyDescent="0.25">
      <c r="A207" s="18" t="s">
        <v>770</v>
      </c>
      <c r="B207" t="s">
        <v>771</v>
      </c>
      <c r="C207"/>
      <c r="D207" t="s">
        <v>772</v>
      </c>
    </row>
    <row r="208" spans="1:4" x14ac:dyDescent="0.25">
      <c r="A208" s="18" t="s">
        <v>773</v>
      </c>
      <c r="B208" t="s">
        <v>774</v>
      </c>
      <c r="C208"/>
      <c r="D208" t="s">
        <v>775</v>
      </c>
    </row>
    <row r="209" spans="1:4" x14ac:dyDescent="0.25">
      <c r="A209" s="18" t="s">
        <v>161</v>
      </c>
      <c r="B209" t="s">
        <v>762</v>
      </c>
      <c r="C209"/>
      <c r="D209" t="s">
        <v>776</v>
      </c>
    </row>
    <row r="210" spans="1:4" x14ac:dyDescent="0.25">
      <c r="A210" s="18" t="s">
        <v>777</v>
      </c>
      <c r="B210" t="s">
        <v>778</v>
      </c>
      <c r="C210"/>
      <c r="D210" t="s">
        <v>779</v>
      </c>
    </row>
    <row r="211" spans="1:4" x14ac:dyDescent="0.25">
      <c r="A211" s="18" t="s">
        <v>780</v>
      </c>
      <c r="B211" t="s">
        <v>781</v>
      </c>
      <c r="C211"/>
      <c r="D211" t="s">
        <v>782</v>
      </c>
    </row>
    <row r="212" spans="1:4" x14ac:dyDescent="0.25">
      <c r="A212" s="18" t="s">
        <v>783</v>
      </c>
      <c r="B212" t="s">
        <v>784</v>
      </c>
      <c r="C212"/>
      <c r="D212" t="s">
        <v>785</v>
      </c>
    </row>
    <row r="213" spans="1:4" x14ac:dyDescent="0.25">
      <c r="A213" s="18" t="s">
        <v>786</v>
      </c>
      <c r="B213" t="s">
        <v>787</v>
      </c>
      <c r="C213"/>
      <c r="D213" t="s">
        <v>788</v>
      </c>
    </row>
    <row r="214" spans="1:4" x14ac:dyDescent="0.25">
      <c r="A214" s="18" t="s">
        <v>789</v>
      </c>
      <c r="B214" t="s">
        <v>790</v>
      </c>
      <c r="C214"/>
      <c r="D214" t="s">
        <v>791</v>
      </c>
    </row>
    <row r="215" spans="1:4" x14ac:dyDescent="0.25">
      <c r="A215" s="18" t="s">
        <v>792</v>
      </c>
      <c r="B215" t="s">
        <v>793</v>
      </c>
      <c r="C215"/>
      <c r="D215" t="s">
        <v>794</v>
      </c>
    </row>
    <row r="216" spans="1:4" x14ac:dyDescent="0.25">
      <c r="A216" s="18" t="s">
        <v>795</v>
      </c>
      <c r="B216" t="s">
        <v>796</v>
      </c>
      <c r="C216"/>
      <c r="D216" t="s">
        <v>797</v>
      </c>
    </row>
    <row r="217" spans="1:4" x14ac:dyDescent="0.25">
      <c r="A217" s="18" t="s">
        <v>798</v>
      </c>
      <c r="B217" t="s">
        <v>799</v>
      </c>
      <c r="C217"/>
      <c r="D217" t="s">
        <v>800</v>
      </c>
    </row>
    <row r="218" spans="1:4" x14ac:dyDescent="0.25">
      <c r="A218" s="18" t="s">
        <v>801</v>
      </c>
      <c r="B218" t="s">
        <v>802</v>
      </c>
      <c r="C218"/>
      <c r="D218" t="s">
        <v>803</v>
      </c>
    </row>
    <row r="219" spans="1:4" x14ac:dyDescent="0.25">
      <c r="A219" s="18" t="s">
        <v>804</v>
      </c>
      <c r="B219" t="s">
        <v>805</v>
      </c>
      <c r="C219"/>
      <c r="D219" t="s">
        <v>806</v>
      </c>
    </row>
    <row r="220" spans="1:4" x14ac:dyDescent="0.25">
      <c r="A220" s="18" t="s">
        <v>807</v>
      </c>
      <c r="B220" t="s">
        <v>808</v>
      </c>
      <c r="C220"/>
      <c r="D220" t="s">
        <v>809</v>
      </c>
    </row>
    <row r="221" spans="1:4" x14ac:dyDescent="0.25">
      <c r="A221" s="18" t="s">
        <v>153</v>
      </c>
      <c r="B221" t="s">
        <v>810</v>
      </c>
      <c r="C221"/>
      <c r="D221" t="s">
        <v>811</v>
      </c>
    </row>
    <row r="222" spans="1:4" x14ac:dyDescent="0.25">
      <c r="A222" s="18" t="s">
        <v>812</v>
      </c>
      <c r="B222" t="s">
        <v>813</v>
      </c>
      <c r="C222"/>
      <c r="D222" t="s">
        <v>814</v>
      </c>
    </row>
    <row r="223" spans="1:4" x14ac:dyDescent="0.25">
      <c r="A223" s="18" t="s">
        <v>815</v>
      </c>
      <c r="B223" t="s">
        <v>816</v>
      </c>
      <c r="C223"/>
      <c r="D223" t="s">
        <v>817</v>
      </c>
    </row>
    <row r="224" spans="1:4" x14ac:dyDescent="0.25">
      <c r="A224" s="18" t="s">
        <v>818</v>
      </c>
      <c r="B224" t="s">
        <v>819</v>
      </c>
      <c r="C224"/>
      <c r="D224" t="s">
        <v>820</v>
      </c>
    </row>
    <row r="225" spans="1:4" x14ac:dyDescent="0.25">
      <c r="A225" s="18" t="s">
        <v>821</v>
      </c>
      <c r="B225" t="s">
        <v>822</v>
      </c>
      <c r="C225"/>
      <c r="D225" t="s">
        <v>823</v>
      </c>
    </row>
    <row r="226" spans="1:4" x14ac:dyDescent="0.25">
      <c r="A226" s="18" t="s">
        <v>824</v>
      </c>
      <c r="B226" t="s">
        <v>825</v>
      </c>
      <c r="C226"/>
      <c r="D226" t="s">
        <v>826</v>
      </c>
    </row>
    <row r="227" spans="1:4" x14ac:dyDescent="0.25">
      <c r="A227" s="18" t="s">
        <v>827</v>
      </c>
      <c r="B227" t="s">
        <v>828</v>
      </c>
      <c r="C227"/>
      <c r="D227" t="s">
        <v>829</v>
      </c>
    </row>
    <row r="228" spans="1:4" x14ac:dyDescent="0.25">
      <c r="A228" s="18" t="s">
        <v>830</v>
      </c>
      <c r="B228" t="s">
        <v>831</v>
      </c>
      <c r="C228"/>
      <c r="D228" t="s">
        <v>832</v>
      </c>
    </row>
    <row r="229" spans="1:4" x14ac:dyDescent="0.25">
      <c r="A229" s="18" t="s">
        <v>833</v>
      </c>
      <c r="B229" t="s">
        <v>834</v>
      </c>
      <c r="C229"/>
      <c r="D229" t="s">
        <v>835</v>
      </c>
    </row>
    <row r="230" spans="1:4" x14ac:dyDescent="0.25">
      <c r="A230" s="18" t="s">
        <v>836</v>
      </c>
      <c r="B230" t="s">
        <v>837</v>
      </c>
      <c r="C230"/>
      <c r="D230" t="s">
        <v>838</v>
      </c>
    </row>
    <row r="231" spans="1:4" x14ac:dyDescent="0.25">
      <c r="A231" s="18" t="s">
        <v>839</v>
      </c>
      <c r="B231" t="s">
        <v>816</v>
      </c>
      <c r="C231"/>
      <c r="D231" t="s">
        <v>840</v>
      </c>
    </row>
    <row r="232" spans="1:4" x14ac:dyDescent="0.25">
      <c r="A232" s="18" t="s">
        <v>841</v>
      </c>
      <c r="B232" t="s">
        <v>842</v>
      </c>
      <c r="C232"/>
      <c r="D232" t="s">
        <v>843</v>
      </c>
    </row>
    <row r="233" spans="1:4" x14ac:dyDescent="0.25">
      <c r="A233" s="18" t="s">
        <v>844</v>
      </c>
      <c r="B233" t="s">
        <v>845</v>
      </c>
      <c r="C233"/>
      <c r="D233" t="s">
        <v>846</v>
      </c>
    </row>
    <row r="234" spans="1:4" x14ac:dyDescent="0.25">
      <c r="A234" s="18" t="s">
        <v>847</v>
      </c>
      <c r="B234" t="s">
        <v>848</v>
      </c>
      <c r="C234"/>
      <c r="D234" t="s">
        <v>849</v>
      </c>
    </row>
    <row r="235" spans="1:4" x14ac:dyDescent="0.25">
      <c r="A235" s="18" t="s">
        <v>850</v>
      </c>
      <c r="B235" t="s">
        <v>851</v>
      </c>
      <c r="C235"/>
      <c r="D235" t="s">
        <v>852</v>
      </c>
    </row>
    <row r="236" spans="1:4" x14ac:dyDescent="0.25">
      <c r="A236" s="18" t="s">
        <v>853</v>
      </c>
      <c r="B236" t="s">
        <v>854</v>
      </c>
      <c r="C236"/>
      <c r="D236" t="s">
        <v>855</v>
      </c>
    </row>
    <row r="237" spans="1:4" x14ac:dyDescent="0.25">
      <c r="A237" s="18" t="s">
        <v>856</v>
      </c>
      <c r="B237" t="s">
        <v>857</v>
      </c>
      <c r="C237"/>
      <c r="D237" t="s">
        <v>858</v>
      </c>
    </row>
    <row r="238" spans="1:4" x14ac:dyDescent="0.25">
      <c r="A238" s="18" t="s">
        <v>859</v>
      </c>
      <c r="B238" t="s">
        <v>860</v>
      </c>
      <c r="C238"/>
      <c r="D238" t="s">
        <v>861</v>
      </c>
    </row>
    <row r="239" spans="1:4" x14ac:dyDescent="0.25">
      <c r="A239" s="18" t="s">
        <v>862</v>
      </c>
      <c r="B239" t="s">
        <v>863</v>
      </c>
      <c r="C239"/>
      <c r="D239" t="s">
        <v>864</v>
      </c>
    </row>
    <row r="240" spans="1:4" x14ac:dyDescent="0.25">
      <c r="A240" s="18" t="s">
        <v>865</v>
      </c>
      <c r="B240" t="s">
        <v>866</v>
      </c>
      <c r="C240"/>
      <c r="D240" t="s">
        <v>867</v>
      </c>
    </row>
    <row r="241" spans="1:4" x14ac:dyDescent="0.25">
      <c r="A241" s="18" t="s">
        <v>868</v>
      </c>
      <c r="B241" t="s">
        <v>869</v>
      </c>
      <c r="C241"/>
      <c r="D241" t="s">
        <v>870</v>
      </c>
    </row>
    <row r="242" spans="1:4" x14ac:dyDescent="0.25">
      <c r="A242" s="18" t="s">
        <v>871</v>
      </c>
      <c r="B242" t="s">
        <v>872</v>
      </c>
      <c r="C242"/>
      <c r="D242" t="s">
        <v>873</v>
      </c>
    </row>
    <row r="243" spans="1:4" x14ac:dyDescent="0.25">
      <c r="A243" s="18" t="s">
        <v>874</v>
      </c>
      <c r="B243" t="s">
        <v>875</v>
      </c>
      <c r="C243"/>
      <c r="D243" t="s">
        <v>876</v>
      </c>
    </row>
    <row r="244" spans="1:4" x14ac:dyDescent="0.25">
      <c r="A244" s="18" t="s">
        <v>877</v>
      </c>
      <c r="B244" t="s">
        <v>878</v>
      </c>
      <c r="C244"/>
      <c r="D244" t="s">
        <v>879</v>
      </c>
    </row>
    <row r="245" spans="1:4" x14ac:dyDescent="0.25">
      <c r="A245" s="18" t="s">
        <v>880</v>
      </c>
      <c r="B245" t="s">
        <v>881</v>
      </c>
      <c r="C245"/>
      <c r="D245" t="s">
        <v>882</v>
      </c>
    </row>
    <row r="246" spans="1:4" x14ac:dyDescent="0.25">
      <c r="A246" s="18" t="s">
        <v>883</v>
      </c>
      <c r="B246" t="s">
        <v>188</v>
      </c>
      <c r="C246" t="s">
        <v>884</v>
      </c>
      <c r="D246" t="s">
        <v>885</v>
      </c>
    </row>
    <row r="247" spans="1:4" x14ac:dyDescent="0.25">
      <c r="A247" s="18" t="s">
        <v>886</v>
      </c>
      <c r="B247" t="s">
        <v>887</v>
      </c>
      <c r="C247"/>
      <c r="D247" t="s">
        <v>888</v>
      </c>
    </row>
    <row r="248" spans="1:4" x14ac:dyDescent="0.25">
      <c r="A248" s="18" t="s">
        <v>889</v>
      </c>
      <c r="B248" t="s">
        <v>890</v>
      </c>
      <c r="C248"/>
      <c r="D248" t="s">
        <v>891</v>
      </c>
    </row>
    <row r="249" spans="1:4" x14ac:dyDescent="0.25">
      <c r="A249" s="18" t="s">
        <v>892</v>
      </c>
      <c r="B249" t="s">
        <v>887</v>
      </c>
      <c r="C249"/>
      <c r="D249" t="s">
        <v>893</v>
      </c>
    </row>
    <row r="250" spans="1:4" x14ac:dyDescent="0.25">
      <c r="A250" s="18" t="s">
        <v>894</v>
      </c>
      <c r="B250" t="s">
        <v>890</v>
      </c>
      <c r="C250"/>
      <c r="D250" t="s">
        <v>895</v>
      </c>
    </row>
    <row r="251" spans="1:4" x14ac:dyDescent="0.25">
      <c r="A251" s="18" t="s">
        <v>896</v>
      </c>
      <c r="B251" t="s">
        <v>897</v>
      </c>
      <c r="C251"/>
      <c r="D251" t="s">
        <v>898</v>
      </c>
    </row>
    <row r="252" spans="1:4" x14ac:dyDescent="0.25">
      <c r="A252" s="18" t="s">
        <v>899</v>
      </c>
      <c r="B252" t="s">
        <v>900</v>
      </c>
      <c r="C252"/>
      <c r="D252" t="s">
        <v>901</v>
      </c>
    </row>
    <row r="253" spans="1:4" x14ac:dyDescent="0.25">
      <c r="A253" s="18" t="s">
        <v>902</v>
      </c>
      <c r="B253" t="s">
        <v>903</v>
      </c>
      <c r="C253"/>
      <c r="D253" t="s">
        <v>904</v>
      </c>
    </row>
    <row r="254" spans="1:4" x14ac:dyDescent="0.25">
      <c r="A254" s="18" t="s">
        <v>905</v>
      </c>
      <c r="B254" t="s">
        <v>906</v>
      </c>
      <c r="C254"/>
      <c r="D254" t="s">
        <v>907</v>
      </c>
    </row>
    <row r="255" spans="1:4" x14ac:dyDescent="0.25">
      <c r="A255" s="18" t="s">
        <v>908</v>
      </c>
      <c r="B255" t="s">
        <v>909</v>
      </c>
      <c r="C255"/>
      <c r="D255" t="s">
        <v>910</v>
      </c>
    </row>
    <row r="256" spans="1:4" x14ac:dyDescent="0.25">
      <c r="A256" s="18" t="s">
        <v>911</v>
      </c>
      <c r="B256" t="s">
        <v>912</v>
      </c>
      <c r="C256"/>
      <c r="D256" t="s">
        <v>913</v>
      </c>
    </row>
    <row r="257" spans="1:4" x14ac:dyDescent="0.25">
      <c r="A257" s="18" t="s">
        <v>914</v>
      </c>
      <c r="B257" t="s">
        <v>915</v>
      </c>
      <c r="C257"/>
      <c r="D257" t="s">
        <v>916</v>
      </c>
    </row>
    <row r="258" spans="1:4" x14ac:dyDescent="0.25">
      <c r="A258" s="18" t="s">
        <v>917</v>
      </c>
      <c r="B258" t="s">
        <v>918</v>
      </c>
      <c r="C258"/>
      <c r="D258" t="s">
        <v>919</v>
      </c>
    </row>
    <row r="259" spans="1:4" x14ac:dyDescent="0.25">
      <c r="A259" s="18" t="s">
        <v>920</v>
      </c>
      <c r="B259" t="s">
        <v>921</v>
      </c>
      <c r="C259"/>
      <c r="D259" t="s">
        <v>922</v>
      </c>
    </row>
    <row r="260" spans="1:4" x14ac:dyDescent="0.25">
      <c r="A260" s="18" t="s">
        <v>923</v>
      </c>
      <c r="B260" t="s">
        <v>924</v>
      </c>
      <c r="C260"/>
      <c r="D260" t="s">
        <v>925</v>
      </c>
    </row>
    <row r="261" spans="1:4" x14ac:dyDescent="0.25">
      <c r="A261" s="18" t="s">
        <v>926</v>
      </c>
      <c r="B261" t="s">
        <v>927</v>
      </c>
      <c r="C261"/>
      <c r="D261" t="s">
        <v>928</v>
      </c>
    </row>
    <row r="262" spans="1:4" x14ac:dyDescent="0.25">
      <c r="A262" s="18" t="s">
        <v>929</v>
      </c>
      <c r="B262" t="s">
        <v>930</v>
      </c>
      <c r="C262"/>
      <c r="D262" t="s">
        <v>931</v>
      </c>
    </row>
    <row r="263" spans="1:4" x14ac:dyDescent="0.25">
      <c r="A263" s="18" t="s">
        <v>932</v>
      </c>
      <c r="B263" t="s">
        <v>933</v>
      </c>
      <c r="C263"/>
      <c r="D263" t="s">
        <v>934</v>
      </c>
    </row>
    <row r="264" spans="1:4" x14ac:dyDescent="0.25">
      <c r="A264" s="18" t="s">
        <v>935</v>
      </c>
      <c r="B264" t="s">
        <v>936</v>
      </c>
      <c r="C264"/>
      <c r="D264" t="s">
        <v>937</v>
      </c>
    </row>
    <row r="265" spans="1:4" x14ac:dyDescent="0.25">
      <c r="A265" s="18" t="s">
        <v>938</v>
      </c>
      <c r="B265" t="s">
        <v>939</v>
      </c>
      <c r="C265"/>
      <c r="D265" t="s">
        <v>940</v>
      </c>
    </row>
    <row r="266" spans="1:4" x14ac:dyDescent="0.25">
      <c r="A266" s="18" t="s">
        <v>941</v>
      </c>
      <c r="B266" t="s">
        <v>942</v>
      </c>
      <c r="C266"/>
      <c r="D266" t="s">
        <v>943</v>
      </c>
    </row>
    <row r="267" spans="1:4" x14ac:dyDescent="0.25">
      <c r="A267" s="18" t="s">
        <v>944</v>
      </c>
      <c r="B267" t="s">
        <v>945</v>
      </c>
      <c r="C267"/>
      <c r="D267" t="s">
        <v>946</v>
      </c>
    </row>
    <row r="268" spans="1:4" x14ac:dyDescent="0.25">
      <c r="A268" s="18" t="s">
        <v>947</v>
      </c>
      <c r="B268" t="s">
        <v>948</v>
      </c>
      <c r="C268"/>
      <c r="D268" t="s">
        <v>949</v>
      </c>
    </row>
    <row r="269" spans="1:4" x14ac:dyDescent="0.25">
      <c r="A269" s="18" t="s">
        <v>950</v>
      </c>
      <c r="B269" t="s">
        <v>951</v>
      </c>
      <c r="C269"/>
      <c r="D269" t="s">
        <v>952</v>
      </c>
    </row>
    <row r="270" spans="1:4" x14ac:dyDescent="0.25">
      <c r="A270" s="18" t="s">
        <v>953</v>
      </c>
      <c r="B270" t="s">
        <v>954</v>
      </c>
      <c r="C270"/>
      <c r="D270" t="s">
        <v>955</v>
      </c>
    </row>
    <row r="271" spans="1:4" x14ac:dyDescent="0.25">
      <c r="A271" s="18" t="s">
        <v>956</v>
      </c>
      <c r="B271" t="s">
        <v>957</v>
      </c>
      <c r="C271"/>
      <c r="D271" t="s">
        <v>958</v>
      </c>
    </row>
    <row r="272" spans="1:4" x14ac:dyDescent="0.25">
      <c r="A272" s="18" t="s">
        <v>959</v>
      </c>
      <c r="B272" t="s">
        <v>960</v>
      </c>
      <c r="C272"/>
      <c r="D272" t="s">
        <v>961</v>
      </c>
    </row>
    <row r="273" spans="1:4" x14ac:dyDescent="0.25">
      <c r="A273" s="18" t="s">
        <v>962</v>
      </c>
      <c r="B273" t="s">
        <v>963</v>
      </c>
      <c r="C273"/>
      <c r="D273" t="s">
        <v>964</v>
      </c>
    </row>
    <row r="274" spans="1:4" x14ac:dyDescent="0.25">
      <c r="A274" s="18" t="s">
        <v>965</v>
      </c>
      <c r="B274" t="s">
        <v>966</v>
      </c>
      <c r="C274"/>
      <c r="D274" t="s">
        <v>967</v>
      </c>
    </row>
    <row r="275" spans="1:4" x14ac:dyDescent="0.25">
      <c r="A275" s="18" t="s">
        <v>968</v>
      </c>
      <c r="B275" t="s">
        <v>969</v>
      </c>
      <c r="C275"/>
      <c r="D275" t="s">
        <v>970</v>
      </c>
    </row>
    <row r="276" spans="1:4" x14ac:dyDescent="0.25">
      <c r="A276" s="18" t="s">
        <v>971</v>
      </c>
      <c r="B276" t="s">
        <v>972</v>
      </c>
      <c r="C276"/>
      <c r="D276" t="s">
        <v>973</v>
      </c>
    </row>
    <row r="277" spans="1:4" x14ac:dyDescent="0.25">
      <c r="A277" s="18" t="s">
        <v>974</v>
      </c>
      <c r="B277" t="s">
        <v>903</v>
      </c>
      <c r="C277"/>
      <c r="D277" t="s">
        <v>975</v>
      </c>
    </row>
    <row r="278" spans="1:4" x14ac:dyDescent="0.25">
      <c r="A278" s="18" t="s">
        <v>976</v>
      </c>
      <c r="B278" t="s">
        <v>906</v>
      </c>
      <c r="C278"/>
      <c r="D278" t="s">
        <v>977</v>
      </c>
    </row>
    <row r="279" spans="1:4" x14ac:dyDescent="0.25">
      <c r="A279" s="18" t="s">
        <v>978</v>
      </c>
      <c r="B279" t="s">
        <v>979</v>
      </c>
      <c r="C279"/>
      <c r="D279" t="s">
        <v>980</v>
      </c>
    </row>
    <row r="280" spans="1:4" x14ac:dyDescent="0.25">
      <c r="A280" s="18" t="s">
        <v>981</v>
      </c>
      <c r="B280" t="s">
        <v>982</v>
      </c>
      <c r="C280"/>
      <c r="D280" t="s">
        <v>983</v>
      </c>
    </row>
    <row r="281" spans="1:4" x14ac:dyDescent="0.25">
      <c r="A281" s="18" t="s">
        <v>984</v>
      </c>
      <c r="B281" t="s">
        <v>985</v>
      </c>
      <c r="C281"/>
      <c r="D281" t="s">
        <v>986</v>
      </c>
    </row>
    <row r="282" spans="1:4" x14ac:dyDescent="0.25">
      <c r="A282" s="18" t="s">
        <v>987</v>
      </c>
      <c r="B282" t="s">
        <v>988</v>
      </c>
      <c r="C282"/>
      <c r="D282" t="s">
        <v>989</v>
      </c>
    </row>
    <row r="283" spans="1:4" x14ac:dyDescent="0.25">
      <c r="A283" s="18" t="s">
        <v>956</v>
      </c>
      <c r="B283" t="s">
        <v>990</v>
      </c>
      <c r="C283"/>
      <c r="D283"/>
    </row>
    <row r="284" spans="1:4" x14ac:dyDescent="0.25">
      <c r="A284" s="18" t="s">
        <v>959</v>
      </c>
      <c r="B284" t="s">
        <v>991</v>
      </c>
      <c r="C284"/>
      <c r="D284"/>
    </row>
  </sheetData>
  <conditionalFormatting sqref="B134:B135">
    <cfRule type="duplicateValues" dxfId="6" priority="8"/>
  </conditionalFormatting>
  <conditionalFormatting sqref="B171">
    <cfRule type="duplicateValues" dxfId="5" priority="7"/>
  </conditionalFormatting>
  <conditionalFormatting sqref="B155">
    <cfRule type="duplicateValues" dxfId="4" priority="6"/>
  </conditionalFormatting>
  <conditionalFormatting sqref="B140">
    <cfRule type="duplicateValues" dxfId="3" priority="5"/>
  </conditionalFormatting>
  <conditionalFormatting sqref="B141">
    <cfRule type="duplicateValues" dxfId="2" priority="4"/>
  </conditionalFormatting>
  <conditionalFormatting sqref="B139">
    <cfRule type="duplicateValues" dxfId="1" priority="3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E353"/>
  <sheetViews>
    <sheetView topLeftCell="A155" workbookViewId="0">
      <selection activeCell="B174" sqref="B174"/>
    </sheetView>
  </sheetViews>
  <sheetFormatPr defaultRowHeight="15" x14ac:dyDescent="0.25"/>
  <cols>
    <col min="1" max="1" width="45.7109375" style="37" bestFit="1" customWidth="1"/>
    <col min="2" max="2" width="73.7109375" style="37" bestFit="1" customWidth="1"/>
    <col min="3" max="3" width="17.42578125" style="37" bestFit="1" customWidth="1"/>
  </cols>
  <sheetData>
    <row r="1" spans="1:3" x14ac:dyDescent="0.25">
      <c r="A1" s="1" t="s">
        <v>992</v>
      </c>
      <c r="B1" s="1" t="s">
        <v>993</v>
      </c>
      <c r="C1" s="1" t="s">
        <v>994</v>
      </c>
    </row>
    <row r="2" spans="1:3" x14ac:dyDescent="0.25">
      <c r="A2" t="s">
        <v>107</v>
      </c>
      <c r="B2" t="s">
        <v>995</v>
      </c>
      <c r="C2" s="18">
        <v>8</v>
      </c>
    </row>
    <row r="3" spans="1:3" x14ac:dyDescent="0.25">
      <c r="A3" t="s">
        <v>32</v>
      </c>
      <c r="B3" t="s">
        <v>996</v>
      </c>
      <c r="C3" s="18">
        <v>10</v>
      </c>
    </row>
    <row r="4" spans="1:3" x14ac:dyDescent="0.25">
      <c r="A4" t="s">
        <v>39</v>
      </c>
      <c r="B4" t="s">
        <v>997</v>
      </c>
      <c r="C4" s="18">
        <v>11</v>
      </c>
    </row>
    <row r="5" spans="1:3" x14ac:dyDescent="0.25">
      <c r="A5" t="s">
        <v>34</v>
      </c>
      <c r="B5" t="s">
        <v>998</v>
      </c>
      <c r="C5" t="s">
        <v>362</v>
      </c>
    </row>
    <row r="6" spans="1:3" x14ac:dyDescent="0.25">
      <c r="A6" t="s">
        <v>41</v>
      </c>
      <c r="B6" s="11" t="s">
        <v>999</v>
      </c>
      <c r="C6" t="s">
        <v>374</v>
      </c>
    </row>
    <row r="7" spans="1:3" x14ac:dyDescent="0.25">
      <c r="A7" t="s">
        <v>16</v>
      </c>
      <c r="B7" t="s">
        <v>1000</v>
      </c>
      <c r="C7" t="s">
        <v>383</v>
      </c>
    </row>
    <row r="8" spans="1:3" x14ac:dyDescent="0.25">
      <c r="A8" t="s">
        <v>122</v>
      </c>
      <c r="B8" t="s">
        <v>1001</v>
      </c>
      <c r="C8" t="s">
        <v>385</v>
      </c>
    </row>
    <row r="9" spans="1:3" x14ac:dyDescent="0.25">
      <c r="A9" t="s">
        <v>13</v>
      </c>
      <c r="B9" s="11" t="s">
        <v>1002</v>
      </c>
      <c r="C9" t="s">
        <v>424</v>
      </c>
    </row>
    <row r="10" spans="1:3" x14ac:dyDescent="0.25">
      <c r="A10" t="s">
        <v>102</v>
      </c>
      <c r="B10" s="11" t="s">
        <v>1003</v>
      </c>
      <c r="C10" t="s">
        <v>428</v>
      </c>
    </row>
    <row r="11" spans="1:3" x14ac:dyDescent="0.25">
      <c r="A11" t="s">
        <v>61</v>
      </c>
      <c r="B11" s="11" t="s">
        <v>1004</v>
      </c>
      <c r="C11" t="s">
        <v>767</v>
      </c>
    </row>
    <row r="12" spans="1:3" x14ac:dyDescent="0.25">
      <c r="A12" t="s">
        <v>12</v>
      </c>
      <c r="B12" t="s">
        <v>1005</v>
      </c>
      <c r="C12" t="s">
        <v>216</v>
      </c>
    </row>
    <row r="13" spans="1:3" x14ac:dyDescent="0.25">
      <c r="A13" t="s">
        <v>20</v>
      </c>
      <c r="B13" t="s">
        <v>1006</v>
      </c>
      <c r="C13" t="s">
        <v>231</v>
      </c>
    </row>
    <row r="14" spans="1:3" x14ac:dyDescent="0.25">
      <c r="A14" t="s">
        <v>22</v>
      </c>
      <c r="B14" t="s">
        <v>1007</v>
      </c>
      <c r="C14" t="s">
        <v>238</v>
      </c>
    </row>
    <row r="15" spans="1:3" x14ac:dyDescent="0.25">
      <c r="A15" t="s">
        <v>29</v>
      </c>
      <c r="B15" t="s">
        <v>1008</v>
      </c>
      <c r="C15" t="s">
        <v>248</v>
      </c>
    </row>
    <row r="16" spans="1:3" x14ac:dyDescent="0.25">
      <c r="A16" t="s">
        <v>47</v>
      </c>
      <c r="B16" t="s">
        <v>1009</v>
      </c>
      <c r="C16" t="s">
        <v>251</v>
      </c>
    </row>
    <row r="17" spans="1:3" x14ac:dyDescent="0.25">
      <c r="A17" t="s">
        <v>27</v>
      </c>
      <c r="B17" t="s">
        <v>1010</v>
      </c>
      <c r="C17" t="s">
        <v>266</v>
      </c>
    </row>
    <row r="18" spans="1:3" x14ac:dyDescent="0.25">
      <c r="A18" t="s">
        <v>1011</v>
      </c>
      <c r="B18" t="s">
        <v>1012</v>
      </c>
      <c r="C18" t="s">
        <v>272</v>
      </c>
    </row>
    <row r="19" spans="1:3" x14ac:dyDescent="0.25">
      <c r="A19" t="s">
        <v>135</v>
      </c>
      <c r="B19" t="s">
        <v>1013</v>
      </c>
      <c r="C19" t="s">
        <v>1014</v>
      </c>
    </row>
    <row r="20" spans="1:3" x14ac:dyDescent="0.25">
      <c r="A20" t="s">
        <v>43</v>
      </c>
      <c r="B20" s="11" t="s">
        <v>1015</v>
      </c>
      <c r="C20" t="s">
        <v>1016</v>
      </c>
    </row>
    <row r="21" spans="1:3" x14ac:dyDescent="0.25">
      <c r="A21" t="s">
        <v>7</v>
      </c>
      <c r="B21" t="s">
        <v>1017</v>
      </c>
      <c r="C21" t="s">
        <v>336</v>
      </c>
    </row>
    <row r="22" spans="1:3" x14ac:dyDescent="0.25">
      <c r="A22" t="s">
        <v>23</v>
      </c>
      <c r="B22" s="19" t="s">
        <v>1018</v>
      </c>
      <c r="C22" s="19"/>
    </row>
    <row r="23" spans="1:3" x14ac:dyDescent="0.25">
      <c r="A23" t="s">
        <v>44</v>
      </c>
      <c r="B23" s="19" t="s">
        <v>1019</v>
      </c>
      <c r="C23" s="19"/>
    </row>
    <row r="24" spans="1:3" x14ac:dyDescent="0.25">
      <c r="A24" t="s">
        <v>49</v>
      </c>
      <c r="B24" s="19" t="s">
        <v>1020</v>
      </c>
      <c r="C24" s="19"/>
    </row>
    <row r="25" spans="1:3" x14ac:dyDescent="0.25">
      <c r="A25" t="s">
        <v>51</v>
      </c>
      <c r="B25" s="19" t="s">
        <v>1021</v>
      </c>
      <c r="C25" s="19"/>
    </row>
    <row r="26" spans="1:3" x14ac:dyDescent="0.25">
      <c r="A26" t="s">
        <v>92</v>
      </c>
      <c r="B26" s="19" t="s">
        <v>1022</v>
      </c>
      <c r="C26" s="19"/>
    </row>
    <row r="27" spans="1:3" x14ac:dyDescent="0.25">
      <c r="A27" t="s">
        <v>120</v>
      </c>
      <c r="B27" s="19" t="s">
        <v>1023</v>
      </c>
      <c r="C27" s="19"/>
    </row>
    <row r="28" spans="1:3" x14ac:dyDescent="0.25">
      <c r="A28" t="s">
        <v>127</v>
      </c>
      <c r="B28" s="19" t="s">
        <v>1024</v>
      </c>
      <c r="C28" s="19"/>
    </row>
    <row r="29" spans="1:3" x14ac:dyDescent="0.25">
      <c r="A29" t="s">
        <v>107</v>
      </c>
      <c r="B29" t="str">
        <f>"&lt;prefix&gt;_&lt;mm&gt;05&lt;yy&gt;_&lt;ar&gt;"&amp;A29</f>
        <v>&lt;prefix&gt;_&lt;mm&gt;05&lt;yy&gt;_&lt;ar&gt;Payment Report</v>
      </c>
      <c r="C29">
        <v>8</v>
      </c>
    </row>
    <row r="30" spans="1:3" x14ac:dyDescent="0.25">
      <c r="A30" t="s">
        <v>32</v>
      </c>
      <c r="B30" t="str">
        <f>"&lt;prefix&gt;_&lt;mm&gt;05&lt;yy&gt;_&lt;ar&gt;"&amp;A30</f>
        <v>&lt;prefix&gt;_&lt;mm&gt;05&lt;yy&gt;_&lt;ar&gt;Factor Change Audit Report</v>
      </c>
      <c r="C30" s="18">
        <v>10</v>
      </c>
    </row>
    <row r="31" spans="1:3" x14ac:dyDescent="0.25">
      <c r="A31" t="s">
        <v>39</v>
      </c>
      <c r="B31" t="str">
        <f>"&lt;prefix&gt;_&lt;mm&gt;05&lt;yy&gt;_&lt;ar&gt;"&amp;A31</f>
        <v>&lt;prefix&gt;_&lt;mm&gt;05&lt;yy&gt;_&lt;ar&gt;SOC Change Audit Report</v>
      </c>
      <c r="C31" s="18">
        <v>11</v>
      </c>
    </row>
    <row r="32" spans="1:3" x14ac:dyDescent="0.25">
      <c r="A32" t="s">
        <v>34</v>
      </c>
      <c r="B32" t="s">
        <v>1025</v>
      </c>
      <c r="C32" t="s">
        <v>362</v>
      </c>
    </row>
    <row r="33" spans="1:3" x14ac:dyDescent="0.25">
      <c r="A33" t="s">
        <v>16</v>
      </c>
      <c r="B33" t="str">
        <f>"&lt;prefix&gt;_&lt;mm&gt;05&lt;yy&gt;_&lt;ar&gt;"&amp;A33</f>
        <v>&lt;prefix&gt;_&lt;mm&gt;05&lt;yy&gt;_&lt;ar&gt;Bill Completion Check Report</v>
      </c>
      <c r="C33" t="s">
        <v>383</v>
      </c>
    </row>
    <row r="34" spans="1:3" x14ac:dyDescent="0.25">
      <c r="A34" t="s">
        <v>122</v>
      </c>
      <c r="B34" t="s">
        <v>1026</v>
      </c>
      <c r="C34" t="s">
        <v>385</v>
      </c>
    </row>
    <row r="35" spans="1:3" x14ac:dyDescent="0.25">
      <c r="A35" t="s">
        <v>13</v>
      </c>
      <c r="B35" t="s">
        <v>1027</v>
      </c>
      <c r="C35" t="s">
        <v>424</v>
      </c>
    </row>
    <row r="36" spans="1:3" x14ac:dyDescent="0.25">
      <c r="A36" t="s">
        <v>102</v>
      </c>
      <c r="B36" t="s">
        <v>1028</v>
      </c>
      <c r="C36" t="s">
        <v>428</v>
      </c>
    </row>
    <row r="37" spans="1:3" x14ac:dyDescent="0.25">
      <c r="A37" t="s">
        <v>61</v>
      </c>
      <c r="B37" s="11" t="s">
        <v>1029</v>
      </c>
      <c r="C37" t="s">
        <v>767</v>
      </c>
    </row>
    <row r="38" spans="1:3" x14ac:dyDescent="0.25">
      <c r="A38" t="s">
        <v>12</v>
      </c>
      <c r="B38" t="s">
        <v>1030</v>
      </c>
      <c r="C38" t="s">
        <v>216</v>
      </c>
    </row>
    <row r="39" spans="1:3" x14ac:dyDescent="0.25">
      <c r="A39" s="11" t="s">
        <v>20</v>
      </c>
      <c r="B39" s="11" t="s">
        <v>1031</v>
      </c>
      <c r="C39" s="11" t="s">
        <v>231</v>
      </c>
    </row>
    <row r="40" spans="1:3" x14ac:dyDescent="0.25">
      <c r="A40" t="s">
        <v>22</v>
      </c>
      <c r="B40" t="s">
        <v>1032</v>
      </c>
      <c r="C40" t="s">
        <v>238</v>
      </c>
    </row>
    <row r="41" spans="1:3" x14ac:dyDescent="0.25">
      <c r="A41" t="s">
        <v>29</v>
      </c>
      <c r="B41" t="s">
        <v>1033</v>
      </c>
      <c r="C41" t="s">
        <v>248</v>
      </c>
    </row>
    <row r="42" spans="1:3" x14ac:dyDescent="0.25">
      <c r="A42" t="s">
        <v>47</v>
      </c>
      <c r="B42" t="s">
        <v>1034</v>
      </c>
      <c r="C42" t="s">
        <v>251</v>
      </c>
    </row>
    <row r="43" spans="1:3" x14ac:dyDescent="0.25">
      <c r="A43" t="s">
        <v>27</v>
      </c>
      <c r="B43" t="s">
        <v>1035</v>
      </c>
      <c r="C43" t="s">
        <v>266</v>
      </c>
    </row>
    <row r="44" spans="1:3" x14ac:dyDescent="0.25">
      <c r="A44" t="s">
        <v>1011</v>
      </c>
      <c r="B44" t="s">
        <v>1036</v>
      </c>
      <c r="C44" t="s">
        <v>272</v>
      </c>
    </row>
    <row r="45" spans="1:3" x14ac:dyDescent="0.25">
      <c r="A45" t="s">
        <v>135</v>
      </c>
      <c r="B45" t="s">
        <v>1037</v>
      </c>
      <c r="C45" t="s">
        <v>1014</v>
      </c>
    </row>
    <row r="46" spans="1:3" x14ac:dyDescent="0.25">
      <c r="A46" t="s">
        <v>43</v>
      </c>
      <c r="B46" s="11" t="s">
        <v>1038</v>
      </c>
      <c r="C46" t="s">
        <v>1039</v>
      </c>
    </row>
    <row r="47" spans="1:3" x14ac:dyDescent="0.25">
      <c r="A47" t="s">
        <v>7</v>
      </c>
      <c r="B47" t="s">
        <v>1040</v>
      </c>
      <c r="C47" t="s">
        <v>336</v>
      </c>
    </row>
    <row r="48" spans="1:3" x14ac:dyDescent="0.25">
      <c r="A48" s="11" t="s">
        <v>23</v>
      </c>
      <c r="B48" s="6" t="s">
        <v>1041</v>
      </c>
      <c r="C48" s="6"/>
    </row>
    <row r="49" spans="1:3" x14ac:dyDescent="0.25">
      <c r="A49" t="s">
        <v>44</v>
      </c>
      <c r="B49" s="7" t="s">
        <v>1042</v>
      </c>
      <c r="C49" s="7"/>
    </row>
    <row r="50" spans="1:3" x14ac:dyDescent="0.25">
      <c r="A50" s="11" t="s">
        <v>49</v>
      </c>
      <c r="B50" s="6" t="s">
        <v>1043</v>
      </c>
      <c r="C50" s="6"/>
    </row>
    <row r="51" spans="1:3" x14ac:dyDescent="0.25">
      <c r="A51" s="11" t="s">
        <v>51</v>
      </c>
      <c r="B51" s="6" t="s">
        <v>1044</v>
      </c>
      <c r="C51" s="6"/>
    </row>
    <row r="52" spans="1:3" x14ac:dyDescent="0.25">
      <c r="A52" s="11" t="s">
        <v>92</v>
      </c>
      <c r="B52" s="6" t="s">
        <v>1045</v>
      </c>
      <c r="C52" s="6"/>
    </row>
    <row r="53" spans="1:3" x14ac:dyDescent="0.25">
      <c r="A53" t="s">
        <v>120</v>
      </c>
      <c r="B53" s="7" t="s">
        <v>1046</v>
      </c>
      <c r="C53" s="7"/>
    </row>
    <row r="54" spans="1:3" x14ac:dyDescent="0.25">
      <c r="A54" s="11" t="s">
        <v>127</v>
      </c>
      <c r="B54" s="6" t="s">
        <v>1047</v>
      </c>
      <c r="C54" s="6"/>
    </row>
    <row r="55" spans="1:3" x14ac:dyDescent="0.25">
      <c r="A55" t="s">
        <v>32</v>
      </c>
      <c r="B55" s="11" t="s">
        <v>1048</v>
      </c>
      <c r="C55" s="18" t="s">
        <v>177</v>
      </c>
    </row>
    <row r="56" spans="1:3" x14ac:dyDescent="0.25">
      <c r="A56" t="s">
        <v>39</v>
      </c>
      <c r="B56" s="11" t="s">
        <v>1049</v>
      </c>
      <c r="C56" s="18" t="s">
        <v>368</v>
      </c>
    </row>
    <row r="57" spans="1:3" x14ac:dyDescent="0.25">
      <c r="A57" t="s">
        <v>16</v>
      </c>
      <c r="B57" s="11" t="s">
        <v>1050</v>
      </c>
      <c r="C57" t="s">
        <v>383</v>
      </c>
    </row>
    <row r="58" spans="1:3" x14ac:dyDescent="0.25">
      <c r="A58" t="s">
        <v>69</v>
      </c>
      <c r="B58" s="11" t="s">
        <v>1051</v>
      </c>
      <c r="C58" t="s">
        <v>385</v>
      </c>
    </row>
    <row r="59" spans="1:3" x14ac:dyDescent="0.25">
      <c r="A59" t="s">
        <v>13</v>
      </c>
      <c r="B59" s="11" t="s">
        <v>1002</v>
      </c>
      <c r="C59" t="s">
        <v>424</v>
      </c>
    </row>
    <row r="60" spans="1:3" x14ac:dyDescent="0.25">
      <c r="A60" t="s">
        <v>102</v>
      </c>
      <c r="B60" s="11" t="s">
        <v>1003</v>
      </c>
      <c r="C60" t="s">
        <v>428</v>
      </c>
    </row>
    <row r="61" spans="1:3" x14ac:dyDescent="0.25">
      <c r="A61" t="s">
        <v>61</v>
      </c>
      <c r="B61" s="11" t="s">
        <v>1004</v>
      </c>
      <c r="C61" t="s">
        <v>767</v>
      </c>
    </row>
    <row r="62" spans="1:3" x14ac:dyDescent="0.25">
      <c r="A62" t="s">
        <v>107</v>
      </c>
      <c r="B62" t="str">
        <f>"&lt;prefix&gt;_&lt;mm&gt;10&lt;yy&gt;_&lt;ar&gt;"&amp;A62</f>
        <v>&lt;prefix&gt;_&lt;mm&gt;10&lt;yy&gt;_&lt;ar&gt;Payment Report</v>
      </c>
      <c r="C62" s="18" t="s">
        <v>314</v>
      </c>
    </row>
    <row r="63" spans="1:3" x14ac:dyDescent="0.25">
      <c r="A63" t="s">
        <v>7</v>
      </c>
      <c r="B63" t="str">
        <f>"&lt;prefix&gt;_&lt;mm&gt;10&lt;yy&gt;_&lt;ar&gt;"&amp;A63</f>
        <v>&lt;prefix&gt;_&lt;mm&gt;10&lt;yy&gt;_&lt;ar&gt;Adjustments Not Posted Report</v>
      </c>
      <c r="C63" t="s">
        <v>336</v>
      </c>
    </row>
    <row r="64" spans="1:3" x14ac:dyDescent="0.25">
      <c r="A64" t="s">
        <v>70</v>
      </c>
      <c r="B64" s="7" t="s">
        <v>1052</v>
      </c>
      <c r="C64" s="7"/>
    </row>
    <row r="65" spans="1:5" x14ac:dyDescent="0.25">
      <c r="A65" t="s">
        <v>55</v>
      </c>
      <c r="B65" s="7" t="s">
        <v>1053</v>
      </c>
      <c r="C65" s="7"/>
    </row>
    <row r="66" spans="1:5" x14ac:dyDescent="0.25">
      <c r="A66" t="s">
        <v>71</v>
      </c>
      <c r="B66" s="7" t="s">
        <v>1054</v>
      </c>
      <c r="C66" s="7"/>
    </row>
    <row r="67" spans="1:5" x14ac:dyDescent="0.25">
      <c r="A67" t="s">
        <v>23</v>
      </c>
      <c r="B67" s="7" t="s">
        <v>1018</v>
      </c>
    </row>
    <row r="68" spans="1:5" x14ac:dyDescent="0.25">
      <c r="A68" t="s">
        <v>79</v>
      </c>
      <c r="B68" s="7" t="s">
        <v>1055</v>
      </c>
    </row>
    <row r="69" spans="1:5" x14ac:dyDescent="0.25">
      <c r="A69" t="s">
        <v>127</v>
      </c>
      <c r="B69" s="7" t="s">
        <v>1024</v>
      </c>
    </row>
    <row r="70" spans="1:5" x14ac:dyDescent="0.25">
      <c r="A70" s="2" t="s">
        <v>12</v>
      </c>
      <c r="B70" s="2" t="str">
        <f>"&lt;prefix&gt;_&lt;mm&gt;_25_&lt;yyyy&gt;_&lt;ar&gt;"&amp;A70</f>
        <v>&lt;prefix&gt;_&lt;mm&gt;_25_&lt;yyyy&gt;_&lt;ar&gt;AUR History Stats Report</v>
      </c>
      <c r="C70" s="20" t="s">
        <v>216</v>
      </c>
      <c r="D70" s="12">
        <v>1</v>
      </c>
    </row>
    <row r="71" spans="1:5" x14ac:dyDescent="0.25">
      <c r="A71" s="2" t="s">
        <v>18</v>
      </c>
      <c r="B71" s="2" t="str">
        <f>"&lt;prefix&gt;_&lt;mm&gt;_25_&lt;yyyy&gt;_&lt;ar&gt;"&amp;A71</f>
        <v>&lt;prefix&gt;_&lt;mm&gt;_25_&lt;yyyy&gt;_&lt;ar&gt;Detailed BAN Error Report</v>
      </c>
      <c r="C71" s="20" t="s">
        <v>231</v>
      </c>
      <c r="D71" s="12">
        <v>2</v>
      </c>
    </row>
    <row r="72" spans="1:5" x14ac:dyDescent="0.25">
      <c r="A72" s="3" t="s">
        <v>20</v>
      </c>
      <c r="B72" s="3" t="s">
        <v>1056</v>
      </c>
      <c r="C72" s="21" t="s">
        <v>231</v>
      </c>
      <c r="D72" s="22">
        <v>2</v>
      </c>
      <c r="E72" s="11"/>
    </row>
    <row r="73" spans="1:5" x14ac:dyDescent="0.25">
      <c r="A73" s="2" t="s">
        <v>22</v>
      </c>
      <c r="B73" s="2" t="str">
        <f t="shared" ref="B73:B78" si="0">"&lt;prefix&gt;_&lt;mm&gt;_25_&lt;yyyy&gt;_&lt;ar&gt;"&amp;A73</f>
        <v>&lt;prefix&gt;_&lt;mm&gt;_25_&lt;yyyy&gt;_&lt;ar&gt;Detailed CLLI Error Report</v>
      </c>
      <c r="C73" s="20" t="s">
        <v>238</v>
      </c>
      <c r="D73" s="12">
        <v>3</v>
      </c>
    </row>
    <row r="74" spans="1:5" x14ac:dyDescent="0.25">
      <c r="A74" s="2" t="s">
        <v>29</v>
      </c>
      <c r="B74" s="2" t="str">
        <f t="shared" si="0"/>
        <v>&lt;prefix&gt;_&lt;mm&gt;_25_&lt;yyyy&gt;_&lt;ar&gt;Exception Analysis Report</v>
      </c>
      <c r="C74" s="20" t="s">
        <v>248</v>
      </c>
      <c r="D74" s="12">
        <v>4</v>
      </c>
    </row>
    <row r="75" spans="1:5" x14ac:dyDescent="0.25">
      <c r="A75" s="2" t="s">
        <v>47</v>
      </c>
      <c r="B75" s="2" t="str">
        <f t="shared" si="0"/>
        <v>&lt;prefix&gt;_&lt;mm&gt;_25_&lt;yyyy&gt;_&lt;ar&gt;MOU Entries Error Report</v>
      </c>
      <c r="C75" s="20" t="s">
        <v>251</v>
      </c>
      <c r="D75" s="12">
        <v>5</v>
      </c>
    </row>
    <row r="76" spans="1:5" x14ac:dyDescent="0.25">
      <c r="A76" s="2" t="s">
        <v>27</v>
      </c>
      <c r="B76" s="2" t="str">
        <f t="shared" si="0"/>
        <v>&lt;prefix&gt;_&lt;mm&gt;_25_&lt;yyyy&gt;_&lt;ar&gt;Duplicate File Processing Report</v>
      </c>
      <c r="C76" s="20" t="s">
        <v>266</v>
      </c>
      <c r="D76" s="12">
        <v>6</v>
      </c>
    </row>
    <row r="77" spans="1:5" x14ac:dyDescent="0.25">
      <c r="A77" s="2" t="s">
        <v>1011</v>
      </c>
      <c r="B77" s="2" t="str">
        <f t="shared" si="0"/>
        <v xml:space="preserve">&lt;prefix&gt;_&lt;mm&gt;_25_&lt;yyyy&gt;_&lt;ar&gt;Usage Verify by Size Report </v>
      </c>
      <c r="C77" s="20" t="s">
        <v>272</v>
      </c>
      <c r="D77" s="12">
        <v>7</v>
      </c>
    </row>
    <row r="78" spans="1:5" x14ac:dyDescent="0.25">
      <c r="A78" s="4" t="s">
        <v>543</v>
      </c>
      <c r="B78" s="4" t="str">
        <f t="shared" si="0"/>
        <v>&lt;prefix&gt;_&lt;mm&gt;_25_&lt;yyyy&gt;_&lt;ar&gt;Usage by Day Report</v>
      </c>
      <c r="C78" s="23" t="s">
        <v>1057</v>
      </c>
      <c r="D78" s="24">
        <v>8</v>
      </c>
      <c r="E78" s="25" t="s">
        <v>1058</v>
      </c>
    </row>
    <row r="79" spans="1:5" x14ac:dyDescent="0.25">
      <c r="A79" s="3" t="s">
        <v>43</v>
      </c>
      <c r="B79" s="3" t="s">
        <v>1059</v>
      </c>
      <c r="C79" s="21" t="s">
        <v>1060</v>
      </c>
      <c r="D79" s="22">
        <v>9</v>
      </c>
      <c r="E79" s="11"/>
    </row>
    <row r="80" spans="1:5" x14ac:dyDescent="0.25">
      <c r="A80" s="2" t="s">
        <v>107</v>
      </c>
      <c r="B80" s="2" t="str">
        <f>"&lt;prefix&gt;_&lt;mm&gt;_25_&lt;yyyy&gt;_&lt;ar&gt;"&amp;A80</f>
        <v>&lt;prefix&gt;_&lt;mm&gt;_25_&lt;yyyy&gt;_&lt;ar&gt;Payment Report</v>
      </c>
      <c r="C80" s="20" t="s">
        <v>314</v>
      </c>
      <c r="D80" s="12">
        <v>10</v>
      </c>
    </row>
    <row r="81" spans="1:5" x14ac:dyDescent="0.25">
      <c r="A81" s="2" t="s">
        <v>7</v>
      </c>
      <c r="B81" s="2" t="str">
        <f>"&lt;prefix&gt;_&lt;mm&gt;_25_&lt;yyyy&gt;_&lt;ar&gt;"&amp;A81</f>
        <v>&lt;prefix&gt;_&lt;mm&gt;_25_&lt;yyyy&gt;_&lt;ar&gt;Adjustments Not Posted Report</v>
      </c>
      <c r="C81" s="20" t="s">
        <v>336</v>
      </c>
      <c r="D81" s="12">
        <v>11</v>
      </c>
    </row>
    <row r="82" spans="1:5" x14ac:dyDescent="0.25">
      <c r="A82" s="2" t="s">
        <v>32</v>
      </c>
      <c r="B82" s="2" t="str">
        <f>"&lt;prefix&gt;_&lt;mm&gt;_25_&lt;yyyy&gt;_&lt;ar&gt;"&amp;A82</f>
        <v>&lt;prefix&gt;_&lt;mm&gt;_25_&lt;yyyy&gt;_&lt;ar&gt;Factor Change Audit Report</v>
      </c>
      <c r="C82" s="20" t="s">
        <v>177</v>
      </c>
      <c r="D82" s="12">
        <v>12</v>
      </c>
    </row>
    <row r="83" spans="1:5" x14ac:dyDescent="0.25">
      <c r="A83" s="3" t="s">
        <v>34</v>
      </c>
      <c r="B83" s="3" t="s">
        <v>1061</v>
      </c>
      <c r="C83" s="21" t="s">
        <v>362</v>
      </c>
      <c r="D83" s="22">
        <v>13</v>
      </c>
      <c r="E83" s="11"/>
    </row>
    <row r="84" spans="1:5" x14ac:dyDescent="0.25">
      <c r="A84" s="2" t="s">
        <v>36</v>
      </c>
      <c r="B84" s="2" t="str">
        <f t="shared" ref="B84:B89" si="1">"&lt;prefix&gt;_&lt;mm&gt;_25_&lt;yyyy&gt;_&lt;ar&gt;"&amp;A84</f>
        <v>&lt;prefix&gt;_&lt;mm&gt;_25_&lt;yyyy&gt;_&lt;ar&gt;Factor Compare Report</v>
      </c>
      <c r="C84" s="20" t="s">
        <v>366</v>
      </c>
      <c r="D84" s="12">
        <v>14</v>
      </c>
    </row>
    <row r="85" spans="1:5" x14ac:dyDescent="0.25">
      <c r="A85" s="2" t="s">
        <v>39</v>
      </c>
      <c r="B85" s="2" t="str">
        <f t="shared" si="1"/>
        <v>&lt;prefix&gt;_&lt;mm&gt;_25_&lt;yyyy&gt;_&lt;ar&gt;SOC Change Audit Report</v>
      </c>
      <c r="C85" s="20" t="s">
        <v>368</v>
      </c>
      <c r="D85" s="12">
        <v>15</v>
      </c>
    </row>
    <row r="86" spans="1:5" x14ac:dyDescent="0.25">
      <c r="A86" s="2" t="s">
        <v>16</v>
      </c>
      <c r="B86" s="2" t="str">
        <f t="shared" si="1"/>
        <v>&lt;prefix&gt;_&lt;mm&gt;_25_&lt;yyyy&gt;_&lt;ar&gt;Bill Completion Check Report</v>
      </c>
      <c r="C86" s="20" t="s">
        <v>383</v>
      </c>
      <c r="D86" s="12">
        <v>16</v>
      </c>
    </row>
    <row r="87" spans="1:5" x14ac:dyDescent="0.25">
      <c r="A87" s="5" t="s">
        <v>122</v>
      </c>
      <c r="B87" s="5" t="str">
        <f t="shared" si="1"/>
        <v>&lt;prefix&gt;_&lt;mm&gt;_25_&lt;yyyy&gt;_&lt;ar&gt;Switched BANS Trending Report</v>
      </c>
      <c r="C87" s="26" t="s">
        <v>389</v>
      </c>
      <c r="D87" s="12">
        <v>17</v>
      </c>
      <c r="E87" t="s">
        <v>1062</v>
      </c>
    </row>
    <row r="88" spans="1:5" x14ac:dyDescent="0.25">
      <c r="A88" s="2" t="s">
        <v>10</v>
      </c>
      <c r="B88" s="2" t="str">
        <f t="shared" si="1"/>
        <v>&lt;prefix&gt;_&lt;mm&gt;_25_&lt;yyyy&gt;_&lt;ar&gt;Adjustment &amp; OCC Report</v>
      </c>
      <c r="C88" s="20" t="s">
        <v>1063</v>
      </c>
      <c r="D88" s="12">
        <v>18</v>
      </c>
    </row>
    <row r="89" spans="1:5" x14ac:dyDescent="0.25">
      <c r="A89" s="2" t="s">
        <v>63</v>
      </c>
      <c r="B89" s="2" t="str">
        <f t="shared" si="1"/>
        <v>&lt;prefix&gt;_&lt;mm&gt;_25_&lt;yyyy&gt;_&lt;ar&gt;Deletions Under Report</v>
      </c>
      <c r="C89" s="20" t="s">
        <v>1064</v>
      </c>
      <c r="D89" s="22">
        <v>19</v>
      </c>
      <c r="E89" s="11"/>
    </row>
    <row r="90" spans="1:5" x14ac:dyDescent="0.25">
      <c r="A90" s="3" t="s">
        <v>87</v>
      </c>
      <c r="B90" s="3" t="s">
        <v>1065</v>
      </c>
      <c r="C90" s="21" t="s">
        <v>767</v>
      </c>
      <c r="D90" s="22">
        <v>20</v>
      </c>
      <c r="E90" s="11"/>
    </row>
    <row r="91" spans="1:5" x14ac:dyDescent="0.25">
      <c r="A91" s="6" t="s">
        <v>23</v>
      </c>
      <c r="B91" s="6" t="s">
        <v>1066</v>
      </c>
      <c r="C91" s="27"/>
      <c r="D91" s="22">
        <v>21</v>
      </c>
      <c r="E91" s="11" t="s">
        <v>1067</v>
      </c>
    </row>
    <row r="92" spans="1:5" x14ac:dyDescent="0.25">
      <c r="A92" s="6" t="s">
        <v>30</v>
      </c>
      <c r="B92" s="6" t="s">
        <v>1068</v>
      </c>
      <c r="C92" s="27"/>
      <c r="D92" s="22">
        <v>22</v>
      </c>
      <c r="E92" s="11" t="s">
        <v>1067</v>
      </c>
    </row>
    <row r="93" spans="1:5" x14ac:dyDescent="0.25">
      <c r="A93" s="7" t="s">
        <v>46</v>
      </c>
      <c r="B93" s="7" t="str">
        <f>"&lt;prefix&gt;_&lt;mm&gt;_25_&lt;yyyy&gt;_&lt;ar&gt;"&amp;A93</f>
        <v>&lt;prefix&gt;_&lt;mm&gt;_25_&lt;yyyy&gt;_&lt;ar&gt;Billed by Period Report</v>
      </c>
      <c r="C93" s="28"/>
      <c r="D93" s="12">
        <v>23</v>
      </c>
      <c r="E93" t="s">
        <v>1067</v>
      </c>
    </row>
    <row r="94" spans="1:5" x14ac:dyDescent="0.25">
      <c r="A94" s="8" t="s">
        <v>49</v>
      </c>
      <c r="B94" s="8" t="s">
        <v>1069</v>
      </c>
      <c r="C94" s="29"/>
      <c r="D94" s="22">
        <v>24</v>
      </c>
      <c r="E94" s="11" t="s">
        <v>1062</v>
      </c>
    </row>
    <row r="95" spans="1:5" x14ac:dyDescent="0.25">
      <c r="A95" s="7" t="s">
        <v>127</v>
      </c>
      <c r="B95" s="7" t="str">
        <f>"&lt;prefix&gt;_&lt;mm&gt;_25_&lt;yyyy&gt;_&lt;ar&gt;"&amp;A95</f>
        <v>&lt;prefix&gt;_&lt;mm&gt;_25_&lt;yyyy&gt;_&lt;ar&gt;Transaction Summary - bills only</v>
      </c>
      <c r="C95" s="28"/>
      <c r="D95" s="12">
        <v>25</v>
      </c>
      <c r="E95" s="11" t="s">
        <v>1067</v>
      </c>
    </row>
    <row r="96" spans="1:5" x14ac:dyDescent="0.25">
      <c r="A96" s="9" t="s">
        <v>83</v>
      </c>
      <c r="B96" s="9" t="str">
        <f>"&lt;prefix&gt;_&lt;mm&gt;_25_&lt;yyyy&gt;_&lt;ar&gt;"&amp;A96</f>
        <v>&lt;prefix&gt;_&lt;mm&gt;_25_&lt;yyyy&gt;_&lt;ar&gt;Invoice Balances by Jurisdiction</v>
      </c>
      <c r="C96" s="30"/>
      <c r="D96" s="12">
        <v>26</v>
      </c>
      <c r="E96" t="s">
        <v>170</v>
      </c>
    </row>
    <row r="97" spans="1:5" x14ac:dyDescent="0.25">
      <c r="A97" s="9" t="s">
        <v>88</v>
      </c>
      <c r="B97" s="9" t="str">
        <f>"&lt;prefix&gt;_&lt;mm&gt;_25_&lt;yyyy&gt;_&lt;ar&gt;"&amp;A97</f>
        <v>&lt;prefix&gt;_&lt;mm&gt;_25_&lt;yyyy&gt;_&lt;ar&gt;Invoice Register Report</v>
      </c>
      <c r="C97" s="30"/>
      <c r="D97" s="12">
        <v>27</v>
      </c>
      <c r="E97" t="s">
        <v>170</v>
      </c>
    </row>
    <row r="98" spans="1:5" x14ac:dyDescent="0.25">
      <c r="A98" s="2" t="s">
        <v>12</v>
      </c>
      <c r="B98" s="2" t="str">
        <f>"&lt;prefix&gt;_&lt;mm&gt;_22_&lt;yy&gt;_&lt;ar&gt;"&amp;A98</f>
        <v>&lt;prefix&gt;_&lt;mm&gt;_22_&lt;yy&gt;_&lt;ar&gt;AUR History Stats Report</v>
      </c>
      <c r="C98" s="2" t="s">
        <v>216</v>
      </c>
      <c r="D98" s="12">
        <v>1</v>
      </c>
    </row>
    <row r="99" spans="1:5" x14ac:dyDescent="0.25">
      <c r="A99" s="2" t="s">
        <v>18</v>
      </c>
      <c r="B99" s="2" t="str">
        <f>"&lt;prefix&gt;_&lt;mm&gt;_22_&lt;yy&gt;_&lt;ar&gt;"&amp;A99</f>
        <v>&lt;prefix&gt;_&lt;mm&gt;_22_&lt;yy&gt;_&lt;ar&gt;Detailed BAN Error Report</v>
      </c>
      <c r="C99" s="2" t="s">
        <v>231</v>
      </c>
      <c r="D99" s="12">
        <v>2</v>
      </c>
    </row>
    <row r="100" spans="1:5" x14ac:dyDescent="0.25">
      <c r="A100" s="3" t="s">
        <v>20</v>
      </c>
      <c r="B100" s="3" t="s">
        <v>1070</v>
      </c>
      <c r="C100" s="3" t="s">
        <v>231</v>
      </c>
      <c r="D100" s="22">
        <v>2</v>
      </c>
    </row>
    <row r="101" spans="1:5" x14ac:dyDescent="0.25">
      <c r="A101" s="2" t="s">
        <v>22</v>
      </c>
      <c r="B101" s="2" t="str">
        <f t="shared" ref="B101:B106" si="2">"&lt;prefix&gt;_&lt;mm&gt;_22_&lt;yy&gt;_&lt;ar&gt;"&amp;A101</f>
        <v>&lt;prefix&gt;_&lt;mm&gt;_22_&lt;yy&gt;_&lt;ar&gt;Detailed CLLI Error Report</v>
      </c>
      <c r="C101" s="2" t="s">
        <v>238</v>
      </c>
      <c r="D101" s="12">
        <v>3</v>
      </c>
    </row>
    <row r="102" spans="1:5" x14ac:dyDescent="0.25">
      <c r="A102" s="2" t="s">
        <v>29</v>
      </c>
      <c r="B102" s="2" t="str">
        <f t="shared" si="2"/>
        <v>&lt;prefix&gt;_&lt;mm&gt;_22_&lt;yy&gt;_&lt;ar&gt;Exception Analysis Report</v>
      </c>
      <c r="C102" s="2" t="s">
        <v>248</v>
      </c>
      <c r="D102" s="12">
        <v>4</v>
      </c>
    </row>
    <row r="103" spans="1:5" x14ac:dyDescent="0.25">
      <c r="A103" s="2" t="s">
        <v>47</v>
      </c>
      <c r="B103" s="2" t="str">
        <f t="shared" si="2"/>
        <v>&lt;prefix&gt;_&lt;mm&gt;_22_&lt;yy&gt;_&lt;ar&gt;MOU Entries Error Report</v>
      </c>
      <c r="C103" s="2" t="s">
        <v>251</v>
      </c>
      <c r="D103" s="12">
        <v>5</v>
      </c>
    </row>
    <row r="104" spans="1:5" x14ac:dyDescent="0.25">
      <c r="A104" s="2" t="s">
        <v>27</v>
      </c>
      <c r="B104" s="2" t="str">
        <f t="shared" si="2"/>
        <v>&lt;prefix&gt;_&lt;mm&gt;_22_&lt;yy&gt;_&lt;ar&gt;Duplicate File Processing Report</v>
      </c>
      <c r="C104" s="2" t="s">
        <v>266</v>
      </c>
      <c r="D104" s="12">
        <v>6</v>
      </c>
    </row>
    <row r="105" spans="1:5" x14ac:dyDescent="0.25">
      <c r="A105" s="2" t="s">
        <v>45</v>
      </c>
      <c r="B105" s="2" t="str">
        <f t="shared" si="2"/>
        <v>&lt;prefix&gt;_&lt;mm&gt;_22_&lt;yy&gt;_&lt;ar&gt;Usage Verify by Size Report</v>
      </c>
      <c r="C105" s="2"/>
      <c r="D105" s="12">
        <v>7</v>
      </c>
    </row>
    <row r="106" spans="1:5" x14ac:dyDescent="0.25">
      <c r="A106" s="2" t="s">
        <v>543</v>
      </c>
      <c r="B106" s="2" t="str">
        <f t="shared" si="2"/>
        <v>&lt;prefix&gt;_&lt;mm&gt;_22_&lt;yy&gt;_&lt;ar&gt;Usage by Day Report</v>
      </c>
      <c r="C106" s="23" t="s">
        <v>1014</v>
      </c>
      <c r="D106" s="12">
        <v>8</v>
      </c>
    </row>
    <row r="107" spans="1:5" x14ac:dyDescent="0.25">
      <c r="A107" s="3" t="s">
        <v>43</v>
      </c>
      <c r="B107" s="3" t="s">
        <v>1071</v>
      </c>
      <c r="C107" s="3" t="s">
        <v>1060</v>
      </c>
      <c r="D107" s="22">
        <v>9</v>
      </c>
    </row>
    <row r="108" spans="1:5" x14ac:dyDescent="0.25">
      <c r="A108" s="2" t="s">
        <v>107</v>
      </c>
      <c r="B108" s="2" t="str">
        <f>"&lt;prefix&gt;_&lt;mm&gt;_22_&lt;yy&gt;_&lt;ar&gt;"&amp;A108</f>
        <v>&lt;prefix&gt;_&lt;mm&gt;_22_&lt;yy&gt;_&lt;ar&gt;Payment Report</v>
      </c>
      <c r="C108" s="31">
        <v>8</v>
      </c>
      <c r="D108" s="12">
        <v>10</v>
      </c>
    </row>
    <row r="109" spans="1:5" x14ac:dyDescent="0.25">
      <c r="A109" s="2" t="s">
        <v>7</v>
      </c>
      <c r="B109" s="2" t="str">
        <f>"&lt;prefix&gt;_&lt;mm&gt;_22_&lt;yy&gt;_&lt;ar&gt;"&amp;A109</f>
        <v>&lt;prefix&gt;_&lt;mm&gt;_22_&lt;yy&gt;_&lt;ar&gt;Adjustments Not Posted Report</v>
      </c>
      <c r="C109" s="2" t="s">
        <v>336</v>
      </c>
      <c r="D109" s="12">
        <v>11</v>
      </c>
    </row>
    <row r="110" spans="1:5" x14ac:dyDescent="0.25">
      <c r="A110" s="2" t="s">
        <v>34</v>
      </c>
      <c r="B110" s="3" t="s">
        <v>1072</v>
      </c>
      <c r="C110" s="2" t="s">
        <v>362</v>
      </c>
      <c r="D110" s="12">
        <v>12</v>
      </c>
    </row>
    <row r="111" spans="1:5" x14ac:dyDescent="0.25">
      <c r="A111" s="2" t="s">
        <v>32</v>
      </c>
      <c r="B111" s="2" t="str">
        <f>"&lt;prefix&gt;_&lt;mm&gt;_22_&lt;yy&gt;_&lt;ar&gt;"&amp;A111</f>
        <v>&lt;prefix&gt;_&lt;mm&gt;_22_&lt;yy&gt;_&lt;ar&gt;Factor Change Audit Report</v>
      </c>
      <c r="C111" s="2" t="s">
        <v>366</v>
      </c>
      <c r="D111" s="12">
        <v>13</v>
      </c>
    </row>
    <row r="112" spans="1:5" x14ac:dyDescent="0.25">
      <c r="A112" s="2" t="s">
        <v>39</v>
      </c>
      <c r="B112" s="2" t="str">
        <f>"&lt;prefix&gt;_&lt;mm&gt;_22_&lt;yy&gt;_&lt;ar&gt;"&amp;A112</f>
        <v>&lt;prefix&gt;_&lt;mm&gt;_22_&lt;yy&gt;_&lt;ar&gt;SOC Change Audit Report</v>
      </c>
      <c r="C112" s="2">
        <v>11</v>
      </c>
      <c r="D112" s="12">
        <v>14</v>
      </c>
    </row>
    <row r="113" spans="1:4" x14ac:dyDescent="0.25">
      <c r="A113" s="2" t="s">
        <v>16</v>
      </c>
      <c r="B113" s="2" t="str">
        <f>"&lt;prefix&gt;_&lt;mm&gt;_22_&lt;yy&gt;_&lt;ar&gt;"&amp;A113</f>
        <v>&lt;prefix&gt;_&lt;mm&gt;_22_&lt;yy&gt;_&lt;ar&gt;Bill Completion Check Report</v>
      </c>
      <c r="C113" s="2" t="s">
        <v>383</v>
      </c>
      <c r="D113" s="12">
        <v>15</v>
      </c>
    </row>
    <row r="114" spans="1:4" x14ac:dyDescent="0.25">
      <c r="A114" s="5" t="s">
        <v>122</v>
      </c>
      <c r="B114" s="5" t="str">
        <f>"&lt;prefix&gt;_&lt;mm&gt;_22_&lt;yy&gt;_&lt;ar&gt;"&amp;A114</f>
        <v>&lt;prefix&gt;_&lt;mm&gt;_22_&lt;yy&gt;_&lt;ar&gt;Switched BANS Trending Report</v>
      </c>
      <c r="C114" s="5" t="s">
        <v>1073</v>
      </c>
      <c r="D114" s="12">
        <v>16</v>
      </c>
    </row>
    <row r="115" spans="1:4" x14ac:dyDescent="0.25">
      <c r="A115" s="2" t="s">
        <v>13</v>
      </c>
      <c r="B115" s="2" t="str">
        <f>"&lt;prefix&gt;_&lt;mm&gt;_22_&lt;yy&gt;_&lt;ar&gt;"&amp;"Adjustments Report"</f>
        <v>&lt;prefix&gt;_&lt;mm&gt;_22_&lt;yy&gt;_&lt;ar&gt;Adjustments Report</v>
      </c>
      <c r="C115" s="2" t="s">
        <v>424</v>
      </c>
      <c r="D115" s="12">
        <v>17</v>
      </c>
    </row>
    <row r="116" spans="1:4" x14ac:dyDescent="0.25">
      <c r="A116" s="2" t="s">
        <v>102</v>
      </c>
      <c r="B116" s="2" t="str">
        <f>"&lt;prefix&gt;_&lt;mm&gt;_22_&lt;yy&gt;_&lt;ar&gt;"&amp;"OCCs Report"</f>
        <v>&lt;prefix&gt;_&lt;mm&gt;_22_&lt;yy&gt;_&lt;ar&gt;OCCs Report</v>
      </c>
      <c r="C116" s="2" t="s">
        <v>428</v>
      </c>
      <c r="D116" s="12">
        <v>18</v>
      </c>
    </row>
    <row r="117" spans="1:4" x14ac:dyDescent="0.25">
      <c r="A117" s="2" t="s">
        <v>62</v>
      </c>
      <c r="B117" s="2" t="s">
        <v>1074</v>
      </c>
      <c r="C117" s="2" t="s">
        <v>1075</v>
      </c>
      <c r="D117" s="12">
        <v>19</v>
      </c>
    </row>
    <row r="118" spans="1:4" x14ac:dyDescent="0.25">
      <c r="A118" s="3" t="s">
        <v>87</v>
      </c>
      <c r="B118" s="3" t="s">
        <v>1076</v>
      </c>
      <c r="C118" s="3" t="s">
        <v>767</v>
      </c>
      <c r="D118" s="22">
        <v>20</v>
      </c>
    </row>
    <row r="119" spans="1:4" x14ac:dyDescent="0.25">
      <c r="A119" s="7" t="s">
        <v>10</v>
      </c>
      <c r="B119" s="7" t="str">
        <f>"&lt;prefix&gt;_&lt;mm&gt;_22_&lt;yy&gt;_&lt;ar&gt;"&amp;A119</f>
        <v>&lt;prefix&gt;_&lt;mm&gt;_22_&lt;yy&gt;_&lt;ar&gt;Adjustment &amp; OCC Report</v>
      </c>
      <c r="C119" s="7"/>
      <c r="D119" s="12">
        <v>21</v>
      </c>
    </row>
    <row r="120" spans="1:4" x14ac:dyDescent="0.25">
      <c r="A120" s="6" t="s">
        <v>30</v>
      </c>
      <c r="B120" s="6" t="s">
        <v>1077</v>
      </c>
      <c r="C120" s="6"/>
      <c r="D120" s="22">
        <v>22</v>
      </c>
    </row>
    <row r="121" spans="1:4" x14ac:dyDescent="0.25">
      <c r="A121" s="7" t="s">
        <v>46</v>
      </c>
      <c r="B121" s="7" t="str">
        <f>"&lt;prefix&gt;_&lt;mm&gt;_22_&lt;yy&gt;_&lt;ar&gt;"&amp;A121</f>
        <v>&lt;prefix&gt;_&lt;mm&gt;_22_&lt;yy&gt;_&lt;ar&gt;Billed by Period Report</v>
      </c>
      <c r="C121" s="7"/>
      <c r="D121" s="12">
        <v>23</v>
      </c>
    </row>
    <row r="122" spans="1:4" x14ac:dyDescent="0.25">
      <c r="A122" s="7" t="s">
        <v>84</v>
      </c>
      <c r="B122" s="7" t="str">
        <f>"&lt;prefix&gt;_&lt;mm&gt;_22_&lt;yy&gt;_&lt;ar&gt;"&amp;"Invoice Balance Report"</f>
        <v>&lt;prefix&gt;_&lt;mm&gt;_22_&lt;yy&gt;_&lt;ar&gt;Invoice Balance Report</v>
      </c>
      <c r="C122" s="7"/>
      <c r="D122" s="12">
        <v>24</v>
      </c>
    </row>
    <row r="123" spans="1:4" x14ac:dyDescent="0.25">
      <c r="A123" s="8" t="s">
        <v>49</v>
      </c>
      <c r="B123" s="8" t="s">
        <v>1078</v>
      </c>
      <c r="C123" s="8"/>
      <c r="D123" s="22">
        <v>25</v>
      </c>
    </row>
    <row r="124" spans="1:4" x14ac:dyDescent="0.25">
      <c r="A124" s="6" t="s">
        <v>127</v>
      </c>
      <c r="B124" s="6" t="s">
        <v>1079</v>
      </c>
      <c r="C124" s="6"/>
      <c r="D124" s="22">
        <v>26</v>
      </c>
    </row>
    <row r="125" spans="1:4" x14ac:dyDescent="0.25">
      <c r="A125" s="3" t="s">
        <v>9</v>
      </c>
      <c r="B125" s="3" t="s">
        <v>1080</v>
      </c>
      <c r="C125" s="3" t="s">
        <v>216</v>
      </c>
      <c r="D125" s="22">
        <v>1</v>
      </c>
    </row>
    <row r="126" spans="1:4" x14ac:dyDescent="0.25">
      <c r="A126" s="3" t="s">
        <v>20</v>
      </c>
      <c r="B126" s="3" t="s">
        <v>1081</v>
      </c>
      <c r="C126" s="3" t="s">
        <v>231</v>
      </c>
      <c r="D126" s="22">
        <v>2</v>
      </c>
    </row>
    <row r="127" spans="1:4" x14ac:dyDescent="0.25">
      <c r="A127" s="2" t="s">
        <v>22</v>
      </c>
      <c r="B127" s="2" t="str">
        <f t="shared" ref="B127:B132" si="3">"&lt;prefix&gt;_&lt;mm&gt;&lt;cy&gt;&lt;yy&gt;_&lt;ar&gt;"&amp;A127</f>
        <v>&lt;prefix&gt;_&lt;mm&gt;&lt;cy&gt;&lt;yy&gt;_&lt;ar&gt;Detailed CLLI Error Report</v>
      </c>
      <c r="C127" s="2" t="s">
        <v>238</v>
      </c>
      <c r="D127" s="12">
        <v>3</v>
      </c>
    </row>
    <row r="128" spans="1:4" x14ac:dyDescent="0.25">
      <c r="A128" s="2" t="s">
        <v>29</v>
      </c>
      <c r="B128" s="2" t="str">
        <f t="shared" si="3"/>
        <v>&lt;prefix&gt;_&lt;mm&gt;&lt;cy&gt;&lt;yy&gt;_&lt;ar&gt;Exception Analysis Report</v>
      </c>
      <c r="C128" s="2" t="s">
        <v>248</v>
      </c>
      <c r="D128" s="12">
        <v>4</v>
      </c>
    </row>
    <row r="129" spans="1:4" x14ac:dyDescent="0.25">
      <c r="A129" s="2" t="s">
        <v>47</v>
      </c>
      <c r="B129" s="2" t="str">
        <f t="shared" si="3"/>
        <v>&lt;prefix&gt;_&lt;mm&gt;&lt;cy&gt;&lt;yy&gt;_&lt;ar&gt;MOU Entries Error Report</v>
      </c>
      <c r="C129" s="2" t="s">
        <v>251</v>
      </c>
      <c r="D129" s="12">
        <v>5</v>
      </c>
    </row>
    <row r="130" spans="1:4" x14ac:dyDescent="0.25">
      <c r="A130" s="2" t="s">
        <v>27</v>
      </c>
      <c r="B130" s="2" t="str">
        <f t="shared" si="3"/>
        <v>&lt;prefix&gt;_&lt;mm&gt;&lt;cy&gt;&lt;yy&gt;_&lt;ar&gt;Duplicate File Processing Report</v>
      </c>
      <c r="C130" s="2" t="s">
        <v>266</v>
      </c>
      <c r="D130" s="12">
        <v>6</v>
      </c>
    </row>
    <row r="131" spans="1:4" x14ac:dyDescent="0.25">
      <c r="A131" s="2" t="s">
        <v>45</v>
      </c>
      <c r="B131" s="2" t="str">
        <f t="shared" si="3"/>
        <v>&lt;prefix&gt;_&lt;mm&gt;&lt;cy&gt;&lt;yy&gt;_&lt;ar&gt;Usage Verify by Size Report</v>
      </c>
      <c r="C131" s="2" t="s">
        <v>272</v>
      </c>
      <c r="D131" s="12">
        <v>7</v>
      </c>
    </row>
    <row r="132" spans="1:4" x14ac:dyDescent="0.25">
      <c r="A132" s="2" t="s">
        <v>135</v>
      </c>
      <c r="B132" s="2" t="str">
        <f t="shared" si="3"/>
        <v>&lt;prefix&gt;_&lt;mm&gt;&lt;cy&gt;&lt;yy&gt;_&lt;ar&gt;Usage By Day Report</v>
      </c>
      <c r="C132" s="4" t="s">
        <v>1082</v>
      </c>
      <c r="D132" s="12">
        <v>8</v>
      </c>
    </row>
    <row r="133" spans="1:4" x14ac:dyDescent="0.25">
      <c r="A133" s="3" t="s">
        <v>43</v>
      </c>
      <c r="B133" s="3" t="s">
        <v>1083</v>
      </c>
      <c r="C133" s="3" t="s">
        <v>1060</v>
      </c>
      <c r="D133" s="22">
        <v>9</v>
      </c>
    </row>
    <row r="134" spans="1:4" x14ac:dyDescent="0.25">
      <c r="A134" s="2" t="s">
        <v>107</v>
      </c>
      <c r="B134" s="2" t="str">
        <f t="shared" ref="B134:B140" si="4">"&lt;prefix&gt;_&lt;mm&gt;&lt;cy&gt;&lt;yy&gt;_&lt;ar&gt;"&amp;A134</f>
        <v>&lt;prefix&gt;_&lt;mm&gt;&lt;cy&gt;&lt;yy&gt;_&lt;ar&gt;Payment Report</v>
      </c>
      <c r="C134" s="31">
        <v>8</v>
      </c>
      <c r="D134" s="12">
        <v>10</v>
      </c>
    </row>
    <row r="135" spans="1:4" x14ac:dyDescent="0.25">
      <c r="A135" s="2" t="s">
        <v>7</v>
      </c>
      <c r="B135" s="2" t="str">
        <f t="shared" si="4"/>
        <v>&lt;prefix&gt;_&lt;mm&gt;&lt;cy&gt;&lt;yy&gt;_&lt;ar&gt;Adjustments Not Posted Report</v>
      </c>
      <c r="C135" s="2" t="s">
        <v>336</v>
      </c>
      <c r="D135" s="12">
        <v>11</v>
      </c>
    </row>
    <row r="136" spans="1:4" x14ac:dyDescent="0.25">
      <c r="A136" s="2" t="s">
        <v>32</v>
      </c>
      <c r="B136" s="2" t="str">
        <f t="shared" si="4"/>
        <v>&lt;prefix&gt;_&lt;mm&gt;&lt;cy&gt;&lt;yy&gt;_&lt;ar&gt;Factor Change Audit Report</v>
      </c>
      <c r="C136" s="31">
        <v>10</v>
      </c>
      <c r="D136" s="12">
        <v>12</v>
      </c>
    </row>
    <row r="137" spans="1:4" x14ac:dyDescent="0.25">
      <c r="A137" s="2" t="s">
        <v>39</v>
      </c>
      <c r="B137" s="2" t="str">
        <f t="shared" si="4"/>
        <v>&lt;prefix&gt;_&lt;mm&gt;&lt;cy&gt;&lt;yy&gt;_&lt;ar&gt;SOC Change Audit Report</v>
      </c>
      <c r="C137" s="31">
        <v>11</v>
      </c>
      <c r="D137" s="12">
        <v>14</v>
      </c>
    </row>
    <row r="138" spans="1:4" x14ac:dyDescent="0.25">
      <c r="A138" s="2" t="s">
        <v>16</v>
      </c>
      <c r="B138" s="2" t="str">
        <f t="shared" si="4"/>
        <v>&lt;prefix&gt;_&lt;mm&gt;&lt;cy&gt;&lt;yy&gt;_&lt;ar&gt;Bill Completion Check Report</v>
      </c>
      <c r="C138" s="2" t="s">
        <v>383</v>
      </c>
      <c r="D138" s="12">
        <v>15</v>
      </c>
    </row>
    <row r="139" spans="1:4" x14ac:dyDescent="0.25">
      <c r="A139" s="5" t="s">
        <v>419</v>
      </c>
      <c r="B139" s="5" t="str">
        <f t="shared" si="4"/>
        <v>&lt;prefix&gt;_&lt;mm&gt;&lt;cy&gt;&lt;yy&gt;_&lt;ar&gt;Switched BANs Trending Report</v>
      </c>
      <c r="C139" s="5" t="s">
        <v>1084</v>
      </c>
      <c r="D139" s="12">
        <v>16</v>
      </c>
    </row>
    <row r="140" spans="1:4" x14ac:dyDescent="0.25">
      <c r="A140" s="10" t="s">
        <v>422</v>
      </c>
      <c r="B140" s="10" t="str">
        <f t="shared" si="4"/>
        <v>&lt;prefix&gt;_&lt;mm&gt;&lt;cy&gt;&lt;yy&gt;_&lt;ar&gt;Facility BANs Trending Report</v>
      </c>
      <c r="C140" s="10" t="s">
        <v>1084</v>
      </c>
      <c r="D140" s="12">
        <v>16</v>
      </c>
    </row>
    <row r="141" spans="1:4" x14ac:dyDescent="0.25">
      <c r="A141" s="3" t="s">
        <v>19</v>
      </c>
      <c r="B141" s="3" t="s">
        <v>1085</v>
      </c>
      <c r="C141" s="3" t="s">
        <v>424</v>
      </c>
      <c r="D141" s="22">
        <v>18</v>
      </c>
    </row>
    <row r="142" spans="1:4" x14ac:dyDescent="0.25">
      <c r="A142" s="3" t="s">
        <v>102</v>
      </c>
      <c r="B142" s="3" t="s">
        <v>1086</v>
      </c>
      <c r="C142" s="3" t="s">
        <v>428</v>
      </c>
      <c r="D142" s="22">
        <v>19</v>
      </c>
    </row>
    <row r="143" spans="1:4" x14ac:dyDescent="0.25">
      <c r="A143" s="3" t="s">
        <v>60</v>
      </c>
      <c r="B143" s="3" t="s">
        <v>1087</v>
      </c>
      <c r="C143" s="3" t="s">
        <v>767</v>
      </c>
      <c r="D143" s="22">
        <v>20</v>
      </c>
    </row>
    <row r="144" spans="1:4" x14ac:dyDescent="0.25">
      <c r="A144" s="6" t="s">
        <v>23</v>
      </c>
      <c r="B144" s="6" t="s">
        <v>1088</v>
      </c>
      <c r="C144" s="6"/>
      <c r="D144" s="22">
        <v>21</v>
      </c>
    </row>
    <row r="145" spans="1:4" x14ac:dyDescent="0.25">
      <c r="A145" s="7" t="s">
        <v>1089</v>
      </c>
      <c r="B145" s="7" t="str">
        <f>"&lt;prefix&gt;_&lt;mm&gt;&lt;cy&gt;&lt;yy&gt;_&lt;ar&gt;"&amp;A145</f>
        <v>&lt;prefix&gt;_&lt;mm&gt;&lt;cy&gt;&lt;yy&gt;_&lt;ar&gt;Billed By Period</v>
      </c>
      <c r="C145" s="7"/>
      <c r="D145" s="12">
        <v>22</v>
      </c>
    </row>
    <row r="146" spans="1:4" x14ac:dyDescent="0.25">
      <c r="A146" s="6" t="s">
        <v>92</v>
      </c>
      <c r="B146" s="6" t="s">
        <v>1090</v>
      </c>
      <c r="C146" s="6"/>
      <c r="D146" s="22">
        <v>23</v>
      </c>
    </row>
    <row r="147" spans="1:4" x14ac:dyDescent="0.25">
      <c r="A147" s="8" t="s">
        <v>49</v>
      </c>
      <c r="B147" s="8" t="s">
        <v>1091</v>
      </c>
      <c r="C147" s="32"/>
      <c r="D147" s="22">
        <v>24</v>
      </c>
    </row>
    <row r="148" spans="1:4" x14ac:dyDescent="0.25">
      <c r="A148" s="6" t="s">
        <v>51</v>
      </c>
      <c r="B148" s="6" t="s">
        <v>1092</v>
      </c>
      <c r="C148" s="6"/>
      <c r="D148" s="22">
        <v>25</v>
      </c>
    </row>
    <row r="149" spans="1:4" x14ac:dyDescent="0.25">
      <c r="A149" s="7" t="s">
        <v>120</v>
      </c>
      <c r="B149" s="7" t="str">
        <f>"&lt;prefix&gt;_&lt;mm&gt;&lt;cy&gt;&lt;yy&gt;_&lt;ar&gt;"&amp;A149</f>
        <v>&lt;prefix&gt;_&lt;mm&gt;&lt;cy&gt;&lt;yy&gt;_&lt;ar&gt;SW Usage Charges Summary</v>
      </c>
      <c r="C149" s="7"/>
      <c r="D149" s="12">
        <v>26</v>
      </c>
    </row>
    <row r="150" spans="1:4" x14ac:dyDescent="0.25">
      <c r="A150" s="6" t="s">
        <v>127</v>
      </c>
      <c r="B150" s="6" t="s">
        <v>1093</v>
      </c>
      <c r="C150" s="6"/>
      <c r="D150" s="22">
        <v>27</v>
      </c>
    </row>
    <row r="151" spans="1:4" x14ac:dyDescent="0.25">
      <c r="A151" s="2" t="s">
        <v>107</v>
      </c>
      <c r="B151" s="2" t="str">
        <f>"&lt;prefix&gt;_&lt;mm&gt;01&lt;yy&gt;_&lt;ar&gt;"&amp;A151</f>
        <v>&lt;prefix&gt;_&lt;mm&gt;01&lt;yy&gt;_&lt;ar&gt;Payment Report</v>
      </c>
      <c r="C151" s="31">
        <v>8</v>
      </c>
      <c r="D151" s="12">
        <v>10</v>
      </c>
    </row>
    <row r="152" spans="1:4" x14ac:dyDescent="0.25">
      <c r="A152" s="2" t="s">
        <v>32</v>
      </c>
      <c r="B152" s="2" t="str">
        <f>"&lt;prefix&gt;_&lt;mm&gt;01&lt;yy&gt;_&lt;ar&gt;"&amp;A152</f>
        <v>&lt;prefix&gt;_&lt;mm&gt;01&lt;yy&gt;_&lt;ar&gt;Factor Change Audit Report</v>
      </c>
      <c r="C152" s="31">
        <v>10</v>
      </c>
      <c r="D152" s="12">
        <v>12</v>
      </c>
    </row>
    <row r="153" spans="1:4" x14ac:dyDescent="0.25">
      <c r="A153" s="2" t="s">
        <v>39</v>
      </c>
      <c r="B153" s="2" t="str">
        <f>"&lt;prefix&gt;_&lt;mm&gt;01&lt;yy&gt;_&lt;ar&gt;"&amp;A153</f>
        <v>&lt;prefix&gt;_&lt;mm&gt;01&lt;yy&gt;_&lt;ar&gt;SOC Change Audit Report</v>
      </c>
      <c r="C153" s="31">
        <v>11</v>
      </c>
      <c r="D153" s="12">
        <v>14</v>
      </c>
    </row>
    <row r="154" spans="1:4" x14ac:dyDescent="0.25">
      <c r="A154" s="3" t="s">
        <v>34</v>
      </c>
      <c r="B154" s="3" t="s">
        <v>1094</v>
      </c>
      <c r="C154" s="3" t="s">
        <v>362</v>
      </c>
      <c r="D154" s="22">
        <v>13</v>
      </c>
    </row>
    <row r="155" spans="1:4" x14ac:dyDescent="0.25">
      <c r="A155" s="2" t="s">
        <v>16</v>
      </c>
      <c r="B155" s="2" t="str">
        <f>"&lt;prefix&gt;_&lt;mm&gt;01&lt;yy&gt;_&lt;ar&gt;"&amp;A155</f>
        <v>&lt;prefix&gt;_&lt;mm&gt;01&lt;yy&gt;_&lt;ar&gt;Bill Completion Check Report</v>
      </c>
      <c r="C155" s="2" t="s">
        <v>383</v>
      </c>
      <c r="D155" s="12">
        <v>15</v>
      </c>
    </row>
    <row r="156" spans="1:4" x14ac:dyDescent="0.25">
      <c r="A156" s="3" t="s">
        <v>13</v>
      </c>
      <c r="B156" s="3" t="s">
        <v>1095</v>
      </c>
      <c r="C156" s="3" t="s">
        <v>424</v>
      </c>
      <c r="D156" s="22">
        <v>17</v>
      </c>
    </row>
    <row r="157" spans="1:4" x14ac:dyDescent="0.25">
      <c r="A157" s="3" t="s">
        <v>102</v>
      </c>
      <c r="B157" s="3" t="s">
        <v>1096</v>
      </c>
      <c r="C157" s="3" t="s">
        <v>428</v>
      </c>
      <c r="D157" s="22">
        <v>18</v>
      </c>
    </row>
    <row r="158" spans="1:4" x14ac:dyDescent="0.25">
      <c r="A158" s="8" t="s">
        <v>49</v>
      </c>
      <c r="B158" s="8" t="s">
        <v>1097</v>
      </c>
      <c r="C158" s="8" t="s">
        <v>446</v>
      </c>
      <c r="D158" s="22">
        <v>20</v>
      </c>
    </row>
    <row r="159" spans="1:4" x14ac:dyDescent="0.25">
      <c r="A159" s="3" t="s">
        <v>127</v>
      </c>
      <c r="B159" s="3" t="s">
        <v>1098</v>
      </c>
      <c r="C159" s="3" t="s">
        <v>450</v>
      </c>
      <c r="D159" s="22">
        <v>21</v>
      </c>
    </row>
    <row r="160" spans="1:4" x14ac:dyDescent="0.25">
      <c r="A160" s="3" t="s">
        <v>86</v>
      </c>
      <c r="B160" s="3" t="s">
        <v>1099</v>
      </c>
      <c r="C160" s="3" t="s">
        <v>767</v>
      </c>
      <c r="D160" s="22">
        <v>22</v>
      </c>
    </row>
    <row r="161" spans="1:4" x14ac:dyDescent="0.25">
      <c r="A161" s="2" t="s">
        <v>12</v>
      </c>
      <c r="B161" s="2" t="str">
        <f>"&lt;prefix&gt;_&lt;mm&gt;01&lt;yy&gt;_&lt;ar&gt;"&amp;A161</f>
        <v>&lt;prefix&gt;_&lt;mm&gt;01&lt;yy&gt;_&lt;ar&gt;AUR History Stats Report</v>
      </c>
      <c r="C161" s="2" t="s">
        <v>216</v>
      </c>
      <c r="D161" s="12">
        <v>1</v>
      </c>
    </row>
    <row r="162" spans="1:4" x14ac:dyDescent="0.25">
      <c r="A162" s="3" t="s">
        <v>18</v>
      </c>
      <c r="B162" s="3" t="s">
        <v>1100</v>
      </c>
      <c r="C162" s="3" t="s">
        <v>231</v>
      </c>
      <c r="D162" s="22">
        <v>2</v>
      </c>
    </row>
    <row r="163" spans="1:4" x14ac:dyDescent="0.25">
      <c r="A163" s="3" t="s">
        <v>22</v>
      </c>
      <c r="B163" s="3" t="s">
        <v>1101</v>
      </c>
      <c r="C163" s="3" t="s">
        <v>238</v>
      </c>
      <c r="D163" s="22">
        <v>3</v>
      </c>
    </row>
    <row r="164" spans="1:4" x14ac:dyDescent="0.25">
      <c r="A164" s="2" t="s">
        <v>29</v>
      </c>
      <c r="B164" s="2" t="str">
        <f>"&lt;prefix&gt;_&lt;mm&gt;01&lt;yy&gt;_&lt;ar&gt;"&amp;A164</f>
        <v>&lt;prefix&gt;_&lt;mm&gt;01&lt;yy&gt;_&lt;ar&gt;Exception Analysis Report</v>
      </c>
      <c r="C164" s="2" t="s">
        <v>248</v>
      </c>
      <c r="D164" s="12">
        <v>4</v>
      </c>
    </row>
    <row r="165" spans="1:4" x14ac:dyDescent="0.25">
      <c r="A165" s="2" t="s">
        <v>47</v>
      </c>
      <c r="B165" s="2" t="str">
        <f>"&lt;prefix&gt;_&lt;mm&gt;01&lt;yy&gt;_&lt;ar&gt;"&amp;A165</f>
        <v>&lt;prefix&gt;_&lt;mm&gt;01&lt;yy&gt;_&lt;ar&gt;MOU Entries Error Report</v>
      </c>
      <c r="C165" s="2" t="s">
        <v>251</v>
      </c>
      <c r="D165" s="12">
        <v>5</v>
      </c>
    </row>
    <row r="166" spans="1:4" x14ac:dyDescent="0.25">
      <c r="A166" s="2" t="s">
        <v>27</v>
      </c>
      <c r="B166" s="2" t="str">
        <f>"&lt;prefix&gt;_&lt;mm&gt;01&lt;yy&gt;_&lt;ar&gt;"&amp;A166</f>
        <v>&lt;prefix&gt;_&lt;mm&gt;01&lt;yy&gt;_&lt;ar&gt;Duplicate File Processing Report</v>
      </c>
      <c r="C166" s="2" t="s">
        <v>266</v>
      </c>
      <c r="D166" s="12">
        <v>6</v>
      </c>
    </row>
    <row r="167" spans="1:4" x14ac:dyDescent="0.25">
      <c r="A167" s="2" t="s">
        <v>1011</v>
      </c>
      <c r="B167" s="2" t="str">
        <f>"&lt;prefix&gt;_&lt;mm&gt;01&lt;yy&gt;_&lt;ar&gt;"&amp;A167</f>
        <v xml:space="preserve">&lt;prefix&gt;_&lt;mm&gt;01&lt;yy&gt;_&lt;ar&gt;Usage Verify by Size Report </v>
      </c>
      <c r="C167" s="2" t="s">
        <v>272</v>
      </c>
      <c r="D167" s="12">
        <v>7</v>
      </c>
    </row>
    <row r="168" spans="1:4" x14ac:dyDescent="0.25">
      <c r="A168" s="2" t="s">
        <v>543</v>
      </c>
      <c r="B168" s="2" t="str">
        <f>"&lt;prefix&gt;_&lt;mm&gt;01&lt;yy&gt;_&lt;ar&gt;"&amp;A168</f>
        <v>&lt;prefix&gt;_&lt;mm&gt;01&lt;yy&gt;_&lt;ar&gt;Usage by Day Report</v>
      </c>
      <c r="C168" s="23" t="s">
        <v>1014</v>
      </c>
      <c r="D168" s="12">
        <v>8</v>
      </c>
    </row>
    <row r="169" spans="1:4" x14ac:dyDescent="0.25">
      <c r="A169" s="3" t="s">
        <v>43</v>
      </c>
      <c r="B169" s="3" t="s">
        <v>1102</v>
      </c>
      <c r="C169" s="3" t="s">
        <v>1060</v>
      </c>
      <c r="D169" s="22">
        <v>9</v>
      </c>
    </row>
    <row r="170" spans="1:4" x14ac:dyDescent="0.25">
      <c r="A170" s="2" t="s">
        <v>7</v>
      </c>
      <c r="B170" s="2" t="str">
        <f>"&lt;prefix&gt;_&lt;mm&gt;01&lt;yy&gt;_&lt;ar&gt;"&amp;A170</f>
        <v>&lt;prefix&gt;_&lt;mm&gt;01&lt;yy&gt;_&lt;ar&gt;Adjustments Not Posted Report</v>
      </c>
      <c r="C170" s="2" t="s">
        <v>336</v>
      </c>
      <c r="D170" s="12">
        <v>11</v>
      </c>
    </row>
    <row r="171" spans="1:4" x14ac:dyDescent="0.25">
      <c r="A171" s="6" t="s">
        <v>30</v>
      </c>
      <c r="B171" s="6" t="s">
        <v>1103</v>
      </c>
      <c r="C171" s="6"/>
      <c r="D171" s="22">
        <v>23</v>
      </c>
    </row>
    <row r="172" spans="1:4" x14ac:dyDescent="0.25">
      <c r="A172" s="6" t="s">
        <v>48</v>
      </c>
      <c r="B172" s="6" t="s">
        <v>1104</v>
      </c>
      <c r="C172" s="6"/>
      <c r="D172" s="22">
        <v>24</v>
      </c>
    </row>
    <row r="173" spans="1:4" x14ac:dyDescent="0.25">
      <c r="A173" s="6" t="s">
        <v>82</v>
      </c>
      <c r="B173" s="6" t="s">
        <v>1105</v>
      </c>
      <c r="C173" s="6"/>
      <c r="D173" s="22">
        <v>25</v>
      </c>
    </row>
    <row r="174" spans="1:4" x14ac:dyDescent="0.25">
      <c r="A174" s="6" t="s">
        <v>97</v>
      </c>
      <c r="B174" s="6" t="s">
        <v>1106</v>
      </c>
      <c r="C174" s="6"/>
      <c r="D174" s="22">
        <v>26</v>
      </c>
    </row>
    <row r="175" spans="1:4" x14ac:dyDescent="0.25">
      <c r="A175" s="6" t="s">
        <v>51</v>
      </c>
      <c r="B175" s="6" t="s">
        <v>1107</v>
      </c>
      <c r="C175" s="6"/>
      <c r="D175" s="22">
        <v>27</v>
      </c>
    </row>
    <row r="176" spans="1:4" x14ac:dyDescent="0.25">
      <c r="A176" s="6" t="s">
        <v>113</v>
      </c>
      <c r="B176" s="6" t="s">
        <v>1108</v>
      </c>
      <c r="C176" s="6"/>
      <c r="D176" s="22">
        <v>28</v>
      </c>
    </row>
    <row r="177" spans="1:4" x14ac:dyDescent="0.25">
      <c r="A177" s="6" t="s">
        <v>98</v>
      </c>
      <c r="B177" s="6" t="str">
        <f>"&lt;prefix&gt;_&lt;mm&gt;01&lt;yy&gt;_&lt;ar&gt;"&amp;A177</f>
        <v>&lt;prefix&gt;_&lt;mm&gt;01&lt;yy&gt;_&lt;ar&gt;MSG MOU REV with LPC</v>
      </c>
      <c r="D177" s="12"/>
    </row>
    <row r="178" spans="1:4" x14ac:dyDescent="0.25">
      <c r="A178" s="5" t="s">
        <v>122</v>
      </c>
      <c r="B178" s="5" t="str">
        <f>"&lt;prefix&gt;_&lt;mm&gt;01&lt;yy&gt;_&lt;ar&gt;"&amp;A178</f>
        <v>&lt;prefix&gt;_&lt;mm&gt;01&lt;yy&gt;_&lt;ar&gt;Switched BANS Trending Report</v>
      </c>
      <c r="C178" s="5"/>
      <c r="D178" s="12">
        <v>16</v>
      </c>
    </row>
    <row r="179" spans="1:4" x14ac:dyDescent="0.25">
      <c r="A179" s="3" t="s">
        <v>23</v>
      </c>
      <c r="B179" s="3" t="s">
        <v>1109</v>
      </c>
      <c r="C179" s="3"/>
      <c r="D179" s="22">
        <v>19</v>
      </c>
    </row>
    <row r="180" spans="1:4" x14ac:dyDescent="0.25">
      <c r="A180" t="s">
        <v>109</v>
      </c>
      <c r="B180" s="11" t="s">
        <v>1110</v>
      </c>
      <c r="C180" s="18">
        <v>8</v>
      </c>
    </row>
    <row r="181" spans="1:4" x14ac:dyDescent="0.25">
      <c r="A181" t="s">
        <v>32</v>
      </c>
      <c r="B181" t="s">
        <v>1111</v>
      </c>
      <c r="C181" s="18">
        <v>10</v>
      </c>
    </row>
    <row r="182" spans="1:4" x14ac:dyDescent="0.25">
      <c r="A182" t="s">
        <v>39</v>
      </c>
      <c r="B182" t="s">
        <v>1112</v>
      </c>
      <c r="C182" s="18">
        <v>11</v>
      </c>
    </row>
    <row r="183" spans="1:4" x14ac:dyDescent="0.25">
      <c r="A183" t="s">
        <v>16</v>
      </c>
      <c r="B183" t="s">
        <v>1113</v>
      </c>
      <c r="C183" t="s">
        <v>383</v>
      </c>
    </row>
    <row r="184" spans="1:4" x14ac:dyDescent="0.25">
      <c r="A184" t="s">
        <v>69</v>
      </c>
      <c r="B184" t="s">
        <v>1114</v>
      </c>
      <c r="C184" t="s">
        <v>385</v>
      </c>
    </row>
    <row r="185" spans="1:4" x14ac:dyDescent="0.25">
      <c r="A185" t="s">
        <v>17</v>
      </c>
      <c r="B185" s="11" t="s">
        <v>1115</v>
      </c>
      <c r="C185" t="s">
        <v>424</v>
      </c>
    </row>
    <row r="186" spans="1:4" x14ac:dyDescent="0.25">
      <c r="A186" t="s">
        <v>106</v>
      </c>
      <c r="B186" s="11" t="s">
        <v>1116</v>
      </c>
      <c r="C186" t="s">
        <v>428</v>
      </c>
    </row>
    <row r="187" spans="1:4" x14ac:dyDescent="0.25">
      <c r="A187" t="s">
        <v>86</v>
      </c>
      <c r="B187" s="11" t="s">
        <v>1117</v>
      </c>
      <c r="C187" t="s">
        <v>767</v>
      </c>
    </row>
    <row r="188" spans="1:4" x14ac:dyDescent="0.25">
      <c r="A188" t="s">
        <v>7</v>
      </c>
      <c r="B188" t="s">
        <v>1118</v>
      </c>
      <c r="C188" t="s">
        <v>336</v>
      </c>
    </row>
    <row r="189" spans="1:4" x14ac:dyDescent="0.25">
      <c r="A189" t="s">
        <v>26</v>
      </c>
      <c r="B189" s="7" t="s">
        <v>1119</v>
      </c>
      <c r="C189" s="7"/>
    </row>
    <row r="190" spans="1:4" x14ac:dyDescent="0.25">
      <c r="A190" t="s">
        <v>70</v>
      </c>
      <c r="B190" s="7" t="s">
        <v>1120</v>
      </c>
      <c r="C190" s="7"/>
    </row>
    <row r="191" spans="1:4" x14ac:dyDescent="0.25">
      <c r="A191" t="s">
        <v>71</v>
      </c>
      <c r="B191" s="7" t="s">
        <v>1121</v>
      </c>
      <c r="C191" s="7"/>
    </row>
    <row r="192" spans="1:4" x14ac:dyDescent="0.25">
      <c r="A192" t="s">
        <v>97</v>
      </c>
      <c r="B192" s="7" t="s">
        <v>1122</v>
      </c>
      <c r="C192" s="7"/>
    </row>
    <row r="193" spans="1:3" x14ac:dyDescent="0.25">
      <c r="A193" t="s">
        <v>113</v>
      </c>
      <c r="B193" s="7" t="s">
        <v>1123</v>
      </c>
      <c r="C193" s="7"/>
    </row>
    <row r="194" spans="1:3" x14ac:dyDescent="0.25">
      <c r="A194" t="s">
        <v>129</v>
      </c>
      <c r="B194" s="7" t="s">
        <v>1124</v>
      </c>
      <c r="C194" s="7"/>
    </row>
    <row r="195" spans="1:3" x14ac:dyDescent="0.25">
      <c r="A195" t="s">
        <v>6</v>
      </c>
      <c r="B195" s="7" t="str">
        <f>"Combined_&lt;prefix&gt;_&lt;mm&gt;&lt;cy&gt;&lt;yy&gt;_&lt;ar&gt;"&amp;A195</f>
        <v>Combined_&lt;prefix&gt;_&lt;mm&gt;&lt;cy&gt;&lt;yy&gt;_&lt;ar&gt;Accounting Detailed Report</v>
      </c>
    </row>
    <row r="196" spans="1:3" x14ac:dyDescent="0.25">
      <c r="A196" t="s">
        <v>8</v>
      </c>
      <c r="B196" s="7" t="str">
        <f>"Combined_&lt;prefix&gt;_&lt;mm&gt;&lt;cy&gt;&lt;yy&gt;_&lt;ar&gt;"&amp;A196</f>
        <v>Combined_&lt;prefix&gt;_&lt;mm&gt;&lt;cy&gt;&lt;yy&gt;_&lt;ar&gt;Accounting Report</v>
      </c>
    </row>
    <row r="197" spans="1:3" x14ac:dyDescent="0.25">
      <c r="A197" t="s">
        <v>55</v>
      </c>
      <c r="B197" s="7" t="s">
        <v>1125</v>
      </c>
    </row>
    <row r="198" spans="1:3" x14ac:dyDescent="0.25">
      <c r="A198" t="s">
        <v>109</v>
      </c>
      <c r="B198" s="11" t="s">
        <v>1126</v>
      </c>
      <c r="C198" s="18">
        <v>8</v>
      </c>
    </row>
    <row r="199" spans="1:3" x14ac:dyDescent="0.25">
      <c r="A199" t="s">
        <v>32</v>
      </c>
      <c r="B199" t="str">
        <f>"Combined_&lt;mm&gt;&lt;yy&gt;_&lt;ar&gt;"&amp;A199</f>
        <v>Combined_&lt;mm&gt;&lt;yy&gt;_&lt;ar&gt;Factor Change Audit Report</v>
      </c>
      <c r="C199" s="18">
        <v>10</v>
      </c>
    </row>
    <row r="200" spans="1:3" x14ac:dyDescent="0.25">
      <c r="A200" t="s">
        <v>39</v>
      </c>
      <c r="B200" t="str">
        <f>"Combined_&lt;mm&gt;&lt;yy&gt;_&lt;ar&gt;"&amp;A200</f>
        <v>Combined_&lt;mm&gt;&lt;yy&gt;_&lt;ar&gt;SOC Change Audit Report</v>
      </c>
      <c r="C200" s="18">
        <v>11</v>
      </c>
    </row>
    <row r="201" spans="1:3" x14ac:dyDescent="0.25">
      <c r="A201" t="s">
        <v>34</v>
      </c>
      <c r="B201" t="s">
        <v>1127</v>
      </c>
      <c r="C201" t="s">
        <v>362</v>
      </c>
    </row>
    <row r="202" spans="1:3" x14ac:dyDescent="0.25">
      <c r="A202" t="s">
        <v>16</v>
      </c>
      <c r="B202" t="s">
        <v>1128</v>
      </c>
      <c r="C202" t="s">
        <v>383</v>
      </c>
    </row>
    <row r="203" spans="1:3" x14ac:dyDescent="0.25">
      <c r="A203" t="s">
        <v>125</v>
      </c>
      <c r="B203" t="s">
        <v>1129</v>
      </c>
      <c r="C203" t="s">
        <v>385</v>
      </c>
    </row>
    <row r="204" spans="1:3" x14ac:dyDescent="0.25">
      <c r="A204" t="s">
        <v>17</v>
      </c>
      <c r="B204" s="11" t="s">
        <v>1130</v>
      </c>
      <c r="C204" t="s">
        <v>424</v>
      </c>
    </row>
    <row r="205" spans="1:3" x14ac:dyDescent="0.25">
      <c r="A205" t="s">
        <v>106</v>
      </c>
      <c r="B205" s="11" t="s">
        <v>1131</v>
      </c>
      <c r="C205" t="s">
        <v>428</v>
      </c>
    </row>
    <row r="206" spans="1:3" x14ac:dyDescent="0.25">
      <c r="A206" t="s">
        <v>33</v>
      </c>
      <c r="B206" s="33" t="s">
        <v>1132</v>
      </c>
      <c r="C206" s="34" t="s">
        <v>583</v>
      </c>
    </row>
    <row r="207" spans="1:3" x14ac:dyDescent="0.25">
      <c r="A207" t="s">
        <v>86</v>
      </c>
      <c r="B207" s="11" t="s">
        <v>1133</v>
      </c>
      <c r="C207" t="s">
        <v>767</v>
      </c>
    </row>
    <row r="208" spans="1:3" x14ac:dyDescent="0.25">
      <c r="A208" t="s">
        <v>12</v>
      </c>
      <c r="B208" t="str">
        <f>"Combined_&lt;mm&gt;&lt;yy&gt;_&lt;ar&gt;"&amp;A208</f>
        <v>Combined_&lt;mm&gt;&lt;yy&gt;_&lt;ar&gt;AUR History Stats Report</v>
      </c>
      <c r="C208" t="s">
        <v>216</v>
      </c>
    </row>
    <row r="209" spans="1:3" x14ac:dyDescent="0.25">
      <c r="A209" t="s">
        <v>18</v>
      </c>
      <c r="B209" s="11" t="s">
        <v>1134</v>
      </c>
      <c r="C209" t="s">
        <v>231</v>
      </c>
    </row>
    <row r="210" spans="1:3" x14ac:dyDescent="0.25">
      <c r="A210" t="s">
        <v>22</v>
      </c>
      <c r="B210" s="11" t="s">
        <v>1135</v>
      </c>
      <c r="C210" t="s">
        <v>1136</v>
      </c>
    </row>
    <row r="211" spans="1:3" x14ac:dyDescent="0.25">
      <c r="A211" t="s">
        <v>29</v>
      </c>
      <c r="B211" t="s">
        <v>1137</v>
      </c>
      <c r="C211" t="s">
        <v>248</v>
      </c>
    </row>
    <row r="212" spans="1:3" x14ac:dyDescent="0.25">
      <c r="A212" t="s">
        <v>47</v>
      </c>
      <c r="B212" t="s">
        <v>1138</v>
      </c>
      <c r="C212" t="s">
        <v>251</v>
      </c>
    </row>
    <row r="213" spans="1:3" x14ac:dyDescent="0.25">
      <c r="A213" t="s">
        <v>27</v>
      </c>
      <c r="B213" t="s">
        <v>1139</v>
      </c>
      <c r="C213" t="s">
        <v>266</v>
      </c>
    </row>
    <row r="214" spans="1:3" x14ac:dyDescent="0.25">
      <c r="A214" t="s">
        <v>1011</v>
      </c>
      <c r="B214" t="s">
        <v>1140</v>
      </c>
      <c r="C214" t="s">
        <v>272</v>
      </c>
    </row>
    <row r="215" spans="1:3" x14ac:dyDescent="0.25">
      <c r="A215" t="s">
        <v>138</v>
      </c>
      <c r="B215" s="11" t="s">
        <v>1141</v>
      </c>
      <c r="C215" t="s">
        <v>1142</v>
      </c>
    </row>
    <row r="216" spans="1:3" x14ac:dyDescent="0.25">
      <c r="A216" t="s">
        <v>43</v>
      </c>
      <c r="B216" t="str">
        <f>"Combined_&lt;mm&gt;&lt;yy&gt;_&lt;ar&gt;"&amp;A216</f>
        <v>Combined_&lt;mm&gt;&lt;yy&gt;_&lt;ar&gt;Usage Balancing - Company, Ban Totals</v>
      </c>
      <c r="C216" t="s">
        <v>1039</v>
      </c>
    </row>
    <row r="217" spans="1:3" x14ac:dyDescent="0.25">
      <c r="A217" t="s">
        <v>7</v>
      </c>
      <c r="B217" t="str">
        <f>"Combined_&lt;mm&gt;&lt;yy&gt;_&lt;ar&gt;"&amp;A217</f>
        <v>Combined_&lt;mm&gt;&lt;yy&gt;_&lt;ar&gt;Adjustments Not Posted Report</v>
      </c>
      <c r="C217" t="s">
        <v>336</v>
      </c>
    </row>
    <row r="218" spans="1:3" x14ac:dyDescent="0.25">
      <c r="A218" t="s">
        <v>26</v>
      </c>
      <c r="B218" s="7" t="str">
        <f t="shared" ref="B218:B225" si="5">"Combined_&lt;prefix&gt;_&lt;mm&gt;&lt;cy&gt;&lt;yy&gt;_&lt;ar&gt;"&amp;A218</f>
        <v>Combined_&lt;prefix&gt;_&lt;mm&gt;&lt;cy&gt;&lt;yy&gt;_&lt;ar&gt;Aged Trial Balance for Export - New</v>
      </c>
      <c r="C218" s="7"/>
    </row>
    <row r="219" spans="1:3" x14ac:dyDescent="0.25">
      <c r="A219" t="s">
        <v>49</v>
      </c>
      <c r="B219" s="7" t="str">
        <f t="shared" si="5"/>
        <v>Combined_&lt;prefix&gt;_&lt;mm&gt;&lt;cy&gt;&lt;yy&gt;_&lt;ar&gt;Billed Msg MOU Rev by BAN by EMR Jurisdiction</v>
      </c>
      <c r="C219" s="7"/>
    </row>
    <row r="220" spans="1:3" x14ac:dyDescent="0.25">
      <c r="A220" t="s">
        <v>51</v>
      </c>
      <c r="B220" s="7" t="str">
        <f t="shared" si="5"/>
        <v>Combined_&lt;prefix&gt;_&lt;mm&gt;&lt;cy&gt;&lt;yy&gt;_&lt;ar&gt;Billed Msg MOU Rev by CLLI by EMR Jurisdiction</v>
      </c>
      <c r="C220" s="7"/>
    </row>
    <row r="221" spans="1:3" x14ac:dyDescent="0.25">
      <c r="A221" t="s">
        <v>70</v>
      </c>
      <c r="B221" s="7" t="str">
        <f t="shared" si="5"/>
        <v>Combined_&lt;prefix&gt;_&lt;mm&gt;&lt;cy&gt;&lt;yy&gt;_&lt;ar&gt;FA Charges Summary</v>
      </c>
      <c r="C221" s="7"/>
    </row>
    <row r="222" spans="1:3" x14ac:dyDescent="0.25">
      <c r="A222" t="s">
        <v>71</v>
      </c>
      <c r="B222" s="7" t="str">
        <f t="shared" si="5"/>
        <v>Combined_&lt;prefix&gt;_&lt;mm&gt;&lt;cy&gt;&lt;yy&gt;_&lt;ar&gt;FA Circuit Charges by CIC by CLLI</v>
      </c>
      <c r="C222" s="7"/>
    </row>
    <row r="223" spans="1:3" x14ac:dyDescent="0.25">
      <c r="A223" t="s">
        <v>97</v>
      </c>
      <c r="B223" s="7" t="str">
        <f t="shared" si="5"/>
        <v>Combined_&lt;prefix&gt;_&lt;mm&gt;&lt;cy&gt;&lt;yy&gt;_&lt;ar&gt;MSG MOU REV Export - New</v>
      </c>
      <c r="C223" s="7"/>
    </row>
    <row r="224" spans="1:3" x14ac:dyDescent="0.25">
      <c r="A224" t="s">
        <v>113</v>
      </c>
      <c r="B224" s="7" t="str">
        <f t="shared" si="5"/>
        <v>Combined_&lt;prefix&gt;_&lt;mm&gt;&lt;cy&gt;&lt;yy&gt;_&lt;ar&gt;Revenue Analysis - New</v>
      </c>
      <c r="C224" s="7"/>
    </row>
    <row r="225" spans="1:3" x14ac:dyDescent="0.25">
      <c r="A225" t="s">
        <v>129</v>
      </c>
      <c r="B225" s="7" t="str">
        <f t="shared" si="5"/>
        <v>Combined_&lt;prefix&gt;_&lt;mm&gt;&lt;cy&gt;&lt;yy&gt;_&lt;ar&gt;Transaction Summary Report - New</v>
      </c>
      <c r="C225" s="7"/>
    </row>
    <row r="226" spans="1:3" x14ac:dyDescent="0.25">
      <c r="A226" t="s">
        <v>48</v>
      </c>
      <c r="B226" s="33" t="s">
        <v>1143</v>
      </c>
      <c r="C226" s="34"/>
    </row>
    <row r="227" spans="1:3" x14ac:dyDescent="0.25">
      <c r="A227" t="s">
        <v>109</v>
      </c>
      <c r="B227" t="s">
        <v>1144</v>
      </c>
      <c r="C227" s="18">
        <v>8</v>
      </c>
    </row>
    <row r="228" spans="1:3" x14ac:dyDescent="0.25">
      <c r="A228" t="s">
        <v>32</v>
      </c>
      <c r="B228" t="str">
        <f>"&lt;prefix&gt;_&lt;mm&gt;01&lt;yy&gt;_&lt;ar&gt;"&amp;A228</f>
        <v>&lt;prefix&gt;_&lt;mm&gt;01&lt;yy&gt;_&lt;ar&gt;Factor Change Audit Report</v>
      </c>
      <c r="C228" s="18">
        <v>10</v>
      </c>
    </row>
    <row r="229" spans="1:3" x14ac:dyDescent="0.25">
      <c r="A229" t="s">
        <v>39</v>
      </c>
      <c r="B229" t="str">
        <f>"&lt;prefix&gt;_&lt;mm&gt;01&lt;yy&gt;_&lt;ar&gt;"&amp;A229</f>
        <v>&lt;prefix&gt;_&lt;mm&gt;01&lt;yy&gt;_&lt;ar&gt;SOC Change Audit Report</v>
      </c>
      <c r="C229" s="18">
        <v>11</v>
      </c>
    </row>
    <row r="230" spans="1:3" x14ac:dyDescent="0.25">
      <c r="A230" t="s">
        <v>34</v>
      </c>
      <c r="B230" t="str">
        <f>"&lt;prefix&gt;_&lt;mm&gt;01&lt;yy&gt;_&lt;ar&gt;"&amp;A230</f>
        <v>&lt;prefix&gt;_&lt;mm&gt;01&lt;yy&gt;_&lt;ar&gt;Factor Check Report with PVU</v>
      </c>
      <c r="C230" t="s">
        <v>362</v>
      </c>
    </row>
    <row r="231" spans="1:3" x14ac:dyDescent="0.25">
      <c r="A231" t="s">
        <v>16</v>
      </c>
      <c r="B231" t="str">
        <f>"&lt;prefix&gt;_&lt;mm&gt;01&lt;yy&gt;_&lt;ar&gt;"&amp;A231</f>
        <v>&lt;prefix&gt;_&lt;mm&gt;01&lt;yy&gt;_&lt;ar&gt;Bill Completion Check Report</v>
      </c>
      <c r="C231" t="s">
        <v>383</v>
      </c>
    </row>
    <row r="232" spans="1:3" x14ac:dyDescent="0.25">
      <c r="A232" t="s">
        <v>122</v>
      </c>
      <c r="B232" t="str">
        <f>"&lt;prefix&gt;_&lt;mm&gt;01&lt;yy&gt;_&lt;ar&gt;"&amp;A232</f>
        <v>&lt;prefix&gt;_&lt;mm&gt;01&lt;yy&gt;_&lt;ar&gt;Switched BANS Trending Report</v>
      </c>
      <c r="C232" t="s">
        <v>385</v>
      </c>
    </row>
    <row r="233" spans="1:3" x14ac:dyDescent="0.25">
      <c r="A233" t="s">
        <v>17</v>
      </c>
      <c r="B233" s="11" t="s">
        <v>1095</v>
      </c>
      <c r="C233" t="s">
        <v>424</v>
      </c>
    </row>
    <row r="234" spans="1:3" x14ac:dyDescent="0.25">
      <c r="A234" t="s">
        <v>102</v>
      </c>
      <c r="B234" s="11" t="s">
        <v>1096</v>
      </c>
      <c r="C234" t="s">
        <v>428</v>
      </c>
    </row>
    <row r="235" spans="1:3" x14ac:dyDescent="0.25">
      <c r="A235" t="s">
        <v>26</v>
      </c>
      <c r="B235" s="11" t="s">
        <v>1145</v>
      </c>
      <c r="C235" t="s">
        <v>443</v>
      </c>
    </row>
    <row r="236" spans="1:3" x14ac:dyDescent="0.25">
      <c r="A236" t="s">
        <v>49</v>
      </c>
      <c r="B236" s="7" t="s">
        <v>1097</v>
      </c>
      <c r="C236" s="7" t="s">
        <v>446</v>
      </c>
    </row>
    <row r="237" spans="1:3" x14ac:dyDescent="0.25">
      <c r="A237" t="s">
        <v>127</v>
      </c>
      <c r="B237" t="s">
        <v>1098</v>
      </c>
      <c r="C237" t="s">
        <v>450</v>
      </c>
    </row>
    <row r="238" spans="1:3" x14ac:dyDescent="0.25">
      <c r="A238" t="s">
        <v>86</v>
      </c>
      <c r="B238" t="s">
        <v>1099</v>
      </c>
      <c r="C238" t="s">
        <v>767</v>
      </c>
    </row>
    <row r="239" spans="1:3" x14ac:dyDescent="0.25">
      <c r="A239" t="s">
        <v>12</v>
      </c>
      <c r="B239" t="str">
        <f>"&lt;prefix&gt;_&lt;mm&gt;01&lt;yy&gt;_&lt;ar&gt;"&amp;A239</f>
        <v>&lt;prefix&gt;_&lt;mm&gt;01&lt;yy&gt;_&lt;ar&gt;AUR History Stats Report</v>
      </c>
      <c r="C239" t="s">
        <v>216</v>
      </c>
    </row>
    <row r="240" spans="1:3" x14ac:dyDescent="0.25">
      <c r="A240" t="s">
        <v>20</v>
      </c>
      <c r="B240" t="s">
        <v>1100</v>
      </c>
      <c r="C240" t="s">
        <v>231</v>
      </c>
    </row>
    <row r="241" spans="1:3" x14ac:dyDescent="0.25">
      <c r="A241" t="s">
        <v>22</v>
      </c>
      <c r="B241" t="s">
        <v>1101</v>
      </c>
      <c r="C241" t="s">
        <v>238</v>
      </c>
    </row>
    <row r="242" spans="1:3" x14ac:dyDescent="0.25">
      <c r="A242" t="s">
        <v>29</v>
      </c>
      <c r="B242" t="str">
        <f>"&lt;prefix&gt;_&lt;mm&gt;01&lt;yy&gt;_&lt;ar&gt;"&amp;A242</f>
        <v>&lt;prefix&gt;_&lt;mm&gt;01&lt;yy&gt;_&lt;ar&gt;Exception Analysis Report</v>
      </c>
      <c r="C242" t="s">
        <v>248</v>
      </c>
    </row>
    <row r="243" spans="1:3" x14ac:dyDescent="0.25">
      <c r="A243" t="s">
        <v>47</v>
      </c>
      <c r="B243" t="str">
        <f>"&lt;prefix&gt;_&lt;mm&gt;01&lt;yy&gt;_&lt;ar&gt;"&amp;A243</f>
        <v>&lt;prefix&gt;_&lt;mm&gt;01&lt;yy&gt;_&lt;ar&gt;MOU Entries Error Report</v>
      </c>
      <c r="C243" t="s">
        <v>251</v>
      </c>
    </row>
    <row r="244" spans="1:3" x14ac:dyDescent="0.25">
      <c r="A244" t="s">
        <v>27</v>
      </c>
      <c r="B244" t="str">
        <f>"&lt;prefix&gt;_&lt;mm&gt;01&lt;yy&gt;_&lt;ar&gt;"&amp;A244</f>
        <v>&lt;prefix&gt;_&lt;mm&gt;01&lt;yy&gt;_&lt;ar&gt;Duplicate File Processing Report</v>
      </c>
      <c r="C244" t="s">
        <v>266</v>
      </c>
    </row>
    <row r="245" spans="1:3" x14ac:dyDescent="0.25">
      <c r="A245" t="s">
        <v>1011</v>
      </c>
      <c r="B245" t="str">
        <f>"&lt;prefix&gt;_&lt;mm&gt;01&lt;yy&gt;_&lt;ar&gt;"&amp;A245</f>
        <v xml:space="preserve">&lt;prefix&gt;_&lt;mm&gt;01&lt;yy&gt;_&lt;ar&gt;Usage Verify by Size Report </v>
      </c>
      <c r="C245" t="s">
        <v>272</v>
      </c>
    </row>
    <row r="246" spans="1:3" x14ac:dyDescent="0.25">
      <c r="A246" t="s">
        <v>138</v>
      </c>
      <c r="B246" t="s">
        <v>1146</v>
      </c>
      <c r="C246" t="s">
        <v>1014</v>
      </c>
    </row>
    <row r="247" spans="1:3" x14ac:dyDescent="0.25">
      <c r="A247" t="s">
        <v>43</v>
      </c>
      <c r="B247" t="s">
        <v>1102</v>
      </c>
      <c r="C247" t="s">
        <v>1060</v>
      </c>
    </row>
    <row r="248" spans="1:3" x14ac:dyDescent="0.25">
      <c r="A248" t="s">
        <v>7</v>
      </c>
      <c r="B248" t="str">
        <f>"&lt;prefix&gt;_&lt;mm&gt;01&lt;yy&gt;_&lt;ar&gt;"&amp;A248</f>
        <v>&lt;prefix&gt;_&lt;mm&gt;01&lt;yy&gt;_&lt;ar&gt;Adjustments Not Posted Report</v>
      </c>
      <c r="C248" t="s">
        <v>336</v>
      </c>
    </row>
    <row r="249" spans="1:3" x14ac:dyDescent="0.25">
      <c r="A249" t="s">
        <v>97</v>
      </c>
      <c r="B249" s="7" t="s">
        <v>1106</v>
      </c>
    </row>
    <row r="250" spans="1:3" x14ac:dyDescent="0.25">
      <c r="A250" t="s">
        <v>30</v>
      </c>
      <c r="B250" s="7" t="s">
        <v>1147</v>
      </c>
      <c r="C250" s="7"/>
    </row>
    <row r="251" spans="1:3" x14ac:dyDescent="0.25">
      <c r="A251" t="s">
        <v>23</v>
      </c>
      <c r="B251" s="7" t="s">
        <v>1109</v>
      </c>
      <c r="C251" s="7"/>
    </row>
    <row r="252" spans="1:3" x14ac:dyDescent="0.25">
      <c r="A252" t="s">
        <v>48</v>
      </c>
      <c r="B252" s="7" t="s">
        <v>1104</v>
      </c>
      <c r="C252" s="7"/>
    </row>
    <row r="253" spans="1:3" x14ac:dyDescent="0.25">
      <c r="A253" t="s">
        <v>51</v>
      </c>
      <c r="B253" s="7" t="s">
        <v>1107</v>
      </c>
      <c r="C253" s="7"/>
    </row>
    <row r="254" spans="1:3" x14ac:dyDescent="0.25">
      <c r="A254" t="s">
        <v>82</v>
      </c>
      <c r="B254" s="7" t="s">
        <v>1105</v>
      </c>
      <c r="C254" s="7"/>
    </row>
    <row r="255" spans="1:3" x14ac:dyDescent="0.25">
      <c r="A255" t="s">
        <v>113</v>
      </c>
      <c r="B255" s="7" t="s">
        <v>1108</v>
      </c>
      <c r="C255" s="7"/>
    </row>
    <row r="256" spans="1:3" x14ac:dyDescent="0.25">
      <c r="A256" t="s">
        <v>98</v>
      </c>
      <c r="B256" s="7" t="str">
        <f>"&lt;prefix&gt;_&lt;mm&gt;01&lt;yy&gt;_&lt;ar&gt;"&amp;A256</f>
        <v>&lt;prefix&gt;_&lt;mm&gt;01&lt;yy&gt;_&lt;ar&gt;MSG MOU REV with LPC</v>
      </c>
    </row>
    <row r="257" spans="1:4" x14ac:dyDescent="0.25">
      <c r="A257" s="2" t="s">
        <v>12</v>
      </c>
      <c r="B257" s="2" t="str">
        <f>"&lt;prefix&gt;_&lt;mm&gt;-05-&lt;yy&gt;_&lt;ar&gt;"&amp;A257</f>
        <v>&lt;prefix&gt;_&lt;mm&gt;-05-&lt;yy&gt;_&lt;ar&gt;AUR History Stats Report</v>
      </c>
      <c r="C257" s="2" t="s">
        <v>1148</v>
      </c>
      <c r="D257" s="12">
        <v>1</v>
      </c>
    </row>
    <row r="258" spans="1:4" x14ac:dyDescent="0.25">
      <c r="A258" s="13" t="s">
        <v>20</v>
      </c>
      <c r="B258" s="13" t="s">
        <v>1149</v>
      </c>
      <c r="C258" s="13" t="s">
        <v>1150</v>
      </c>
      <c r="D258" s="22">
        <v>2</v>
      </c>
    </row>
    <row r="259" spans="1:4" x14ac:dyDescent="0.25">
      <c r="A259" s="14" t="s">
        <v>22</v>
      </c>
      <c r="B259" s="14" t="str">
        <f>"&lt;prefix&gt;_&lt;mm&gt;-05-&lt;yy&gt;_&lt;ar&gt;"&amp;A259</f>
        <v>&lt;prefix&gt;_&lt;mm&gt;-05-&lt;yy&gt;_&lt;ar&gt;Detailed CLLI Error Report</v>
      </c>
      <c r="C259" s="14" t="s">
        <v>1151</v>
      </c>
      <c r="D259" s="12">
        <v>3</v>
      </c>
    </row>
    <row r="260" spans="1:4" x14ac:dyDescent="0.25">
      <c r="A260" s="2" t="s">
        <v>29</v>
      </c>
      <c r="B260" s="2" t="str">
        <f>"&lt;prefix&gt;_&lt;mm&gt;-05-&lt;yy&gt;_&lt;ar&gt;"&amp;A260</f>
        <v>&lt;prefix&gt;_&lt;mm&gt;-05-&lt;yy&gt;_&lt;ar&gt;Exception Analysis Report</v>
      </c>
      <c r="C260" s="2" t="s">
        <v>1152</v>
      </c>
      <c r="D260" s="12">
        <v>4</v>
      </c>
    </row>
    <row r="261" spans="1:4" x14ac:dyDescent="0.25">
      <c r="A261" s="3" t="s">
        <v>47</v>
      </c>
      <c r="B261" s="3" t="s">
        <v>1153</v>
      </c>
      <c r="C261" s="3" t="s">
        <v>1154</v>
      </c>
      <c r="D261" s="22">
        <v>5</v>
      </c>
    </row>
    <row r="262" spans="1:4" x14ac:dyDescent="0.25">
      <c r="A262" s="2" t="s">
        <v>27</v>
      </c>
      <c r="B262" s="2" t="str">
        <f>"&lt;prefix&gt;_&lt;mm&gt;-05-&lt;yy&gt;_&lt;ar&gt;"&amp;A262</f>
        <v>&lt;prefix&gt;_&lt;mm&gt;-05-&lt;yy&gt;_&lt;ar&gt;Duplicate File Processing Report</v>
      </c>
      <c r="C262" s="2" t="s">
        <v>1155</v>
      </c>
      <c r="D262" s="12">
        <v>6</v>
      </c>
    </row>
    <row r="263" spans="1:4" x14ac:dyDescent="0.25">
      <c r="A263" s="2" t="s">
        <v>45</v>
      </c>
      <c r="B263" s="2" t="str">
        <f>"&lt;prefix&gt;_&lt;mm&gt;-05-&lt;yy&gt;_&lt;ar&gt;"&amp;A263</f>
        <v>&lt;prefix&gt;_&lt;mm&gt;-05-&lt;yy&gt;_&lt;ar&gt;Usage Verify by Size Report</v>
      </c>
      <c r="C263" s="2" t="s">
        <v>1156</v>
      </c>
      <c r="D263" s="12">
        <v>7</v>
      </c>
    </row>
    <row r="264" spans="1:4" x14ac:dyDescent="0.25">
      <c r="A264" s="2" t="s">
        <v>543</v>
      </c>
      <c r="B264" s="2" t="str">
        <f>"&lt;prefix&gt;_&lt;mm&gt;-05-&lt;yy&gt;_&lt;ar&gt;"&amp;A264</f>
        <v>&lt;prefix&gt;_&lt;mm&gt;-05-&lt;yy&gt;_&lt;ar&gt;Usage by Day Report</v>
      </c>
      <c r="C264" s="23" t="s">
        <v>1157</v>
      </c>
      <c r="D264" s="12">
        <v>8</v>
      </c>
    </row>
    <row r="265" spans="1:4" x14ac:dyDescent="0.25">
      <c r="A265" s="3" t="s">
        <v>43</v>
      </c>
      <c r="B265" s="3" t="s">
        <v>1158</v>
      </c>
      <c r="C265" s="3" t="s">
        <v>1159</v>
      </c>
      <c r="D265" s="22">
        <v>9</v>
      </c>
    </row>
    <row r="266" spans="1:4" x14ac:dyDescent="0.25">
      <c r="A266" s="3" t="s">
        <v>107</v>
      </c>
      <c r="B266" s="3" t="s">
        <v>1160</v>
      </c>
      <c r="C266" s="35" t="s">
        <v>1161</v>
      </c>
      <c r="D266" s="22">
        <v>10</v>
      </c>
    </row>
    <row r="267" spans="1:4" x14ac:dyDescent="0.25">
      <c r="A267" s="2" t="s">
        <v>32</v>
      </c>
      <c r="B267" s="2" t="str">
        <f>"&lt;prefix&gt;_&lt;mm&gt;-05-&lt;yy&gt;_&lt;ar&gt;"&amp;A267</f>
        <v>&lt;prefix&gt;_&lt;mm&gt;-05-&lt;yy&gt;_&lt;ar&gt;Factor Change Audit Report</v>
      </c>
      <c r="C267" s="2" t="s">
        <v>1162</v>
      </c>
      <c r="D267" s="12">
        <v>11</v>
      </c>
    </row>
    <row r="268" spans="1:4" x14ac:dyDescent="0.25">
      <c r="A268" s="2" t="s">
        <v>7</v>
      </c>
      <c r="B268" s="2" t="str">
        <f>"&lt;prefix&gt;_&lt;mm&gt;-05-&lt;yy&gt;_&lt;ar&gt;"&amp;A268</f>
        <v>&lt;prefix&gt;_&lt;mm&gt;-05-&lt;yy&gt;_&lt;ar&gt;Adjustments Not Posted Report</v>
      </c>
      <c r="C268" s="2" t="s">
        <v>1163</v>
      </c>
      <c r="D268" s="12">
        <v>11</v>
      </c>
    </row>
    <row r="269" spans="1:4" x14ac:dyDescent="0.25">
      <c r="A269" s="3" t="s">
        <v>37</v>
      </c>
      <c r="B269" s="3" t="s">
        <v>1164</v>
      </c>
      <c r="C269" s="3" t="s">
        <v>1165</v>
      </c>
      <c r="D269" s="22">
        <v>12</v>
      </c>
    </row>
    <row r="270" spans="1:4" x14ac:dyDescent="0.25">
      <c r="A270" s="2" t="s">
        <v>39</v>
      </c>
      <c r="B270" s="2" t="str">
        <f>"&lt;prefix&gt;_&lt;mm&gt;-05-&lt;yy&gt;_&lt;ar&gt;"&amp;A270</f>
        <v>&lt;prefix&gt;_&lt;mm&gt;-05-&lt;yy&gt;_&lt;ar&gt;SOC Change Audit Report</v>
      </c>
      <c r="C270" s="2" t="s">
        <v>1166</v>
      </c>
      <c r="D270" s="12">
        <v>13</v>
      </c>
    </row>
    <row r="271" spans="1:4" x14ac:dyDescent="0.25">
      <c r="A271" s="2" t="s">
        <v>16</v>
      </c>
      <c r="B271" s="2" t="str">
        <f>"&lt;prefix&gt;_&lt;mm&gt;-05-&lt;yy&gt;_&lt;ar&gt;"&amp;A271</f>
        <v>&lt;prefix&gt;_&lt;mm&gt;-05-&lt;yy&gt;_&lt;ar&gt;Bill Completion Check Report</v>
      </c>
      <c r="C271" s="2" t="s">
        <v>1167</v>
      </c>
      <c r="D271" s="12">
        <v>14</v>
      </c>
    </row>
    <row r="272" spans="1:4" x14ac:dyDescent="0.25">
      <c r="A272" s="3" t="s">
        <v>38</v>
      </c>
      <c r="B272" s="3" t="s">
        <v>1168</v>
      </c>
      <c r="C272" s="3" t="s">
        <v>1169</v>
      </c>
      <c r="D272" s="22">
        <v>15</v>
      </c>
    </row>
    <row r="273" spans="1:4" x14ac:dyDescent="0.25">
      <c r="A273" s="5" t="s">
        <v>122</v>
      </c>
      <c r="B273" s="5" t="str">
        <f>"&lt;prefix&gt;_&lt;mm&gt;-05-&lt;yy&gt;_&lt;ar&gt;"&amp;A273</f>
        <v>&lt;prefix&gt;_&lt;mm&gt;-05-&lt;yy&gt;_&lt;ar&gt;Switched BANS Trending Report</v>
      </c>
      <c r="C273" s="5" t="s">
        <v>1170</v>
      </c>
      <c r="D273" s="12">
        <v>16</v>
      </c>
    </row>
    <row r="274" spans="1:4" x14ac:dyDescent="0.25">
      <c r="A274" s="2" t="s">
        <v>112</v>
      </c>
      <c r="B274" s="2" t="str">
        <f>"&lt;prefix&gt;_&lt;mm&gt;-05-&lt;yy&gt;_&lt;ar&gt;"&amp;A274</f>
        <v>&lt;prefix&gt;_&lt;mm&gt;-05-&lt;yy&gt;_&lt;ar&gt;Revenue Analysis</v>
      </c>
      <c r="C274" s="2" t="s">
        <v>1171</v>
      </c>
      <c r="D274" s="12">
        <v>17</v>
      </c>
    </row>
    <row r="275" spans="1:4" x14ac:dyDescent="0.25">
      <c r="A275" s="3" t="s">
        <v>23</v>
      </c>
      <c r="B275" s="3" t="s">
        <v>1172</v>
      </c>
      <c r="C275" s="3" t="s">
        <v>1173</v>
      </c>
      <c r="D275" s="22">
        <v>18</v>
      </c>
    </row>
    <row r="276" spans="1:4" x14ac:dyDescent="0.25">
      <c r="A276" s="8" t="s">
        <v>49</v>
      </c>
      <c r="B276" s="8" t="s">
        <v>1174</v>
      </c>
      <c r="C276" s="8" t="s">
        <v>1175</v>
      </c>
      <c r="D276" s="22">
        <v>19</v>
      </c>
    </row>
    <row r="277" spans="1:4" x14ac:dyDescent="0.25">
      <c r="A277" s="3" t="s">
        <v>95</v>
      </c>
      <c r="B277" s="3" t="s">
        <v>1176</v>
      </c>
      <c r="C277" s="3" t="s">
        <v>1177</v>
      </c>
      <c r="D277" s="22">
        <v>20</v>
      </c>
    </row>
    <row r="278" spans="1:4" x14ac:dyDescent="0.25">
      <c r="A278" s="3" t="s">
        <v>127</v>
      </c>
      <c r="B278" s="3" t="s">
        <v>1178</v>
      </c>
      <c r="C278" s="3" t="s">
        <v>1179</v>
      </c>
      <c r="D278" s="22">
        <v>21</v>
      </c>
    </row>
    <row r="279" spans="1:4" x14ac:dyDescent="0.25">
      <c r="A279" s="3" t="s">
        <v>13</v>
      </c>
      <c r="B279" s="3" t="s">
        <v>1180</v>
      </c>
      <c r="C279" s="3" t="s">
        <v>1181</v>
      </c>
      <c r="D279" s="22">
        <v>22</v>
      </c>
    </row>
    <row r="280" spans="1:4" x14ac:dyDescent="0.25">
      <c r="A280" s="3" t="s">
        <v>102</v>
      </c>
      <c r="B280" s="3" t="s">
        <v>1182</v>
      </c>
      <c r="C280" s="3" t="s">
        <v>1183</v>
      </c>
      <c r="D280" s="22">
        <v>23</v>
      </c>
    </row>
    <row r="281" spans="1:4" x14ac:dyDescent="0.25">
      <c r="A281" s="3" t="s">
        <v>140</v>
      </c>
      <c r="B281" s="3" t="s">
        <v>1184</v>
      </c>
      <c r="C281" s="3" t="s">
        <v>1185</v>
      </c>
      <c r="D281" s="22">
        <v>24</v>
      </c>
    </row>
    <row r="282" spans="1:4" x14ac:dyDescent="0.25">
      <c r="A282" s="3" t="s">
        <v>85</v>
      </c>
      <c r="B282" s="3" t="s">
        <v>1186</v>
      </c>
      <c r="C282" s="3" t="s">
        <v>1187</v>
      </c>
      <c r="D282" s="22">
        <v>25</v>
      </c>
    </row>
    <row r="283" spans="1:4" x14ac:dyDescent="0.25">
      <c r="A283" s="6" t="s">
        <v>30</v>
      </c>
      <c r="B283" s="6" t="s">
        <v>1188</v>
      </c>
      <c r="C283" s="6" t="s">
        <v>170</v>
      </c>
      <c r="D283" s="22">
        <v>26</v>
      </c>
    </row>
    <row r="284" spans="1:4" x14ac:dyDescent="0.25">
      <c r="A284" s="7" t="s">
        <v>46</v>
      </c>
      <c r="B284" s="7" t="str">
        <f>"&lt;prefix&gt;_&lt;mm&gt;-05-&lt;yy&gt;_&lt;ar&gt;"&amp;A284</f>
        <v>&lt;prefix&gt;_&lt;mm&gt;-05-&lt;yy&gt;_&lt;ar&gt;Billed by Period Report</v>
      </c>
      <c r="C284" s="7" t="s">
        <v>170</v>
      </c>
      <c r="D284" s="12">
        <v>27</v>
      </c>
    </row>
    <row r="285" spans="1:4" x14ac:dyDescent="0.25">
      <c r="A285" s="7" t="s">
        <v>80</v>
      </c>
      <c r="B285" s="7" t="str">
        <f>"&lt;prefix&gt;_&lt;mm&gt;-05-&lt;yy&gt;_&lt;ar&gt;"&amp;A285</f>
        <v>&lt;prefix&gt;_&lt;mm&gt;-05-&lt;yy&gt;_&lt;ar&gt;GL Extract</v>
      </c>
      <c r="C285" s="7" t="s">
        <v>170</v>
      </c>
      <c r="D285" s="12">
        <v>28</v>
      </c>
    </row>
    <row r="286" spans="1:4" x14ac:dyDescent="0.25">
      <c r="A286" s="6" t="s">
        <v>54</v>
      </c>
      <c r="B286" s="6" t="s">
        <v>1189</v>
      </c>
      <c r="C286" s="6" t="s">
        <v>170</v>
      </c>
      <c r="D286" s="22">
        <v>29</v>
      </c>
    </row>
    <row r="287" spans="1:4" x14ac:dyDescent="0.25">
      <c r="A287" s="6" t="s">
        <v>93</v>
      </c>
      <c r="B287" s="6" t="s">
        <v>1190</v>
      </c>
      <c r="C287" s="6" t="s">
        <v>170</v>
      </c>
      <c r="D287" s="22">
        <v>30</v>
      </c>
    </row>
    <row r="288" spans="1:4" x14ac:dyDescent="0.25">
      <c r="A288" s="6" t="s">
        <v>110</v>
      </c>
      <c r="B288" s="6" t="s">
        <v>1191</v>
      </c>
      <c r="C288" s="6" t="s">
        <v>170</v>
      </c>
      <c r="D288" s="22">
        <v>31</v>
      </c>
    </row>
    <row r="289" spans="1:4" x14ac:dyDescent="0.25">
      <c r="A289" s="7" t="s">
        <v>115</v>
      </c>
      <c r="B289" s="7" t="str">
        <f>"&lt;prefix&gt;_&lt;mm&gt;-05-&lt;yy&gt;_&lt;ar&gt;"&amp;A289</f>
        <v>&lt;prefix&gt;_&lt;mm&gt;-05-&lt;yy&gt;_&lt;ar&gt;SOC Jurisdiction Report</v>
      </c>
      <c r="C289" s="7" t="s">
        <v>170</v>
      </c>
      <c r="D289" s="12">
        <v>32</v>
      </c>
    </row>
    <row r="290" spans="1:4" x14ac:dyDescent="0.25">
      <c r="A290" s="7" t="s">
        <v>126</v>
      </c>
      <c r="B290" s="7" t="str">
        <f>"&lt;prefix&gt;_&lt;mm&gt;-05-&lt;yy&gt;_&lt;ar&gt;"&amp;A290</f>
        <v>&lt;prefix&gt;_&lt;mm&gt;-05-&lt;yy&gt;_&lt;ar&gt;Threshold Report by Period</v>
      </c>
      <c r="C290" s="7" t="s">
        <v>170</v>
      </c>
      <c r="D290" s="12">
        <v>32</v>
      </c>
    </row>
    <row r="291" spans="1:4" x14ac:dyDescent="0.25">
      <c r="A291" s="7" t="s">
        <v>111</v>
      </c>
      <c r="B291" s="7" t="str">
        <f>"&lt;prefix&gt;_&lt;mm&gt;-05-&lt;yy&gt;_&lt;ar&gt;"&amp;A291</f>
        <v>&lt;prefix&gt;_&lt;mm&gt;-05-&lt;yy&gt;_&lt;ar&gt;Rev Analysis by CLLI</v>
      </c>
      <c r="C291" s="7" t="s">
        <v>170</v>
      </c>
      <c r="D291" s="12"/>
    </row>
    <row r="292" spans="1:4" x14ac:dyDescent="0.25">
      <c r="A292" s="15" t="s">
        <v>78</v>
      </c>
      <c r="B292" s="15" t="s">
        <v>1192</v>
      </c>
      <c r="C292" s="15"/>
      <c r="D292" s="22"/>
    </row>
    <row r="293" spans="1:4" x14ac:dyDescent="0.25">
      <c r="A293" t="s">
        <v>107</v>
      </c>
      <c r="B293" t="str">
        <f>"&lt;prefix&gt;_&lt;mm&gt;01&lt;yy&gt;_&lt;ar&gt;"&amp;A293</f>
        <v>&lt;prefix&gt;_&lt;mm&gt;01&lt;yy&gt;_&lt;ar&gt;Payment Report</v>
      </c>
      <c r="C293" s="18">
        <v>8</v>
      </c>
    </row>
    <row r="294" spans="1:4" x14ac:dyDescent="0.25">
      <c r="A294" t="s">
        <v>32</v>
      </c>
      <c r="B294" t="str">
        <f>"&lt;prefix&gt;_&lt;mm&gt;01&lt;yy&gt;_&lt;ar&gt;"&amp;A294</f>
        <v>&lt;prefix&gt;_&lt;mm&gt;01&lt;yy&gt;_&lt;ar&gt;Factor Change Audit Report</v>
      </c>
      <c r="C294" s="18">
        <v>10</v>
      </c>
    </row>
    <row r="295" spans="1:4" x14ac:dyDescent="0.25">
      <c r="A295" t="s">
        <v>39</v>
      </c>
      <c r="B295" t="str">
        <f>"&lt;prefix&gt;_&lt;mm&gt;01&lt;yy&gt;_&lt;ar&gt;"&amp;A295</f>
        <v>&lt;prefix&gt;_&lt;mm&gt;01&lt;yy&gt;_&lt;ar&gt;SOC Change Audit Report</v>
      </c>
      <c r="C295" s="18">
        <v>11</v>
      </c>
    </row>
    <row r="296" spans="1:4" x14ac:dyDescent="0.25">
      <c r="A296" t="s">
        <v>34</v>
      </c>
      <c r="B296" t="s">
        <v>1094</v>
      </c>
      <c r="C296" t="s">
        <v>362</v>
      </c>
    </row>
    <row r="297" spans="1:4" x14ac:dyDescent="0.25">
      <c r="A297" t="s">
        <v>16</v>
      </c>
      <c r="B297" t="str">
        <f>"&lt;prefix&gt;_&lt;mm&gt;01&lt;yy&gt;_&lt;ar&gt;"&amp;A297</f>
        <v>&lt;prefix&gt;_&lt;mm&gt;01&lt;yy&gt;_&lt;ar&gt;Bill Completion Check Report</v>
      </c>
      <c r="C297" t="s">
        <v>383</v>
      </c>
    </row>
    <row r="298" spans="1:4" x14ac:dyDescent="0.25">
      <c r="A298" t="s">
        <v>122</v>
      </c>
      <c r="B298" t="str">
        <f>"&lt;prefix&gt;_&lt;mm&gt;01&lt;yy&gt;_&lt;ar&gt;"&amp;A298</f>
        <v>&lt;prefix&gt;_&lt;mm&gt;01&lt;yy&gt;_&lt;ar&gt;Switched BANS Trending Report</v>
      </c>
      <c r="C298" t="s">
        <v>1193</v>
      </c>
    </row>
    <row r="299" spans="1:4" x14ac:dyDescent="0.25">
      <c r="A299" t="s">
        <v>68</v>
      </c>
      <c r="B299" t="s">
        <v>1194</v>
      </c>
      <c r="C299" t="s">
        <v>1195</v>
      </c>
    </row>
    <row r="300" spans="1:4" x14ac:dyDescent="0.25">
      <c r="A300" t="s">
        <v>13</v>
      </c>
      <c r="B300" t="s">
        <v>1095</v>
      </c>
      <c r="C300" t="s">
        <v>424</v>
      </c>
    </row>
    <row r="301" spans="1:4" x14ac:dyDescent="0.25">
      <c r="A301" t="s">
        <v>102</v>
      </c>
      <c r="B301" t="s">
        <v>1096</v>
      </c>
      <c r="C301" t="s">
        <v>428</v>
      </c>
    </row>
    <row r="302" spans="1:4" x14ac:dyDescent="0.25">
      <c r="A302" t="s">
        <v>12</v>
      </c>
      <c r="B302" t="str">
        <f t="shared" ref="B302:B309" si="6">"&lt;prefix&gt;_&lt;mm&gt;01&lt;yy&gt;_&lt;ar&gt;"&amp;A302</f>
        <v>&lt;prefix&gt;_&lt;mm&gt;01&lt;yy&gt;_&lt;ar&gt;AUR History Stats Report</v>
      </c>
      <c r="C302" t="s">
        <v>216</v>
      </c>
    </row>
    <row r="303" spans="1:4" x14ac:dyDescent="0.25">
      <c r="A303" t="s">
        <v>18</v>
      </c>
      <c r="B303" t="str">
        <f t="shared" si="6"/>
        <v>&lt;prefix&gt;_&lt;mm&gt;01&lt;yy&gt;_&lt;ar&gt;Detailed BAN Error Report</v>
      </c>
      <c r="C303" t="s">
        <v>231</v>
      </c>
    </row>
    <row r="304" spans="1:4" x14ac:dyDescent="0.25">
      <c r="A304" t="s">
        <v>22</v>
      </c>
      <c r="B304" t="str">
        <f t="shared" si="6"/>
        <v>&lt;prefix&gt;_&lt;mm&gt;01&lt;yy&gt;_&lt;ar&gt;Detailed CLLI Error Report</v>
      </c>
      <c r="C304" t="s">
        <v>238</v>
      </c>
    </row>
    <row r="305" spans="1:3" x14ac:dyDescent="0.25">
      <c r="A305" t="s">
        <v>29</v>
      </c>
      <c r="B305" t="str">
        <f t="shared" si="6"/>
        <v>&lt;prefix&gt;_&lt;mm&gt;01&lt;yy&gt;_&lt;ar&gt;Exception Analysis Report</v>
      </c>
      <c r="C305" t="s">
        <v>248</v>
      </c>
    </row>
    <row r="306" spans="1:3" x14ac:dyDescent="0.25">
      <c r="A306" t="s">
        <v>47</v>
      </c>
      <c r="B306" t="str">
        <f t="shared" si="6"/>
        <v>&lt;prefix&gt;_&lt;mm&gt;01&lt;yy&gt;_&lt;ar&gt;MOU Entries Error Report</v>
      </c>
      <c r="C306" t="s">
        <v>251</v>
      </c>
    </row>
    <row r="307" spans="1:3" x14ac:dyDescent="0.25">
      <c r="A307" t="s">
        <v>27</v>
      </c>
      <c r="B307" t="str">
        <f t="shared" si="6"/>
        <v>&lt;prefix&gt;_&lt;mm&gt;01&lt;yy&gt;_&lt;ar&gt;Duplicate File Processing Report</v>
      </c>
      <c r="C307" t="s">
        <v>266</v>
      </c>
    </row>
    <row r="308" spans="1:3" x14ac:dyDescent="0.25">
      <c r="A308" t="s">
        <v>1011</v>
      </c>
      <c r="B308" t="str">
        <f t="shared" si="6"/>
        <v xml:space="preserve">&lt;prefix&gt;_&lt;mm&gt;01&lt;yy&gt;_&lt;ar&gt;Usage Verify by Size Report </v>
      </c>
      <c r="C308" t="s">
        <v>272</v>
      </c>
    </row>
    <row r="309" spans="1:3" x14ac:dyDescent="0.25">
      <c r="A309" t="s">
        <v>135</v>
      </c>
      <c r="B309" t="str">
        <f t="shared" si="6"/>
        <v>&lt;prefix&gt;_&lt;mm&gt;01&lt;yy&gt;_&lt;ar&gt;Usage By Day Report</v>
      </c>
      <c r="C309" t="s">
        <v>1014</v>
      </c>
    </row>
    <row r="310" spans="1:3" x14ac:dyDescent="0.25">
      <c r="A310" t="s">
        <v>43</v>
      </c>
      <c r="B310" t="s">
        <v>1102</v>
      </c>
      <c r="C310" t="s">
        <v>1196</v>
      </c>
    </row>
    <row r="311" spans="1:3" x14ac:dyDescent="0.25">
      <c r="A311" t="s">
        <v>7</v>
      </c>
      <c r="B311" t="str">
        <f>"&lt;prefix&gt;_&lt;mm&gt;01&lt;yy&gt;_&lt;ar&gt;"&amp;A311</f>
        <v>&lt;prefix&gt;_&lt;mm&gt;01&lt;yy&gt;_&lt;ar&gt;Adjustments Not Posted Report</v>
      </c>
      <c r="C311" t="s">
        <v>336</v>
      </c>
    </row>
    <row r="312" spans="1:3" x14ac:dyDescent="0.25">
      <c r="A312" t="s">
        <v>70</v>
      </c>
      <c r="B312" s="7" t="s">
        <v>1197</v>
      </c>
      <c r="C312" s="7"/>
    </row>
    <row r="313" spans="1:3" x14ac:dyDescent="0.25">
      <c r="A313" t="s">
        <v>71</v>
      </c>
      <c r="B313" s="7" t="s">
        <v>1198</v>
      </c>
      <c r="C313" s="7"/>
    </row>
    <row r="314" spans="1:3" x14ac:dyDescent="0.25">
      <c r="A314" t="s">
        <v>86</v>
      </c>
      <c r="B314" s="7" t="s">
        <v>1099</v>
      </c>
      <c r="C314" s="7"/>
    </row>
    <row r="315" spans="1:3" x14ac:dyDescent="0.25">
      <c r="A315" t="s">
        <v>30</v>
      </c>
      <c r="B315" s="7" t="s">
        <v>1103</v>
      </c>
      <c r="C315" s="7"/>
    </row>
    <row r="316" spans="1:3" x14ac:dyDescent="0.25">
      <c r="A316" t="s">
        <v>40</v>
      </c>
      <c r="B316" s="7" t="s">
        <v>1104</v>
      </c>
      <c r="C316" s="7"/>
    </row>
    <row r="317" spans="1:3" x14ac:dyDescent="0.25">
      <c r="A317" t="s">
        <v>49</v>
      </c>
      <c r="B317" s="7" t="s">
        <v>1097</v>
      </c>
      <c r="C317" s="7"/>
    </row>
    <row r="318" spans="1:3" x14ac:dyDescent="0.25">
      <c r="A318" t="s">
        <v>56</v>
      </c>
      <c r="B318" s="7" t="str">
        <f>"&lt;prefix&gt;_&lt;mm&gt;01&lt;yy&gt;_&lt;ar&gt;"&amp;A318</f>
        <v>&lt;prefix&gt;_&lt;mm&gt;01&lt;yy&gt;_&lt;ar&gt;Facility Circuit Charges Billed Disconnected</v>
      </c>
      <c r="C318" s="7"/>
    </row>
    <row r="319" spans="1:3" x14ac:dyDescent="0.25">
      <c r="A319" t="s">
        <v>81</v>
      </c>
      <c r="B319" s="7" t="s">
        <v>1105</v>
      </c>
      <c r="C319" s="7"/>
    </row>
    <row r="320" spans="1:3" x14ac:dyDescent="0.25">
      <c r="A320" t="s">
        <v>91</v>
      </c>
      <c r="B320" s="7" t="str">
        <f>"&lt;prefix&gt;_&lt;mm&gt;01&lt;yy&gt;_&lt;ar&gt;"&amp;A320</f>
        <v>&lt;prefix&gt;_&lt;mm&gt;01&lt;yy&gt;_&lt;ar&gt;Late Payment Charges</v>
      </c>
      <c r="C320" s="7"/>
    </row>
    <row r="321" spans="1:4" x14ac:dyDescent="0.25">
      <c r="A321" t="s">
        <v>100</v>
      </c>
      <c r="B321" s="7" t="str">
        <f>"&lt;prefix&gt;_&lt;mm&gt;01&lt;yy&gt;_&lt;ar&gt;"&amp;A321</f>
        <v>&lt;prefix&gt;_&lt;mm&gt;01&lt;yy&gt;_&lt;ar&gt;NECA AS1000</v>
      </c>
      <c r="C321" s="7"/>
    </row>
    <row r="322" spans="1:4" x14ac:dyDescent="0.25">
      <c r="A322" t="s">
        <v>101</v>
      </c>
      <c r="B322" s="7" t="str">
        <f>"&lt;prefix&gt;_&lt;mm&gt;01&lt;yy&gt;_&lt;ar&gt;"&amp;A322</f>
        <v>&lt;prefix&gt;_&lt;mm&gt;01&lt;yy&gt;_&lt;ar&gt;NECA EC1050</v>
      </c>
      <c r="C322" s="7"/>
    </row>
    <row r="323" spans="1:4" x14ac:dyDescent="0.25">
      <c r="A323" t="s">
        <v>112</v>
      </c>
      <c r="B323" s="7" t="s">
        <v>1108</v>
      </c>
      <c r="C323" s="7"/>
    </row>
    <row r="324" spans="1:4" x14ac:dyDescent="0.25">
      <c r="A324" t="s">
        <v>121</v>
      </c>
      <c r="B324" s="7" t="s">
        <v>1199</v>
      </c>
      <c r="C324" s="7"/>
    </row>
    <row r="325" spans="1:4" x14ac:dyDescent="0.25">
      <c r="A325" t="s">
        <v>127</v>
      </c>
      <c r="B325" s="7" t="s">
        <v>1200</v>
      </c>
      <c r="C325" s="7"/>
    </row>
    <row r="326" spans="1:4" x14ac:dyDescent="0.25">
      <c r="A326" t="s">
        <v>28</v>
      </c>
      <c r="B326" s="7" t="s">
        <v>1109</v>
      </c>
      <c r="C326" s="7"/>
    </row>
    <row r="327" spans="1:4" x14ac:dyDescent="0.25">
      <c r="A327" s="2" t="s">
        <v>12</v>
      </c>
      <c r="B327" s="2" t="str">
        <f t="shared" ref="B327:B334" si="7">"&lt;prefix&gt;_&lt;mm&gt;20&lt;yyyy&gt;_&lt;ar&gt;"&amp;A327</f>
        <v>&lt;prefix&gt;_&lt;mm&gt;20&lt;yyyy&gt;_&lt;ar&gt;AUR History Stats Report</v>
      </c>
      <c r="C327" s="2" t="s">
        <v>216</v>
      </c>
      <c r="D327" s="12">
        <v>1</v>
      </c>
    </row>
    <row r="328" spans="1:4" x14ac:dyDescent="0.25">
      <c r="A328" s="2" t="s">
        <v>18</v>
      </c>
      <c r="B328" s="2" t="str">
        <f t="shared" si="7"/>
        <v>&lt;prefix&gt;_&lt;mm&gt;20&lt;yyyy&gt;_&lt;ar&gt;Detailed BAN Error Report</v>
      </c>
      <c r="C328" s="2" t="s">
        <v>231</v>
      </c>
      <c r="D328" s="12">
        <v>2</v>
      </c>
    </row>
    <row r="329" spans="1:4" x14ac:dyDescent="0.25">
      <c r="A329" s="2" t="s">
        <v>22</v>
      </c>
      <c r="B329" s="2" t="str">
        <f t="shared" si="7"/>
        <v>&lt;prefix&gt;_&lt;mm&gt;20&lt;yyyy&gt;_&lt;ar&gt;Detailed CLLI Error Report</v>
      </c>
      <c r="C329" s="2" t="s">
        <v>238</v>
      </c>
      <c r="D329" s="12">
        <v>3</v>
      </c>
    </row>
    <row r="330" spans="1:4" x14ac:dyDescent="0.25">
      <c r="A330" s="2" t="s">
        <v>29</v>
      </c>
      <c r="B330" s="2" t="str">
        <f t="shared" si="7"/>
        <v>&lt;prefix&gt;_&lt;mm&gt;20&lt;yyyy&gt;_&lt;ar&gt;Exception Analysis Report</v>
      </c>
      <c r="C330" s="2" t="s">
        <v>248</v>
      </c>
      <c r="D330" s="12">
        <v>4</v>
      </c>
    </row>
    <row r="331" spans="1:4" x14ac:dyDescent="0.25">
      <c r="A331" s="2" t="s">
        <v>47</v>
      </c>
      <c r="B331" s="2" t="str">
        <f t="shared" si="7"/>
        <v>&lt;prefix&gt;_&lt;mm&gt;20&lt;yyyy&gt;_&lt;ar&gt;MOU Entries Error Report</v>
      </c>
      <c r="C331" s="2" t="s">
        <v>251</v>
      </c>
      <c r="D331" s="12">
        <v>5</v>
      </c>
    </row>
    <row r="332" spans="1:4" x14ac:dyDescent="0.25">
      <c r="A332" s="2" t="s">
        <v>27</v>
      </c>
      <c r="B332" s="2" t="str">
        <f t="shared" si="7"/>
        <v>&lt;prefix&gt;_&lt;mm&gt;20&lt;yyyy&gt;_&lt;ar&gt;Duplicate File Processing Report</v>
      </c>
      <c r="C332" s="2" t="s">
        <v>266</v>
      </c>
      <c r="D332" s="12">
        <v>6</v>
      </c>
    </row>
    <row r="333" spans="1:4" x14ac:dyDescent="0.25">
      <c r="A333" s="2" t="s">
        <v>45</v>
      </c>
      <c r="B333" s="2" t="str">
        <f t="shared" si="7"/>
        <v>&lt;prefix&gt;_&lt;mm&gt;20&lt;yyyy&gt;_&lt;ar&gt;Usage Verify by Size Report</v>
      </c>
      <c r="C333" s="2" t="s">
        <v>272</v>
      </c>
      <c r="D333" s="12">
        <v>7</v>
      </c>
    </row>
    <row r="334" spans="1:4" x14ac:dyDescent="0.25">
      <c r="A334" s="2" t="s">
        <v>543</v>
      </c>
      <c r="B334" s="2" t="str">
        <f t="shared" si="7"/>
        <v>&lt;prefix&gt;_&lt;mm&gt;20&lt;yyyy&gt;_&lt;ar&gt;Usage by Day Report</v>
      </c>
      <c r="C334" s="23" t="s">
        <v>1057</v>
      </c>
      <c r="D334" s="12">
        <v>8</v>
      </c>
    </row>
    <row r="335" spans="1:4" x14ac:dyDescent="0.25">
      <c r="A335" s="16" t="s">
        <v>43</v>
      </c>
      <c r="B335" s="16" t="s">
        <v>1201</v>
      </c>
      <c r="C335" s="16" t="s">
        <v>1196</v>
      </c>
      <c r="D335" s="22">
        <v>9</v>
      </c>
    </row>
    <row r="336" spans="1:4" x14ac:dyDescent="0.25">
      <c r="A336" s="2" t="s">
        <v>107</v>
      </c>
      <c r="B336" s="2" t="str">
        <f>"&lt;prefix&gt;_&lt;mm&gt;20&lt;yyyy&gt;_&lt;ar&gt;"&amp;A336</f>
        <v>&lt;prefix&gt;_&lt;mm&gt;20&lt;yyyy&gt;_&lt;ar&gt;Payment Report</v>
      </c>
      <c r="C336" s="31">
        <v>8</v>
      </c>
      <c r="D336" s="12">
        <v>10</v>
      </c>
    </row>
    <row r="337" spans="1:4" x14ac:dyDescent="0.25">
      <c r="A337" s="2" t="s">
        <v>7</v>
      </c>
      <c r="B337" s="2" t="str">
        <f>"&lt;prefix&gt;_&lt;mm&gt;20&lt;yyyy&gt;_&lt;ar&gt;"&amp;A337</f>
        <v>&lt;prefix&gt;_&lt;mm&gt;20&lt;yyyy&gt;_&lt;ar&gt;Adjustments Not Posted Report</v>
      </c>
      <c r="C337" s="2" t="s">
        <v>336</v>
      </c>
      <c r="D337" s="12">
        <v>11</v>
      </c>
    </row>
    <row r="338" spans="1:4" x14ac:dyDescent="0.25">
      <c r="A338" s="2" t="s">
        <v>32</v>
      </c>
      <c r="B338" s="2" t="str">
        <f>"&lt;prefix&gt;_&lt;mm&gt;20&lt;yyyy&gt;_&lt;ar&gt;"&amp;A338</f>
        <v>&lt;prefix&gt;_&lt;mm&gt;20&lt;yyyy&gt;_&lt;ar&gt;Factor Change Audit Report</v>
      </c>
      <c r="C338" s="31">
        <v>10</v>
      </c>
      <c r="D338" s="12">
        <v>12</v>
      </c>
    </row>
    <row r="339" spans="1:4" x14ac:dyDescent="0.25">
      <c r="A339" s="3" t="s">
        <v>34</v>
      </c>
      <c r="B339" s="3" t="s">
        <v>1202</v>
      </c>
      <c r="C339" s="3" t="s">
        <v>362</v>
      </c>
      <c r="D339" s="22">
        <v>13</v>
      </c>
    </row>
    <row r="340" spans="1:4" x14ac:dyDescent="0.25">
      <c r="A340" s="2" t="s">
        <v>39</v>
      </c>
      <c r="B340" s="2" t="str">
        <f>"&lt;prefix&gt;_&lt;mm&gt;20&lt;yyyy&gt;_&lt;ar&gt;"&amp;A340</f>
        <v>&lt;prefix&gt;_&lt;mm&gt;20&lt;yyyy&gt;_&lt;ar&gt;SOC Change Audit Report</v>
      </c>
      <c r="C340" s="31">
        <v>11</v>
      </c>
      <c r="D340" s="12">
        <v>14</v>
      </c>
    </row>
    <row r="341" spans="1:4" x14ac:dyDescent="0.25">
      <c r="A341" s="2" t="s">
        <v>16</v>
      </c>
      <c r="B341" s="2" t="str">
        <f>"&lt;prefix&gt;_&lt;mm&gt;20&lt;yyyy&gt;_&lt;ar&gt;"&amp;A341</f>
        <v>&lt;prefix&gt;_&lt;mm&gt;20&lt;yyyy&gt;_&lt;ar&gt;Bill Completion Check Report</v>
      </c>
      <c r="C341" s="2" t="s">
        <v>383</v>
      </c>
      <c r="D341" s="12">
        <v>15</v>
      </c>
    </row>
    <row r="342" spans="1:4" x14ac:dyDescent="0.25">
      <c r="A342" s="8" t="s">
        <v>117</v>
      </c>
      <c r="B342" s="8" t="s">
        <v>1203</v>
      </c>
      <c r="C342" s="8" t="s">
        <v>389</v>
      </c>
      <c r="D342" s="22">
        <v>16</v>
      </c>
    </row>
    <row r="343" spans="1:4" x14ac:dyDescent="0.25">
      <c r="A343" s="3" t="s">
        <v>13</v>
      </c>
      <c r="B343" s="3" t="s">
        <v>1204</v>
      </c>
      <c r="C343" s="3" t="s">
        <v>424</v>
      </c>
      <c r="D343" s="22">
        <v>17</v>
      </c>
    </row>
    <row r="344" spans="1:4" x14ac:dyDescent="0.25">
      <c r="A344" s="3" t="s">
        <v>105</v>
      </c>
      <c r="B344" s="3" t="s">
        <v>1205</v>
      </c>
      <c r="C344" s="3" t="s">
        <v>428</v>
      </c>
      <c r="D344" s="22">
        <v>18</v>
      </c>
    </row>
    <row r="345" spans="1:4" x14ac:dyDescent="0.25">
      <c r="A345" s="3" t="s">
        <v>127</v>
      </c>
      <c r="B345" s="3" t="s">
        <v>1206</v>
      </c>
      <c r="C345" s="3" t="s">
        <v>751</v>
      </c>
      <c r="D345" s="22">
        <v>19</v>
      </c>
    </row>
    <row r="346" spans="1:4" x14ac:dyDescent="0.25">
      <c r="A346" s="3" t="s">
        <v>87</v>
      </c>
      <c r="B346" s="3" t="s">
        <v>1207</v>
      </c>
      <c r="C346" s="3" t="s">
        <v>767</v>
      </c>
      <c r="D346" s="22">
        <v>20</v>
      </c>
    </row>
    <row r="347" spans="1:4" x14ac:dyDescent="0.25">
      <c r="A347" s="6" t="s">
        <v>23</v>
      </c>
      <c r="B347" s="6" t="s">
        <v>1208</v>
      </c>
      <c r="C347" s="6"/>
      <c r="D347" s="22">
        <v>21</v>
      </c>
    </row>
    <row r="348" spans="1:4" x14ac:dyDescent="0.25">
      <c r="A348" s="6" t="s">
        <v>89</v>
      </c>
      <c r="B348" s="6" t="s">
        <v>1209</v>
      </c>
      <c r="C348" s="6"/>
      <c r="D348" s="22">
        <v>22</v>
      </c>
    </row>
    <row r="349" spans="1:4" x14ac:dyDescent="0.25">
      <c r="A349" s="6" t="s">
        <v>90</v>
      </c>
      <c r="B349" s="6" t="s">
        <v>1210</v>
      </c>
      <c r="C349" s="6"/>
      <c r="D349" s="22">
        <v>23</v>
      </c>
    </row>
    <row r="350" spans="1:4" x14ac:dyDescent="0.25">
      <c r="A350" s="8" t="s">
        <v>49</v>
      </c>
      <c r="B350" s="8" t="s">
        <v>1211</v>
      </c>
      <c r="C350" s="8"/>
      <c r="D350" s="22">
        <v>24</v>
      </c>
    </row>
    <row r="351" spans="1:4" x14ac:dyDescent="0.25">
      <c r="A351" s="6" t="s">
        <v>99</v>
      </c>
      <c r="B351" s="6" t="s">
        <v>1212</v>
      </c>
      <c r="C351" s="6"/>
      <c r="D351" s="22">
        <v>25</v>
      </c>
    </row>
    <row r="352" spans="1:4" x14ac:dyDescent="0.25">
      <c r="A352" s="6" t="s">
        <v>116</v>
      </c>
      <c r="B352" s="6" t="s">
        <v>1213</v>
      </c>
      <c r="C352" s="6"/>
      <c r="D352" s="22">
        <v>26</v>
      </c>
    </row>
    <row r="353" spans="1:4" x14ac:dyDescent="0.25">
      <c r="A353" s="7" t="s">
        <v>112</v>
      </c>
      <c r="B353" s="7" t="str">
        <f>"&lt;prefix&gt;_&lt;mm&gt;20&lt;yyyy&gt;_&lt;ar&gt;"&amp;A353</f>
        <v>&lt;prefix&gt;_&lt;mm&gt;20&lt;yyyy&gt;_&lt;ar&gt;Revenue Analysis</v>
      </c>
      <c r="C353" s="7"/>
      <c r="D353" s="12">
        <v>27</v>
      </c>
    </row>
  </sheetData>
  <conditionalFormatting sqref="A1">
    <cfRule type="duplicateValues" dxfId="0" priority="3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14"/>
  <sheetViews>
    <sheetView workbookViewId="0">
      <selection activeCell="B174" sqref="B174"/>
    </sheetView>
  </sheetViews>
  <sheetFormatPr defaultRowHeight="15" x14ac:dyDescent="0.25"/>
  <cols>
    <col min="1" max="1" width="11.7109375" style="37" bestFit="1" customWidth="1"/>
    <col min="2" max="2" width="66.7109375" style="37" bestFit="1" customWidth="1"/>
  </cols>
  <sheetData>
    <row r="1" spans="1:2" x14ac:dyDescent="0.25">
      <c r="A1" t="s">
        <v>1214</v>
      </c>
      <c r="B1" t="s">
        <v>1215</v>
      </c>
    </row>
    <row r="2" spans="1:2" x14ac:dyDescent="0.25">
      <c r="A2" t="s">
        <v>1216</v>
      </c>
      <c r="B2" t="s">
        <v>1217</v>
      </c>
    </row>
    <row r="3" spans="1:2" x14ac:dyDescent="0.25">
      <c r="A3" t="s">
        <v>1218</v>
      </c>
      <c r="B3" t="s">
        <v>1219</v>
      </c>
    </row>
    <row r="4" spans="1:2" x14ac:dyDescent="0.25">
      <c r="A4" t="s">
        <v>162</v>
      </c>
      <c r="B4" t="s">
        <v>1220</v>
      </c>
    </row>
    <row r="5" spans="1:2" x14ac:dyDescent="0.25">
      <c r="A5" t="s">
        <v>1221</v>
      </c>
      <c r="B5" t="s">
        <v>1048</v>
      </c>
    </row>
    <row r="6" spans="1:2" x14ac:dyDescent="0.25">
      <c r="A6" t="s">
        <v>1222</v>
      </c>
      <c r="B6" t="s">
        <v>1223</v>
      </c>
    </row>
    <row r="7" spans="1:2" x14ac:dyDescent="0.25">
      <c r="A7" t="s">
        <v>1224</v>
      </c>
      <c r="B7" t="s">
        <v>995</v>
      </c>
    </row>
    <row r="8" spans="1:2" x14ac:dyDescent="0.25">
      <c r="A8" t="s">
        <v>1225</v>
      </c>
      <c r="B8" t="s">
        <v>1110</v>
      </c>
    </row>
    <row r="9" spans="1:2" x14ac:dyDescent="0.25">
      <c r="A9" s="41" t="s">
        <v>1226</v>
      </c>
      <c r="B9" t="s">
        <v>1126</v>
      </c>
    </row>
    <row r="10" spans="1:2" x14ac:dyDescent="0.25">
      <c r="A10" s="42"/>
      <c r="B10" t="s">
        <v>1128</v>
      </c>
    </row>
    <row r="11" spans="1:2" x14ac:dyDescent="0.25">
      <c r="A11" t="s">
        <v>1227</v>
      </c>
      <c r="B11" t="s">
        <v>1144</v>
      </c>
    </row>
    <row r="12" spans="1:2" x14ac:dyDescent="0.25">
      <c r="A12" t="s">
        <v>1228</v>
      </c>
      <c r="B12" t="s">
        <v>1229</v>
      </c>
    </row>
    <row r="13" spans="1:2" x14ac:dyDescent="0.25">
      <c r="A13" t="s">
        <v>148</v>
      </c>
      <c r="B13" t="s">
        <v>1144</v>
      </c>
    </row>
    <row r="14" spans="1:2" x14ac:dyDescent="0.25">
      <c r="A14" t="s">
        <v>187</v>
      </c>
      <c r="B14" t="s">
        <v>1230</v>
      </c>
    </row>
  </sheetData>
  <mergeCells count="1">
    <mergeCell ref="A9:A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E2390"/>
  <sheetViews>
    <sheetView workbookViewId="0">
      <selection activeCell="B174" sqref="B174"/>
    </sheetView>
  </sheetViews>
  <sheetFormatPr defaultRowHeight="15" x14ac:dyDescent="0.25"/>
  <cols>
    <col min="1" max="1" width="48" style="37" bestFit="1" customWidth="1"/>
    <col min="2" max="2" width="73.7109375" style="37" bestFit="1" customWidth="1"/>
    <col min="3" max="3" width="17.42578125" style="37" bestFit="1" customWidth="1"/>
  </cols>
  <sheetData>
    <row r="1" spans="1:3" x14ac:dyDescent="0.25">
      <c r="A1" s="1" t="s">
        <v>992</v>
      </c>
      <c r="B1" s="1" t="s">
        <v>993</v>
      </c>
      <c r="C1" s="1" t="s">
        <v>994</v>
      </c>
    </row>
    <row r="2" spans="1:3" x14ac:dyDescent="0.25">
      <c r="A2" t="s">
        <v>107</v>
      </c>
      <c r="B2" t="str">
        <f>"&lt;prefix&gt;_&lt;mm&gt;10&lt;yy&gt;_&lt;ar&gt;"&amp;A2</f>
        <v>&lt;prefix&gt;_&lt;mm&gt;10&lt;yy&gt;_&lt;ar&gt;Payment Report</v>
      </c>
      <c r="C2" s="18">
        <v>8</v>
      </c>
    </row>
    <row r="3" spans="1:3" x14ac:dyDescent="0.25">
      <c r="A3" t="s">
        <v>32</v>
      </c>
      <c r="B3" t="str">
        <f>"&lt;prefix&gt;_&lt;mm&gt;10&lt;yy&gt;_&lt;ar&gt;"&amp;A3</f>
        <v>&lt;prefix&gt;_&lt;mm&gt;10&lt;yy&gt;_&lt;ar&gt;Factor Change Audit Report</v>
      </c>
      <c r="C3" s="18">
        <v>10</v>
      </c>
    </row>
    <row r="4" spans="1:3" x14ac:dyDescent="0.25">
      <c r="A4" t="s">
        <v>39</v>
      </c>
      <c r="B4" t="str">
        <f>"&lt;prefix&gt;_&lt;mm&gt;10&lt;yy&gt;_&lt;ar&gt;"&amp;A4</f>
        <v>&lt;prefix&gt;_&lt;mm&gt;10&lt;yy&gt;_&lt;ar&gt;SOC Change Audit Report</v>
      </c>
      <c r="C4" s="18">
        <v>11</v>
      </c>
    </row>
    <row r="5" spans="1:3" x14ac:dyDescent="0.25">
      <c r="A5" t="s">
        <v>34</v>
      </c>
      <c r="B5" t="str">
        <f>"&lt;prefix&gt;_&lt;mm&gt;10&lt;yy&gt;_&lt;ar&gt;"&amp;A5</f>
        <v>&lt;prefix&gt;_&lt;mm&gt;10&lt;yy&gt;_&lt;ar&gt;Factor Check Report with PVU</v>
      </c>
      <c r="C5" t="s">
        <v>362</v>
      </c>
    </row>
    <row r="6" spans="1:3" x14ac:dyDescent="0.25">
      <c r="A6" t="s">
        <v>41</v>
      </c>
      <c r="B6" s="11" t="s">
        <v>999</v>
      </c>
      <c r="C6" t="s">
        <v>374</v>
      </c>
    </row>
    <row r="7" spans="1:3" x14ac:dyDescent="0.25">
      <c r="A7" t="s">
        <v>16</v>
      </c>
      <c r="B7" t="str">
        <f>"&lt;prefix&gt;_&lt;mm&gt;10&lt;yy&gt;_&lt;ar&gt;"&amp;A7</f>
        <v>&lt;prefix&gt;_&lt;mm&gt;10&lt;yy&gt;_&lt;ar&gt;Bill Completion Check Report</v>
      </c>
      <c r="C7" t="s">
        <v>383</v>
      </c>
    </row>
    <row r="8" spans="1:3" x14ac:dyDescent="0.25">
      <c r="A8" t="s">
        <v>122</v>
      </c>
      <c r="B8" t="str">
        <f>"&lt;prefix&gt;_&lt;mm&gt;10&lt;yy&gt;_&lt;ar&gt;"&amp;A8</f>
        <v>&lt;prefix&gt;_&lt;mm&gt;10&lt;yy&gt;_&lt;ar&gt;Switched BANS Trending Report</v>
      </c>
      <c r="C8" t="s">
        <v>385</v>
      </c>
    </row>
    <row r="9" spans="1:3" x14ac:dyDescent="0.25">
      <c r="A9" t="s">
        <v>13</v>
      </c>
      <c r="B9" s="11" t="s">
        <v>1002</v>
      </c>
      <c r="C9" t="s">
        <v>424</v>
      </c>
    </row>
    <row r="10" spans="1:3" x14ac:dyDescent="0.25">
      <c r="A10" t="s">
        <v>102</v>
      </c>
      <c r="B10" s="11" t="s">
        <v>1003</v>
      </c>
      <c r="C10" t="s">
        <v>428</v>
      </c>
    </row>
    <row r="11" spans="1:3" x14ac:dyDescent="0.25">
      <c r="A11" t="s">
        <v>61</v>
      </c>
      <c r="B11" s="11" t="s">
        <v>1004</v>
      </c>
      <c r="C11" t="s">
        <v>767</v>
      </c>
    </row>
    <row r="12" spans="1:3" x14ac:dyDescent="0.25">
      <c r="A12" t="s">
        <v>12</v>
      </c>
      <c r="B12" t="str">
        <f>"&lt;prefix&gt;_&lt;mm&gt;10&lt;yy&gt;_&lt;ar&gt;"&amp;A12</f>
        <v>&lt;prefix&gt;_&lt;mm&gt;10&lt;yy&gt;_&lt;ar&gt;AUR History Stats Report</v>
      </c>
      <c r="C12" t="s">
        <v>216</v>
      </c>
    </row>
    <row r="13" spans="1:3" x14ac:dyDescent="0.25">
      <c r="A13" t="s">
        <v>20</v>
      </c>
      <c r="B13" t="s">
        <v>1006</v>
      </c>
      <c r="C13" t="s">
        <v>231</v>
      </c>
    </row>
    <row r="14" spans="1:3" x14ac:dyDescent="0.25">
      <c r="A14" t="s">
        <v>22</v>
      </c>
      <c r="B14" t="str">
        <f t="shared" ref="B14:B19" si="0">"&lt;prefix&gt;_&lt;mm&gt;10&lt;yy&gt;_&lt;ar&gt;"&amp;A14</f>
        <v>&lt;prefix&gt;_&lt;mm&gt;10&lt;yy&gt;_&lt;ar&gt;Detailed CLLI Error Report</v>
      </c>
      <c r="C14" t="s">
        <v>238</v>
      </c>
    </row>
    <row r="15" spans="1:3" x14ac:dyDescent="0.25">
      <c r="A15" t="s">
        <v>29</v>
      </c>
      <c r="B15" t="str">
        <f t="shared" si="0"/>
        <v>&lt;prefix&gt;_&lt;mm&gt;10&lt;yy&gt;_&lt;ar&gt;Exception Analysis Report</v>
      </c>
      <c r="C15" t="s">
        <v>248</v>
      </c>
    </row>
    <row r="16" spans="1:3" x14ac:dyDescent="0.25">
      <c r="A16" t="s">
        <v>47</v>
      </c>
      <c r="B16" t="str">
        <f t="shared" si="0"/>
        <v>&lt;prefix&gt;_&lt;mm&gt;10&lt;yy&gt;_&lt;ar&gt;MOU Entries Error Report</v>
      </c>
      <c r="C16" t="s">
        <v>251</v>
      </c>
    </row>
    <row r="17" spans="1:3" x14ac:dyDescent="0.25">
      <c r="A17" t="s">
        <v>27</v>
      </c>
      <c r="B17" t="str">
        <f t="shared" si="0"/>
        <v>&lt;prefix&gt;_&lt;mm&gt;10&lt;yy&gt;_&lt;ar&gt;Duplicate File Processing Report</v>
      </c>
      <c r="C17" t="s">
        <v>266</v>
      </c>
    </row>
    <row r="18" spans="1:3" x14ac:dyDescent="0.25">
      <c r="A18" t="s">
        <v>1011</v>
      </c>
      <c r="B18" t="str">
        <f t="shared" si="0"/>
        <v xml:space="preserve">&lt;prefix&gt;_&lt;mm&gt;10&lt;yy&gt;_&lt;ar&gt;Usage Verify by Size Report </v>
      </c>
      <c r="C18" t="s">
        <v>272</v>
      </c>
    </row>
    <row r="19" spans="1:3" x14ac:dyDescent="0.25">
      <c r="A19" t="s">
        <v>135</v>
      </c>
      <c r="B19" t="str">
        <f t="shared" si="0"/>
        <v>&lt;prefix&gt;_&lt;mm&gt;10&lt;yy&gt;_&lt;ar&gt;Usage By Day Report</v>
      </c>
      <c r="C19" t="s">
        <v>1014</v>
      </c>
    </row>
    <row r="20" spans="1:3" x14ac:dyDescent="0.25">
      <c r="A20" t="s">
        <v>43</v>
      </c>
      <c r="B20" s="11" t="s">
        <v>1015</v>
      </c>
      <c r="C20" t="s">
        <v>1016</v>
      </c>
    </row>
    <row r="21" spans="1:3" x14ac:dyDescent="0.25">
      <c r="A21" t="s">
        <v>7</v>
      </c>
      <c r="B21" t="str">
        <f>"&lt;prefix&gt;_&lt;mm&gt;10&lt;yy&gt;_&lt;ar&gt;"&amp;A21</f>
        <v>&lt;prefix&gt;_&lt;mm&gt;10&lt;yy&gt;_&lt;ar&gt;Adjustments Not Posted Report</v>
      </c>
      <c r="C21" t="s">
        <v>336</v>
      </c>
    </row>
    <row r="22" spans="1:3" x14ac:dyDescent="0.25">
      <c r="A22" t="s">
        <v>23</v>
      </c>
      <c r="B22" s="19" t="s">
        <v>1018</v>
      </c>
      <c r="C22" s="19"/>
    </row>
    <row r="23" spans="1:3" x14ac:dyDescent="0.25">
      <c r="A23" t="s">
        <v>44</v>
      </c>
      <c r="B23" s="19" t="s">
        <v>1019</v>
      </c>
      <c r="C23" s="19"/>
    </row>
    <row r="24" spans="1:3" x14ac:dyDescent="0.25">
      <c r="A24" t="s">
        <v>49</v>
      </c>
      <c r="B24" s="19" t="s">
        <v>1020</v>
      </c>
      <c r="C24" s="19"/>
    </row>
    <row r="25" spans="1:3" x14ac:dyDescent="0.25">
      <c r="A25" t="s">
        <v>51</v>
      </c>
      <c r="B25" s="19" t="s">
        <v>1021</v>
      </c>
      <c r="C25" s="19"/>
    </row>
    <row r="26" spans="1:3" x14ac:dyDescent="0.25">
      <c r="A26" t="s">
        <v>92</v>
      </c>
      <c r="B26" s="19" t="s">
        <v>1022</v>
      </c>
      <c r="C26" s="19"/>
    </row>
    <row r="27" spans="1:3" x14ac:dyDescent="0.25">
      <c r="A27" t="s">
        <v>120</v>
      </c>
      <c r="B27" s="19" t="s">
        <v>1023</v>
      </c>
      <c r="C27" s="19"/>
    </row>
    <row r="28" spans="1:3" x14ac:dyDescent="0.25">
      <c r="A28" t="s">
        <v>127</v>
      </c>
      <c r="B28" s="19" t="s">
        <v>1024</v>
      </c>
      <c r="C28" s="19"/>
    </row>
    <row r="29" spans="1:3" x14ac:dyDescent="0.25">
      <c r="A29" t="s">
        <v>1231</v>
      </c>
      <c r="B29" t="str">
        <f t="shared" ref="B29:B60" si="1">"&lt;prefix&gt;_&lt;mm&gt;10&lt;yy&gt;_&lt;ar&gt;"&amp;A29</f>
        <v>&lt;prefix&gt;_&lt;mm&gt;10&lt;yy&gt;_&lt;ar&gt;Access MSG and MOU billed by CLLI,FG,CIC</v>
      </c>
    </row>
    <row r="30" spans="1:3" x14ac:dyDescent="0.25">
      <c r="A30" t="s">
        <v>1232</v>
      </c>
      <c r="B30" t="str">
        <f t="shared" si="1"/>
        <v>&lt;prefix&gt;_&lt;mm&gt;10&lt;yy&gt;_&lt;ar&gt;Adjustments Detail Report - Posted</v>
      </c>
    </row>
    <row r="31" spans="1:3" x14ac:dyDescent="0.25">
      <c r="A31" t="s">
        <v>1233</v>
      </c>
      <c r="B31" t="str">
        <f t="shared" si="1"/>
        <v>&lt;prefix&gt;_&lt;mm&gt;10&lt;yy&gt;_&lt;ar&gt;Adjustments Detail Report - Unposted</v>
      </c>
    </row>
    <row r="32" spans="1:3" x14ac:dyDescent="0.25">
      <c r="A32" t="s">
        <v>30</v>
      </c>
      <c r="B32" t="str">
        <f t="shared" si="1"/>
        <v>&lt;prefix&gt;_&lt;mm&gt;10&lt;yy&gt;_&lt;ar&gt;Aged trial Balance</v>
      </c>
    </row>
    <row r="33" spans="1:2" x14ac:dyDescent="0.25">
      <c r="A33" t="s">
        <v>1234</v>
      </c>
      <c r="B33" t="str">
        <f t="shared" si="1"/>
        <v>&lt;prefix&gt;_&lt;mm&gt;10&lt;yy&gt;_&lt;ar&gt;Aged Trial Balance by Company</v>
      </c>
    </row>
    <row r="34" spans="1:2" x14ac:dyDescent="0.25">
      <c r="A34" t="s">
        <v>1235</v>
      </c>
      <c r="B34" t="str">
        <f t="shared" si="1"/>
        <v>&lt;prefix&gt;_&lt;mm&gt;10&lt;yy&gt;_&lt;ar&gt;Amount billed/disputed/settled by month/carrier</v>
      </c>
    </row>
    <row r="35" spans="1:2" x14ac:dyDescent="0.25">
      <c r="A35" t="s">
        <v>1236</v>
      </c>
      <c r="B35" t="str">
        <f t="shared" si="1"/>
        <v>&lt;prefix&gt;_&lt;mm&gt;10&lt;yy&gt;_&lt;ar&gt;Amount billed/disputed/settled by qtr/carrier</v>
      </c>
    </row>
    <row r="36" spans="1:2" x14ac:dyDescent="0.25">
      <c r="A36" t="s">
        <v>1237</v>
      </c>
      <c r="B36" t="str">
        <f t="shared" si="1"/>
        <v>&lt;prefix&gt;_&lt;mm&gt;10&lt;yy&gt;_&lt;ar&gt;Amount billed-disputed-settled by month-carrier</v>
      </c>
    </row>
    <row r="37" spans="1:2" x14ac:dyDescent="0.25">
      <c r="A37" t="s">
        <v>1238</v>
      </c>
      <c r="B37" t="str">
        <f t="shared" si="1"/>
        <v>&lt;prefix&gt;_&lt;mm&gt;10&lt;yy&gt;_&lt;ar&gt;Amount billed-disputed-settled by qtr-carrier</v>
      </c>
    </row>
    <row r="38" spans="1:2" x14ac:dyDescent="0.25">
      <c r="A38" t="s">
        <v>1239</v>
      </c>
      <c r="B38" t="str">
        <f t="shared" si="1"/>
        <v>&lt;prefix&gt;_&lt;mm&gt;10&lt;yy&gt;_&lt;ar&gt;AS1000 Report</v>
      </c>
    </row>
    <row r="39" spans="1:2" x14ac:dyDescent="0.25">
      <c r="A39" t="s">
        <v>9</v>
      </c>
      <c r="B39" t="str">
        <f t="shared" si="1"/>
        <v>&lt;prefix&gt;_&lt;mm&gt;10&lt;yy&gt;_&lt;ar&gt;AUR History Stats</v>
      </c>
    </row>
    <row r="40" spans="1:2" x14ac:dyDescent="0.25">
      <c r="A40" t="s">
        <v>1240</v>
      </c>
      <c r="B40" t="str">
        <f t="shared" si="1"/>
        <v>&lt;prefix&gt;_&lt;mm&gt;10&lt;yy&gt;_&lt;ar&gt;AUR History Stats (Seconds)</v>
      </c>
    </row>
    <row r="41" spans="1:2" x14ac:dyDescent="0.25">
      <c r="A41" t="s">
        <v>1241</v>
      </c>
      <c r="B41" t="str">
        <f t="shared" si="1"/>
        <v>&lt;prefix&gt;_&lt;mm&gt;10&lt;yy&gt;_&lt;ar&gt;AUR History Summary</v>
      </c>
    </row>
    <row r="42" spans="1:2" x14ac:dyDescent="0.25">
      <c r="A42" t="s">
        <v>1242</v>
      </c>
      <c r="B42" t="str">
        <f t="shared" si="1"/>
        <v>&lt;prefix&gt;_&lt;mm&gt;10&lt;yy&gt;_&lt;ar&gt;AUR History Summary by Day</v>
      </c>
    </row>
    <row r="43" spans="1:2" x14ac:dyDescent="0.25">
      <c r="A43" t="s">
        <v>1243</v>
      </c>
      <c r="B43" t="str">
        <f t="shared" si="1"/>
        <v>&lt;prefix&gt;_&lt;mm&gt;10&lt;yy&gt;_&lt;ar&gt;Billed Minutes by Inter/Intra State</v>
      </c>
    </row>
    <row r="44" spans="1:2" x14ac:dyDescent="0.25">
      <c r="A44" t="s">
        <v>1244</v>
      </c>
      <c r="B44" t="str">
        <f t="shared" si="1"/>
        <v>&lt;prefix&gt;_&lt;mm&gt;10&lt;yy&gt;_&lt;ar&gt;Billed Minutes by Inter-Intra State</v>
      </c>
    </row>
    <row r="45" spans="1:2" x14ac:dyDescent="0.25">
      <c r="A45" t="s">
        <v>1245</v>
      </c>
      <c r="B45" t="str">
        <f t="shared" si="1"/>
        <v>&lt;prefix&gt;_&lt;mm&gt;10&lt;yy&gt;_&lt;ar&gt;Billed Minutes by Jurisdiction</v>
      </c>
    </row>
    <row r="46" spans="1:2" x14ac:dyDescent="0.25">
      <c r="A46" t="s">
        <v>1246</v>
      </c>
      <c r="B46" t="str">
        <f t="shared" si="1"/>
        <v>&lt;prefix&gt;_&lt;mm&gt;10&lt;yy&gt;_&lt;ar&gt;Billed minutes by Quarter by Inter/Intra State</v>
      </c>
    </row>
    <row r="47" spans="1:2" x14ac:dyDescent="0.25">
      <c r="A47" t="s">
        <v>1247</v>
      </c>
      <c r="B47" t="str">
        <f t="shared" si="1"/>
        <v>&lt;prefix&gt;_&lt;mm&gt;10&lt;yy&gt;_&lt;ar&gt;Billed minutes by Quarter by Inter-Intra State</v>
      </c>
    </row>
    <row r="48" spans="1:2" x14ac:dyDescent="0.25">
      <c r="A48" t="s">
        <v>1248</v>
      </c>
      <c r="B48" t="str">
        <f t="shared" si="1"/>
        <v>&lt;prefix&gt;_&lt;mm&gt;10&lt;yy&gt;_&lt;ar&gt;Billed Minutes by Quarter by Jurisdiction</v>
      </c>
    </row>
    <row r="49" spans="1:2" x14ac:dyDescent="0.25">
      <c r="A49" t="s">
        <v>1249</v>
      </c>
      <c r="B49" t="str">
        <f t="shared" si="1"/>
        <v>&lt;prefix&gt;_&lt;mm&gt;10&lt;yy&gt;_&lt;ar&gt;Billed Msg MOU Rev by BAN by Jurisdiction</v>
      </c>
    </row>
    <row r="50" spans="1:2" x14ac:dyDescent="0.25">
      <c r="A50" t="s">
        <v>1250</v>
      </c>
      <c r="B50" t="str">
        <f t="shared" si="1"/>
        <v>&lt;prefix&gt;_&lt;mm&gt;10&lt;yy&gt;_&lt;ar&gt;Billed Msg MOU Rev by CLLI by Jurisdiction</v>
      </c>
    </row>
    <row r="51" spans="1:2" x14ac:dyDescent="0.25">
      <c r="A51" t="s">
        <v>1251</v>
      </c>
      <c r="B51" t="str">
        <f t="shared" si="1"/>
        <v>&lt;prefix&gt;_&lt;mm&gt;10&lt;yy&gt;_&lt;ar&gt;CLNT aur_usage_by_day_co_v3</v>
      </c>
    </row>
    <row r="52" spans="1:2" x14ac:dyDescent="0.25">
      <c r="A52" t="s">
        <v>1252</v>
      </c>
      <c r="B52" t="str">
        <f t="shared" si="1"/>
        <v>&lt;prefix&gt;_&lt;mm&gt;10&lt;yy&gt;_&lt;ar&gt;CLNT billed_by_period_for_exp_4_v2</v>
      </c>
    </row>
    <row r="53" spans="1:2" x14ac:dyDescent="0.25">
      <c r="A53" t="s">
        <v>1253</v>
      </c>
      <c r="B53" t="str">
        <f t="shared" si="1"/>
        <v>&lt;prefix&gt;_&lt;mm&gt;10&lt;yy&gt;_&lt;ar&gt;CLNT cbeyond_m_m_r_to_export_v2</v>
      </c>
    </row>
    <row r="54" spans="1:2" x14ac:dyDescent="0.25">
      <c r="A54" t="s">
        <v>1254</v>
      </c>
      <c r="B54" t="str">
        <f t="shared" si="1"/>
        <v>&lt;prefix&gt;_&lt;mm&gt;10&lt;yy&gt;_&lt;ar&gt;CLNT ckt_billed_live_disco_v1</v>
      </c>
    </row>
    <row r="55" spans="1:2" x14ac:dyDescent="0.25">
      <c r="A55" t="s">
        <v>1255</v>
      </c>
      <c r="B55" t="str">
        <f t="shared" si="1"/>
        <v>&lt;prefix&gt;_&lt;mm&gt;10&lt;yy&gt;_&lt;ar&gt;CLNT gl_trans_from_adjustments_ban_v3</v>
      </c>
    </row>
    <row r="56" spans="1:2" x14ac:dyDescent="0.25">
      <c r="A56" t="s">
        <v>1256</v>
      </c>
      <c r="B56" t="str">
        <f t="shared" si="1"/>
        <v>&lt;prefix&gt;_&lt;mm&gt;10&lt;yy&gt;_&lt;ar&gt;CLNT gl_trans_from_occ_ban_v3</v>
      </c>
    </row>
    <row r="57" spans="1:2" x14ac:dyDescent="0.25">
      <c r="A57" t="s">
        <v>1257</v>
      </c>
      <c r="B57" t="str">
        <f t="shared" si="1"/>
        <v>&lt;prefix&gt;_&lt;mm&gt;10&lt;yy&gt;_&lt;ar&gt;CLNT invoice_balances_by_jur_w_lpc_v2</v>
      </c>
    </row>
    <row r="58" spans="1:2" x14ac:dyDescent="0.25">
      <c r="A58" t="s">
        <v>53</v>
      </c>
      <c r="B58" t="str">
        <f t="shared" si="1"/>
        <v>&lt;prefix&gt;_&lt;mm&gt;10&lt;yy&gt;_&lt;ar&gt;CLNT ly_invoice_balances_by_jur_cic</v>
      </c>
    </row>
    <row r="59" spans="1:2" x14ac:dyDescent="0.25">
      <c r="A59" t="s">
        <v>55</v>
      </c>
      <c r="B59" t="str">
        <f t="shared" si="1"/>
        <v>&lt;prefix&gt;_&lt;mm&gt;10&lt;yy&gt;_&lt;ar&gt;CLNT nt_ckt_billed_live_disco_v2</v>
      </c>
    </row>
    <row r="60" spans="1:2" x14ac:dyDescent="0.25">
      <c r="A60" t="s">
        <v>1258</v>
      </c>
      <c r="B60" t="str">
        <f t="shared" si="1"/>
        <v>&lt;prefix&gt;_&lt;mm&gt;10&lt;yy&gt;_&lt;ar&gt;CLNT nt_fa_acctg_detail_rpt_v1</v>
      </c>
    </row>
    <row r="61" spans="1:2" x14ac:dyDescent="0.25">
      <c r="A61" t="s">
        <v>1259</v>
      </c>
      <c r="B61" t="str">
        <f t="shared" ref="B61:B92" si="2">"&lt;prefix&gt;_&lt;mm&gt;10&lt;yy&gt;_&lt;ar&gt;"&amp;A61</f>
        <v>&lt;prefix&gt;_&lt;mm&gt;10&lt;yy&gt;_&lt;ar&gt;CLNT nt_fa_acctg_rpt_v1</v>
      </c>
    </row>
    <row r="62" spans="1:2" x14ac:dyDescent="0.25">
      <c r="A62" t="s">
        <v>1260</v>
      </c>
      <c r="B62" t="str">
        <f t="shared" si="2"/>
        <v>&lt;prefix&gt;_&lt;mm&gt;10&lt;yy&gt;_&lt;ar&gt;CLNT nt_m_m_r_p_to_export_v1</v>
      </c>
    </row>
    <row r="63" spans="1:2" x14ac:dyDescent="0.25">
      <c r="A63" t="s">
        <v>1261</v>
      </c>
      <c r="B63" t="str">
        <f t="shared" si="2"/>
        <v>&lt;prefix&gt;_&lt;mm&gt;10&lt;yy&gt;_&lt;ar&gt;CLNT nt_m_m_r_to_export_v1</v>
      </c>
    </row>
    <row r="64" spans="1:2" x14ac:dyDescent="0.25">
      <c r="A64" t="s">
        <v>1262</v>
      </c>
      <c r="B64" t="str">
        <f t="shared" si="2"/>
        <v>&lt;prefix&gt;_&lt;mm&gt;10&lt;yy&gt;_&lt;ar&gt;CLNT nt_rev_analysis_clli_2</v>
      </c>
    </row>
    <row r="65" spans="1:2" x14ac:dyDescent="0.25">
      <c r="A65" t="s">
        <v>1263</v>
      </c>
      <c r="B65" t="str">
        <f t="shared" si="2"/>
        <v>&lt;prefix&gt;_&lt;mm&gt;10&lt;yy&gt;_&lt;ar&gt;CLNT payment_by_date8_v2</v>
      </c>
    </row>
    <row r="66" spans="1:2" x14ac:dyDescent="0.25">
      <c r="A66" t="s">
        <v>1264</v>
      </c>
      <c r="B66" t="str">
        <f t="shared" si="2"/>
        <v>&lt;prefix&gt;_&lt;mm&gt;10&lt;yy&gt;_&lt;ar&gt;CLNT r_aged_trial_bal_1v3</v>
      </c>
    </row>
    <row r="67" spans="1:2" x14ac:dyDescent="0.25">
      <c r="A67" t="s">
        <v>1265</v>
      </c>
      <c r="B67" t="str">
        <f t="shared" si="2"/>
        <v>&lt;prefix&gt;_&lt;mm&gt;10&lt;yy&gt;_&lt;ar&gt;CLNT r_aged_trial_bal_for_export_v2</v>
      </c>
    </row>
    <row r="68" spans="1:2" x14ac:dyDescent="0.25">
      <c r="A68" t="s">
        <v>1266</v>
      </c>
      <c r="B68" t="str">
        <f t="shared" si="2"/>
        <v>&lt;prefix&gt;_&lt;mm&gt;10&lt;yy&gt;_&lt;ar&gt;CLNT r_sce_3_v3_2</v>
      </c>
    </row>
    <row r="69" spans="1:2" x14ac:dyDescent="0.25">
      <c r="A69" t="s">
        <v>1267</v>
      </c>
      <c r="B69" t="str">
        <f t="shared" si="2"/>
        <v>&lt;prefix&gt;_&lt;mm&gt;10&lt;yy&gt;_&lt;ar&gt;CLNT r_transaction_summary_bills_v2</v>
      </c>
    </row>
    <row r="70" spans="1:2" x14ac:dyDescent="0.25">
      <c r="A70" t="s">
        <v>1268</v>
      </c>
      <c r="B70" t="str">
        <f t="shared" si="2"/>
        <v>&lt;prefix&gt;_&lt;mm&gt;10&lt;yy&gt;_&lt;ar&gt;CLNT sw_invoice_trending_v6</v>
      </c>
    </row>
    <row r="71" spans="1:2" x14ac:dyDescent="0.25">
      <c r="A71" t="s">
        <v>1269</v>
      </c>
      <c r="B71" t="str">
        <f t="shared" si="2"/>
        <v>&lt;prefix&gt;_&lt;mm&gt;10&lt;yy&gt;_&lt;ar&gt;Company Master Report</v>
      </c>
    </row>
    <row r="72" spans="1:2" x14ac:dyDescent="0.25">
      <c r="A72" t="s">
        <v>1270</v>
      </c>
      <c r="B72" t="str">
        <f t="shared" si="2"/>
        <v>&lt;prefix&gt;_&lt;mm&gt;10&lt;yy&gt;_&lt;ar&gt;Detail of OCCs Posted - MTA</v>
      </c>
    </row>
    <row r="73" spans="1:2" x14ac:dyDescent="0.25">
      <c r="A73" t="s">
        <v>18</v>
      </c>
      <c r="B73" t="str">
        <f t="shared" si="2"/>
        <v>&lt;prefix&gt;_&lt;mm&gt;10&lt;yy&gt;_&lt;ar&gt;Detailed BAN Error Report</v>
      </c>
    </row>
    <row r="74" spans="1:2" x14ac:dyDescent="0.25">
      <c r="A74" t="s">
        <v>1271</v>
      </c>
      <c r="B74" t="str">
        <f t="shared" si="2"/>
        <v>&lt;prefix&gt;_&lt;mm&gt;10&lt;yy&gt;_&lt;ar&gt;Dispute amounts by type by month</v>
      </c>
    </row>
    <row r="75" spans="1:2" x14ac:dyDescent="0.25">
      <c r="A75" t="s">
        <v>1272</v>
      </c>
      <c r="B75" t="str">
        <f t="shared" si="2"/>
        <v>&lt;prefix&gt;_&lt;mm&gt;10&lt;yy&gt;_&lt;ar&gt;Dispute amounts by type by month by carrier</v>
      </c>
    </row>
    <row r="76" spans="1:2" x14ac:dyDescent="0.25">
      <c r="A76" t="s">
        <v>1273</v>
      </c>
      <c r="B76" t="str">
        <f t="shared" si="2"/>
        <v>&lt;prefix&gt;_&lt;mm&gt;10&lt;yy&gt;_&lt;ar&gt;Dispute amounts by type by quarter</v>
      </c>
    </row>
    <row r="77" spans="1:2" x14ac:dyDescent="0.25">
      <c r="A77" t="s">
        <v>1274</v>
      </c>
      <c r="B77" t="str">
        <f t="shared" si="2"/>
        <v>&lt;prefix&gt;_&lt;mm&gt;10&lt;yy&gt;_&lt;ar&gt;Dispute amounts by type by quarter by carrier</v>
      </c>
    </row>
    <row r="78" spans="1:2" x14ac:dyDescent="0.25">
      <c r="A78" t="s">
        <v>1275</v>
      </c>
      <c r="B78" t="str">
        <f t="shared" si="2"/>
        <v>&lt;prefix&gt;_&lt;mm&gt;10&lt;yy&gt;_&lt;ar&gt;Dispute amounts/carrier/month for a given year</v>
      </c>
    </row>
    <row r="79" spans="1:2" x14ac:dyDescent="0.25">
      <c r="A79" t="s">
        <v>1276</v>
      </c>
      <c r="B79" t="str">
        <f t="shared" si="2"/>
        <v>&lt;prefix&gt;_&lt;mm&gt;10&lt;yy&gt;_&lt;ar&gt;Dispute amounts/carrier/qtr for a given year</v>
      </c>
    </row>
    <row r="80" spans="1:2" x14ac:dyDescent="0.25">
      <c r="A80" t="s">
        <v>1277</v>
      </c>
      <c r="B80" t="str">
        <f t="shared" si="2"/>
        <v>&lt;prefix&gt;_&lt;mm&gt;10&lt;yy&gt;_&lt;ar&gt;Dispute amounts-carrier-month for a given year</v>
      </c>
    </row>
    <row r="81" spans="1:2" x14ac:dyDescent="0.25">
      <c r="A81" t="s">
        <v>1278</v>
      </c>
      <c r="B81" t="str">
        <f t="shared" si="2"/>
        <v>&lt;prefix&gt;_&lt;mm&gt;10&lt;yy&gt;_&lt;ar&gt;Dispute amounts-carrier-qtr for a given year</v>
      </c>
    </row>
    <row r="82" spans="1:2" x14ac:dyDescent="0.25">
      <c r="A82" t="s">
        <v>1279</v>
      </c>
      <c r="B82" t="str">
        <f t="shared" si="2"/>
        <v>&lt;prefix&gt;_&lt;mm&gt;10&lt;yy&gt;_&lt;ar&gt;EC1050 Report</v>
      </c>
    </row>
    <row r="83" spans="1:2" x14ac:dyDescent="0.25">
      <c r="A83" t="s">
        <v>70</v>
      </c>
      <c r="B83" t="str">
        <f t="shared" si="2"/>
        <v>&lt;prefix&gt;_&lt;mm&gt;10&lt;yy&gt;_&lt;ar&gt;FA Charges Summary</v>
      </c>
    </row>
    <row r="84" spans="1:2" x14ac:dyDescent="0.25">
      <c r="A84" t="s">
        <v>71</v>
      </c>
      <c r="B84" t="str">
        <f t="shared" si="2"/>
        <v>&lt;prefix&gt;_&lt;mm&gt;10&lt;yy&gt;_&lt;ar&gt;FA Circuit Charges by CIC by CLLI</v>
      </c>
    </row>
    <row r="85" spans="1:2" x14ac:dyDescent="0.25">
      <c r="A85" t="s">
        <v>69</v>
      </c>
      <c r="B85" t="str">
        <f t="shared" si="2"/>
        <v>&lt;prefix&gt;_&lt;mm&gt;10&lt;yy&gt;_&lt;ar&gt;Facility BANS Trending Report</v>
      </c>
    </row>
    <row r="86" spans="1:2" x14ac:dyDescent="0.25">
      <c r="A86" t="s">
        <v>1280</v>
      </c>
      <c r="B86" t="str">
        <f t="shared" si="2"/>
        <v>&lt;prefix&gt;_&lt;mm&gt;10&lt;yy&gt;_&lt;ar&gt;Facility BANs trending report - MTA</v>
      </c>
    </row>
    <row r="87" spans="1:2" x14ac:dyDescent="0.25">
      <c r="A87" t="s">
        <v>78</v>
      </c>
      <c r="B87" t="str">
        <f t="shared" si="2"/>
        <v>&lt;prefix&gt;_&lt;mm&gt;10&lt;yy&gt;_&lt;ar&gt;Fulfillment Report</v>
      </c>
    </row>
    <row r="88" spans="1:2" x14ac:dyDescent="0.25">
      <c r="A88" t="s">
        <v>79</v>
      </c>
      <c r="B88" t="str">
        <f t="shared" si="2"/>
        <v>&lt;prefix&gt;_&lt;mm&gt;10&lt;yy&gt;_&lt;ar&gt;FUSC Charge By Circuit</v>
      </c>
    </row>
    <row r="89" spans="1:2" x14ac:dyDescent="0.25">
      <c r="A89" t="s">
        <v>1281</v>
      </c>
      <c r="B89" t="str">
        <f t="shared" si="2"/>
        <v>&lt;prefix&gt;_&lt;mm&gt;10&lt;yy&gt;_&lt;ar&gt;Graph - Disputed Amounts by Carrier</v>
      </c>
    </row>
    <row r="90" spans="1:2" x14ac:dyDescent="0.25">
      <c r="A90" t="s">
        <v>1282</v>
      </c>
      <c r="B90" t="str">
        <f t="shared" si="2"/>
        <v>&lt;prefix&gt;_&lt;mm&gt;10&lt;yy&gt;_&lt;ar&gt;Graph - Disputed Amounts by Carrier by Date</v>
      </c>
    </row>
    <row r="91" spans="1:2" x14ac:dyDescent="0.25">
      <c r="A91" t="s">
        <v>1283</v>
      </c>
      <c r="B91" t="str">
        <f t="shared" si="2"/>
        <v>&lt;prefix&gt;_&lt;mm&gt;10&lt;yy&gt;_&lt;ar&gt;Graph - Disputed Amounts by dispute types</v>
      </c>
    </row>
    <row r="92" spans="1:2" x14ac:dyDescent="0.25">
      <c r="A92" t="s">
        <v>1284</v>
      </c>
      <c r="B92" t="str">
        <f t="shared" si="2"/>
        <v>&lt;prefix&gt;_&lt;mm&gt;10&lt;yy&gt;_&lt;ar&gt;Graph - Disputed Amounts vs Resolutions</v>
      </c>
    </row>
    <row r="93" spans="1:2" x14ac:dyDescent="0.25">
      <c r="A93" t="s">
        <v>1285</v>
      </c>
      <c r="B93" t="str">
        <f t="shared" ref="B93:B124" si="3">"&lt;prefix&gt;_&lt;mm&gt;10&lt;yy&gt;_&lt;ar&gt;"&amp;A93</f>
        <v>&lt;prefix&gt;_&lt;mm&gt;10&lt;yy&gt;_&lt;ar&gt;Graph - No. of Disputes by Carrier</v>
      </c>
    </row>
    <row r="94" spans="1:2" x14ac:dyDescent="0.25">
      <c r="A94" t="s">
        <v>1286</v>
      </c>
      <c r="B94" t="str">
        <f t="shared" si="3"/>
        <v>&lt;prefix&gt;_&lt;mm&gt;10&lt;yy&gt;_&lt;ar&gt;Graph - No. of Disputes by Carrier by Date</v>
      </c>
    </row>
    <row r="95" spans="1:2" x14ac:dyDescent="0.25">
      <c r="A95" t="s">
        <v>1287</v>
      </c>
      <c r="B95" t="str">
        <f t="shared" si="3"/>
        <v>&lt;prefix&gt;_&lt;mm&gt;10&lt;yy&gt;_&lt;ar&gt;Invoice Balance By Jur</v>
      </c>
    </row>
    <row r="96" spans="1:2" x14ac:dyDescent="0.25">
      <c r="A96" t="s">
        <v>1288</v>
      </c>
      <c r="B96" t="str">
        <f t="shared" si="3"/>
        <v>&lt;prefix&gt;_&lt;mm&gt;10&lt;yy&gt;_&lt;ar&gt;Manual Local to Tra/Tra</v>
      </c>
    </row>
    <row r="97" spans="1:2" x14ac:dyDescent="0.25">
      <c r="A97" t="s">
        <v>1289</v>
      </c>
      <c r="B97" t="str">
        <f t="shared" si="3"/>
        <v>&lt;prefix&gt;_&lt;mm&gt;10&lt;yy&gt;_&lt;ar&gt;Message Record Analysis</v>
      </c>
    </row>
    <row r="98" spans="1:2" x14ac:dyDescent="0.25">
      <c r="A98" t="s">
        <v>1290</v>
      </c>
      <c r="B98" t="str">
        <f t="shared" si="3"/>
        <v>&lt;prefix&gt;_&lt;mm&gt;10&lt;yy&gt;_&lt;ar&gt;Messages and minutes billed by FG,CIC</v>
      </c>
    </row>
    <row r="99" spans="1:2" x14ac:dyDescent="0.25">
      <c r="A99" t="s">
        <v>1291</v>
      </c>
      <c r="B99" t="str">
        <f t="shared" si="3"/>
        <v>&lt;prefix&gt;_&lt;mm&gt;10&lt;yy&gt;_&lt;ar&gt;Messages and minutes billed by FG,CIC(Local separa</v>
      </c>
    </row>
    <row r="100" spans="1:2" x14ac:dyDescent="0.25">
      <c r="A100" t="s">
        <v>1292</v>
      </c>
      <c r="B100" t="str">
        <f t="shared" si="3"/>
        <v>&lt;prefix&gt;_&lt;mm&gt;10&lt;yy&gt;_&lt;ar&gt;Minutes</v>
      </c>
    </row>
    <row r="101" spans="1:2" x14ac:dyDescent="0.25">
      <c r="A101" t="s">
        <v>1293</v>
      </c>
      <c r="B101" t="str">
        <f t="shared" si="3"/>
        <v>&lt;prefix&gt;_&lt;mm&gt;10&lt;yy&gt;_&lt;ar&gt;Minutes billed by BAN, Orig- Term Inter-Intra Stat</v>
      </c>
    </row>
    <row r="102" spans="1:2" x14ac:dyDescent="0.25">
      <c r="A102" t="s">
        <v>1294</v>
      </c>
      <c r="B102" t="str">
        <f t="shared" si="3"/>
        <v>&lt;prefix&gt;_&lt;mm&gt;10&lt;yy&gt;_&lt;ar&gt;Minutes billed by BAN, Orig/ Term Inter/Intra Stat</v>
      </c>
    </row>
    <row r="103" spans="1:2" x14ac:dyDescent="0.25">
      <c r="A103" t="s">
        <v>1295</v>
      </c>
      <c r="B103" t="str">
        <f t="shared" si="3"/>
        <v>&lt;prefix&gt;_&lt;mm&gt;10&lt;yy&gt;_&lt;ar&gt;MTAV5_Reports_Table</v>
      </c>
    </row>
    <row r="104" spans="1:2" x14ac:dyDescent="0.25">
      <c r="A104" t="s">
        <v>1296</v>
      </c>
      <c r="B104" t="str">
        <f t="shared" si="3"/>
        <v>&lt;prefix&gt;_&lt;mm&gt;10&lt;yy&gt;_&lt;ar&gt;MTAV5_Rpt_Argmnt</v>
      </c>
    </row>
    <row r="105" spans="1:2" x14ac:dyDescent="0.25">
      <c r="A105" t="s">
        <v>100</v>
      </c>
      <c r="B105" t="str">
        <f t="shared" si="3"/>
        <v>&lt;prefix&gt;_&lt;mm&gt;10&lt;yy&gt;_&lt;ar&gt;NECA AS1000</v>
      </c>
    </row>
    <row r="106" spans="1:2" x14ac:dyDescent="0.25">
      <c r="A106" t="s">
        <v>101</v>
      </c>
      <c r="B106" t="str">
        <f t="shared" si="3"/>
        <v>&lt;prefix&gt;_&lt;mm&gt;10&lt;yy&gt;_&lt;ar&gt;NECA EC1050</v>
      </c>
    </row>
    <row r="107" spans="1:2" x14ac:dyDescent="0.25">
      <c r="A107" t="s">
        <v>1297</v>
      </c>
      <c r="B107" t="str">
        <f t="shared" si="3"/>
        <v>&lt;prefix&gt;_&lt;mm&gt;10&lt;yy&gt;_&lt;ar&gt;Non FA Rate Element as Billed Table Report</v>
      </c>
    </row>
    <row r="108" spans="1:2" x14ac:dyDescent="0.25">
      <c r="A108" t="s">
        <v>1298</v>
      </c>
      <c r="B108" t="str">
        <f t="shared" si="3"/>
        <v>&lt;prefix&gt;_&lt;mm&gt;10&lt;yy&gt;_&lt;ar&gt;OCC Detail Report - Posted</v>
      </c>
    </row>
    <row r="109" spans="1:2" x14ac:dyDescent="0.25">
      <c r="A109" t="s">
        <v>1299</v>
      </c>
      <c r="B109" t="str">
        <f t="shared" si="3"/>
        <v>&lt;prefix&gt;_&lt;mm&gt;10&lt;yy&gt;_&lt;ar&gt;OCC Detail Report - Unposted</v>
      </c>
    </row>
    <row r="110" spans="1:2" x14ac:dyDescent="0.25">
      <c r="A110" t="s">
        <v>1300</v>
      </c>
      <c r="B110" t="str">
        <f t="shared" si="3"/>
        <v>&lt;prefix&gt;_&lt;mm&gt;10&lt;yy&gt;_&lt;ar&gt;Partially Paid Invoices</v>
      </c>
    </row>
    <row r="111" spans="1:2" x14ac:dyDescent="0.25">
      <c r="A111" t="s">
        <v>1301</v>
      </c>
      <c r="B111" t="str">
        <f t="shared" si="3"/>
        <v>&lt;prefix&gt;_&lt;mm&gt;10&lt;yy&gt;_&lt;ar&gt;Payment Details by Check</v>
      </c>
    </row>
    <row r="112" spans="1:2" x14ac:dyDescent="0.25">
      <c r="A112" t="s">
        <v>1302</v>
      </c>
      <c r="B112" t="str">
        <f t="shared" si="3"/>
        <v>&lt;prefix&gt;_&lt;mm&gt;10&lt;yy&gt;_&lt;ar&gt;Payments by Payer by BAN</v>
      </c>
    </row>
    <row r="113" spans="1:2" x14ac:dyDescent="0.25">
      <c r="A113" t="s">
        <v>1303</v>
      </c>
      <c r="B113" t="str">
        <f t="shared" si="3"/>
        <v>&lt;prefix&gt;_&lt;mm&gt;10&lt;yy&gt;_&lt;ar&gt;Payments Not on Bill</v>
      </c>
    </row>
    <row r="114" spans="1:2" x14ac:dyDescent="0.25">
      <c r="A114" t="s">
        <v>1304</v>
      </c>
      <c r="B114" t="str">
        <f t="shared" si="3"/>
        <v>&lt;prefix&gt;_&lt;mm&gt;10&lt;yy&gt;_&lt;ar&gt;Percent of disputes/billed per month/year</v>
      </c>
    </row>
    <row r="115" spans="1:2" x14ac:dyDescent="0.25">
      <c r="A115" t="s">
        <v>1305</v>
      </c>
      <c r="B115" t="str">
        <f t="shared" si="3"/>
        <v>&lt;prefix&gt;_&lt;mm&gt;10&lt;yy&gt;_&lt;ar&gt;Percent of disputes/billed per qtr/year</v>
      </c>
    </row>
    <row r="116" spans="1:2" x14ac:dyDescent="0.25">
      <c r="A116" t="s">
        <v>1306</v>
      </c>
      <c r="B116" t="str">
        <f t="shared" si="3"/>
        <v>&lt;prefix&gt;_&lt;mm&gt;10&lt;yy&gt;_&lt;ar&gt;Percent of disputes-billed per month-year</v>
      </c>
    </row>
    <row r="117" spans="1:2" x14ac:dyDescent="0.25">
      <c r="A117" t="s">
        <v>1307</v>
      </c>
      <c r="B117" t="str">
        <f t="shared" si="3"/>
        <v>&lt;prefix&gt;_&lt;mm&gt;10&lt;yy&gt;_&lt;ar&gt;Percent of disputes-billed per qtr-year</v>
      </c>
    </row>
    <row r="118" spans="1:2" x14ac:dyDescent="0.25">
      <c r="A118" t="s">
        <v>1308</v>
      </c>
      <c r="B118" t="str">
        <f t="shared" si="3"/>
        <v>&lt;prefix&gt;_&lt;mm&gt;10&lt;yy&gt;_&lt;ar&gt;Post billing rate change adj. calc. - FA</v>
      </c>
    </row>
    <row r="119" spans="1:2" x14ac:dyDescent="0.25">
      <c r="A119" t="s">
        <v>1309</v>
      </c>
      <c r="B119" t="str">
        <f t="shared" si="3"/>
        <v>&lt;prefix&gt;_&lt;mm&gt;10&lt;yy&gt;_&lt;ar&gt;Post billing rate change adj. calc. - SW</v>
      </c>
    </row>
    <row r="120" spans="1:2" x14ac:dyDescent="0.25">
      <c r="A120" t="s">
        <v>1310</v>
      </c>
      <c r="B120" t="str">
        <f t="shared" si="3"/>
        <v>&lt;prefix&gt;_&lt;mm&gt;10&lt;yy&gt;_&lt;ar&gt;Rate Element Table Report</v>
      </c>
    </row>
    <row r="121" spans="1:2" x14ac:dyDescent="0.25">
      <c r="A121" t="s">
        <v>1311</v>
      </c>
      <c r="B121" t="str">
        <f t="shared" si="3"/>
        <v>&lt;prefix&gt;_&lt;mm&gt;10&lt;yy&gt;_&lt;ar&gt;Reconciliation of account balance over time</v>
      </c>
    </row>
    <row r="122" spans="1:2" x14ac:dyDescent="0.25">
      <c r="A122" t="s">
        <v>1312</v>
      </c>
      <c r="B122" t="str">
        <f t="shared" si="3"/>
        <v>&lt;prefix&gt;_&lt;mm&gt;10&lt;yy&gt;_&lt;ar&gt;Resolved Disputes by carrier</v>
      </c>
    </row>
    <row r="123" spans="1:2" x14ac:dyDescent="0.25">
      <c r="A123" t="s">
        <v>1313</v>
      </c>
      <c r="B123" t="str">
        <f t="shared" si="3"/>
        <v>&lt;prefix&gt;_&lt;mm&gt;10&lt;yy&gt;_&lt;ar&gt;Revenue</v>
      </c>
    </row>
    <row r="124" spans="1:2" x14ac:dyDescent="0.25">
      <c r="A124" t="s">
        <v>1314</v>
      </c>
      <c r="B124" t="str">
        <f t="shared" si="3"/>
        <v>&lt;prefix&gt;_&lt;mm&gt;10&lt;yy&gt;_&lt;ar&gt;Revenue billed by BAN, Inter/Intra State</v>
      </c>
    </row>
    <row r="125" spans="1:2" x14ac:dyDescent="0.25">
      <c r="A125" t="s">
        <v>1315</v>
      </c>
      <c r="B125" t="str">
        <f t="shared" ref="B125:B156" si="4">"&lt;prefix&gt;_&lt;mm&gt;10&lt;yy&gt;_&lt;ar&gt;"&amp;A125</f>
        <v>&lt;prefix&gt;_&lt;mm&gt;10&lt;yy&gt;_&lt;ar&gt;Revenue billed by BAN, Inter-Intra State</v>
      </c>
    </row>
    <row r="126" spans="1:2" x14ac:dyDescent="0.25">
      <c r="A126" t="s">
        <v>1316</v>
      </c>
      <c r="B126" t="str">
        <f t="shared" si="4"/>
        <v>&lt;prefix&gt;_&lt;mm&gt;10&lt;yy&gt;_&lt;ar&gt;Security Report by User</v>
      </c>
    </row>
    <row r="127" spans="1:2" x14ac:dyDescent="0.25">
      <c r="A127" t="s">
        <v>1317</v>
      </c>
      <c r="B127" t="str">
        <f t="shared" si="4"/>
        <v>&lt;prefix&gt;_&lt;mm&gt;10&lt;yy&gt;_&lt;ar&gt;Security Report by Window</v>
      </c>
    </row>
    <row r="128" spans="1:2" x14ac:dyDescent="0.25">
      <c r="A128" t="s">
        <v>1318</v>
      </c>
      <c r="B128" t="str">
        <f t="shared" si="4"/>
        <v>&lt;prefix&gt;_&lt;mm&gt;10&lt;yy&gt;_&lt;ar&gt;SOC Jurisdiction Table Report</v>
      </c>
    </row>
    <row r="129" spans="1:2" x14ac:dyDescent="0.25">
      <c r="A129" t="s">
        <v>1319</v>
      </c>
      <c r="B129" t="str">
        <f t="shared" si="4"/>
        <v>&lt;prefix&gt;_&lt;mm&gt;10&lt;yy&gt;_&lt;ar&gt;SOC Rate Comparison between companies</v>
      </c>
    </row>
    <row r="130" spans="1:2" x14ac:dyDescent="0.25">
      <c r="A130" t="s">
        <v>1320</v>
      </c>
      <c r="B130" t="str">
        <f t="shared" si="4"/>
        <v>&lt;prefix&gt;_&lt;mm&gt;10&lt;yy&gt;_&lt;ar&gt;SOC Tariff Table Report</v>
      </c>
    </row>
    <row r="131" spans="1:2" x14ac:dyDescent="0.25">
      <c r="A131" t="s">
        <v>1321</v>
      </c>
      <c r="B131" t="str">
        <f t="shared" si="4"/>
        <v>&lt;prefix&gt;_&lt;mm&gt;10&lt;yy&gt;_&lt;ar&gt;Summary of Adjustments Report</v>
      </c>
    </row>
    <row r="132" spans="1:2" x14ac:dyDescent="0.25">
      <c r="A132" t="s">
        <v>1322</v>
      </c>
      <c r="B132" t="str">
        <f t="shared" si="4"/>
        <v>&lt;prefix&gt;_&lt;mm&gt;10&lt;yy&gt;_&lt;ar&gt;Summary of OCCs Report</v>
      </c>
    </row>
    <row r="133" spans="1:2" x14ac:dyDescent="0.25">
      <c r="A133" t="s">
        <v>1323</v>
      </c>
      <c r="B133" t="str">
        <f t="shared" si="4"/>
        <v>&lt;prefix&gt;_&lt;mm&gt;10&lt;yy&gt;_&lt;ar&gt;SW Usage Charges Summary by CLLI</v>
      </c>
    </row>
    <row r="134" spans="1:2" x14ac:dyDescent="0.25">
      <c r="A134" t="s">
        <v>1324</v>
      </c>
      <c r="B134" t="str">
        <f t="shared" si="4"/>
        <v>&lt;prefix&gt;_&lt;mm&gt;10&lt;yy&gt;_&lt;ar&gt;SW Usage Statistics Summary</v>
      </c>
    </row>
    <row r="135" spans="1:2" x14ac:dyDescent="0.25">
      <c r="A135" t="s">
        <v>1325</v>
      </c>
      <c r="B135" t="str">
        <f t="shared" si="4"/>
        <v>&lt;prefix&gt;_&lt;mm&gt;10&lt;yy&gt;_&lt;ar&gt;Switched BANs trending report - MTA</v>
      </c>
    </row>
    <row r="136" spans="1:2" x14ac:dyDescent="0.25">
      <c r="A136" t="s">
        <v>1326</v>
      </c>
      <c r="B136" t="str">
        <f t="shared" si="4"/>
        <v>&lt;prefix&gt;_&lt;mm&gt;10&lt;yy&gt;_&lt;ar&gt;Switched Billing Account - Factor Report</v>
      </c>
    </row>
    <row r="137" spans="1:2" x14ac:dyDescent="0.25">
      <c r="A137" t="s">
        <v>1327</v>
      </c>
      <c r="B137" t="str">
        <f t="shared" si="4"/>
        <v>&lt;prefix&gt;_&lt;mm&gt;10&lt;yy&gt;_&lt;ar&gt;Switched Billing Account - SOC Report</v>
      </c>
    </row>
    <row r="138" spans="1:2" x14ac:dyDescent="0.25">
      <c r="A138" t="s">
        <v>1328</v>
      </c>
      <c r="B138" t="str">
        <f t="shared" si="4"/>
        <v>&lt;prefix&gt;_&lt;mm&gt;10&lt;yy&gt;_&lt;ar&gt;Switched Billing Account - Wire Center Report</v>
      </c>
    </row>
    <row r="139" spans="1:2" x14ac:dyDescent="0.25">
      <c r="A139" t="s">
        <v>1329</v>
      </c>
      <c r="B139" t="str">
        <f t="shared" si="4"/>
        <v>&lt;prefix&gt;_&lt;mm&gt;10&lt;yy&gt;_&lt;ar&gt;Tariff Element Tracking</v>
      </c>
    </row>
    <row r="140" spans="1:2" x14ac:dyDescent="0.25">
      <c r="A140" t="s">
        <v>1330</v>
      </c>
      <c r="B140" t="str">
        <f t="shared" si="4"/>
        <v>&lt;prefix&gt;_&lt;mm&gt;10&lt;yy&gt;_&lt;ar&gt;Transaction Audit Detail</v>
      </c>
    </row>
    <row r="141" spans="1:2" x14ac:dyDescent="0.25">
      <c r="A141" t="s">
        <v>619</v>
      </c>
      <c r="B141" t="str">
        <f t="shared" si="4"/>
        <v>&lt;prefix&gt;_&lt;mm&gt;10&lt;yy&gt;_&lt;ar&gt;Transaction Detail Listing</v>
      </c>
    </row>
    <row r="142" spans="1:2" x14ac:dyDescent="0.25">
      <c r="A142" t="s">
        <v>616</v>
      </c>
      <c r="B142" t="str">
        <f t="shared" si="4"/>
        <v>&lt;prefix&gt;_&lt;mm&gt;10&lt;yy&gt;_&lt;ar&gt;Transaction Summary</v>
      </c>
    </row>
    <row r="143" spans="1:2" x14ac:dyDescent="0.25">
      <c r="A143" t="s">
        <v>1331</v>
      </c>
      <c r="B143" t="str">
        <f t="shared" si="4"/>
        <v>&lt;prefix&gt;_&lt;mm&gt;10&lt;yy&gt;_&lt;ar&gt;Transaction Summary - adjustments only</v>
      </c>
    </row>
    <row r="144" spans="1:2" x14ac:dyDescent="0.25">
      <c r="A144" t="s">
        <v>1332</v>
      </c>
      <c r="B144" t="str">
        <f t="shared" si="4"/>
        <v>&lt;prefix&gt;_&lt;mm&gt;10&lt;yy&gt;_&lt;ar&gt;Transaction Summary - receipts only</v>
      </c>
    </row>
    <row r="145" spans="1:3" x14ac:dyDescent="0.25">
      <c r="A145" t="s">
        <v>1333</v>
      </c>
      <c r="B145" t="str">
        <f t="shared" si="4"/>
        <v>&lt;prefix&gt;_&lt;mm&gt;10&lt;yy&gt;_&lt;ar&gt;Transaction Summary by transaction/bill type</v>
      </c>
    </row>
    <row r="146" spans="1:3" x14ac:dyDescent="0.25">
      <c r="A146" t="s">
        <v>1334</v>
      </c>
      <c r="B146" t="str">
        <f t="shared" si="4"/>
        <v xml:space="preserve">&lt;prefix&gt;_&lt;mm&gt;10&lt;yy&gt;_&lt;ar&gt;Transaction Summary by transaction/bill type </v>
      </c>
    </row>
    <row r="147" spans="1:3" x14ac:dyDescent="0.25">
      <c r="A147" t="s">
        <v>1335</v>
      </c>
      <c r="B147" t="str">
        <f t="shared" si="4"/>
        <v>&lt;prefix&gt;_&lt;mm&gt;10&lt;yy&gt;_&lt;ar&gt;Transaction Summary by transaction-bill type</v>
      </c>
    </row>
    <row r="148" spans="1:3" x14ac:dyDescent="0.25">
      <c r="A148" t="s">
        <v>1336</v>
      </c>
      <c r="B148" t="str">
        <f t="shared" si="4"/>
        <v>&lt;prefix&gt;_&lt;mm&gt;10&lt;yy&gt;_&lt;ar&gt;Unposted Adjustments</v>
      </c>
    </row>
    <row r="149" spans="1:3" x14ac:dyDescent="0.25">
      <c r="A149" t="s">
        <v>1337</v>
      </c>
      <c r="B149" t="str">
        <f t="shared" si="4"/>
        <v>&lt;prefix&gt;_&lt;mm&gt;10&lt;yy&gt;_&lt;ar&gt;Unresolved Disputes by Carrier by code</v>
      </c>
    </row>
    <row r="150" spans="1:3" x14ac:dyDescent="0.25">
      <c r="A150" t="s">
        <v>1338</v>
      </c>
      <c r="B150" t="str">
        <f t="shared" si="4"/>
        <v>&lt;prefix&gt;_&lt;mm&gt;10&lt;yy&gt;_&lt;ar&gt;Unresolved Disputes by Carrier by month</v>
      </c>
    </row>
    <row r="151" spans="1:3" x14ac:dyDescent="0.25">
      <c r="A151" t="s">
        <v>1339</v>
      </c>
      <c r="B151" t="str">
        <f t="shared" si="4"/>
        <v>&lt;prefix&gt;_&lt;mm&gt;10&lt;yy&gt;_&lt;ar&gt;Usage Balancing - Company Totals</v>
      </c>
    </row>
    <row r="152" spans="1:3" x14ac:dyDescent="0.25">
      <c r="A152" t="s">
        <v>1340</v>
      </c>
      <c r="B152" t="str">
        <f t="shared" si="4"/>
        <v>&lt;prefix&gt;_&lt;mm&gt;10&lt;yy&gt;_&lt;ar&gt;Usage Balancing - Company, Ban, Clli Totals</v>
      </c>
    </row>
    <row r="153" spans="1:3" x14ac:dyDescent="0.25">
      <c r="A153" t="s">
        <v>1341</v>
      </c>
      <c r="B153" t="str">
        <f t="shared" si="4"/>
        <v>&lt;prefix&gt;_&lt;mm&gt;10&lt;yy&gt;_&lt;ar&gt;Usage Balancing - Company, Ban, Clli, TT Totals</v>
      </c>
    </row>
    <row r="154" spans="1:3" x14ac:dyDescent="0.25">
      <c r="A154" t="s">
        <v>1342</v>
      </c>
      <c r="B154" t="str">
        <f t="shared" si="4"/>
        <v>&lt;prefix&gt;_&lt;mm&gt;10&lt;yy&gt;_&lt;ar&gt;Usage Totaling Rule</v>
      </c>
    </row>
    <row r="155" spans="1:3" x14ac:dyDescent="0.25">
      <c r="A155" t="s">
        <v>1343</v>
      </c>
      <c r="B155" t="str">
        <f t="shared" si="4"/>
        <v>&lt;prefix&gt;_&lt;mm&gt;10&lt;yy&gt;_&lt;ar&gt;Wire Center Mileage Segment Report</v>
      </c>
    </row>
    <row r="156" spans="1:3" x14ac:dyDescent="0.25">
      <c r="A156" t="s">
        <v>1344</v>
      </c>
      <c r="B156" t="str">
        <f t="shared" si="4"/>
        <v>&lt;prefix&gt;_&lt;mm&gt;10&lt;yy&gt;_&lt;ar&gt;Wire Center Report</v>
      </c>
    </row>
    <row r="157" spans="1:3" x14ac:dyDescent="0.25">
      <c r="A157" t="s">
        <v>107</v>
      </c>
      <c r="B157" t="str">
        <f>"&lt;prefix&gt;_&lt;mm&gt;05&lt;yy&gt;_&lt;ar&gt;"&amp;A157</f>
        <v>&lt;prefix&gt;_&lt;mm&gt;05&lt;yy&gt;_&lt;ar&gt;Payment Report</v>
      </c>
      <c r="C157">
        <v>8</v>
      </c>
    </row>
    <row r="158" spans="1:3" x14ac:dyDescent="0.25">
      <c r="A158" t="s">
        <v>32</v>
      </c>
      <c r="B158" t="str">
        <f>"&lt;prefix&gt;_&lt;mm&gt;05&lt;yy&gt;_&lt;ar&gt;"&amp;A158</f>
        <v>&lt;prefix&gt;_&lt;mm&gt;05&lt;yy&gt;_&lt;ar&gt;Factor Change Audit Report</v>
      </c>
      <c r="C158" s="18">
        <v>10</v>
      </c>
    </row>
    <row r="159" spans="1:3" x14ac:dyDescent="0.25">
      <c r="A159" t="s">
        <v>39</v>
      </c>
      <c r="B159" t="str">
        <f>"&lt;prefix&gt;_&lt;mm&gt;05&lt;yy&gt;_&lt;ar&gt;"&amp;A159</f>
        <v>&lt;prefix&gt;_&lt;mm&gt;05&lt;yy&gt;_&lt;ar&gt;SOC Change Audit Report</v>
      </c>
      <c r="C159" s="18">
        <v>11</v>
      </c>
    </row>
    <row r="160" spans="1:3" x14ac:dyDescent="0.25">
      <c r="A160" t="s">
        <v>34</v>
      </c>
      <c r="B160" t="s">
        <v>1025</v>
      </c>
      <c r="C160" t="s">
        <v>362</v>
      </c>
    </row>
    <row r="161" spans="1:3" x14ac:dyDescent="0.25">
      <c r="A161" t="s">
        <v>16</v>
      </c>
      <c r="B161" t="str">
        <f>"&lt;prefix&gt;_&lt;mm&gt;05&lt;yy&gt;_&lt;ar&gt;"&amp;A161</f>
        <v>&lt;prefix&gt;_&lt;mm&gt;05&lt;yy&gt;_&lt;ar&gt;Bill Completion Check Report</v>
      </c>
      <c r="C161" t="s">
        <v>383</v>
      </c>
    </row>
    <row r="162" spans="1:3" x14ac:dyDescent="0.25">
      <c r="A162" t="s">
        <v>122</v>
      </c>
      <c r="B162" t="s">
        <v>1026</v>
      </c>
      <c r="C162" t="s">
        <v>385</v>
      </c>
    </row>
    <row r="163" spans="1:3" x14ac:dyDescent="0.25">
      <c r="A163" t="s">
        <v>13</v>
      </c>
      <c r="B163" t="s">
        <v>1027</v>
      </c>
      <c r="C163" t="s">
        <v>424</v>
      </c>
    </row>
    <row r="164" spans="1:3" x14ac:dyDescent="0.25">
      <c r="A164" t="s">
        <v>102</v>
      </c>
      <c r="B164" t="s">
        <v>1028</v>
      </c>
      <c r="C164" t="s">
        <v>428</v>
      </c>
    </row>
    <row r="165" spans="1:3" x14ac:dyDescent="0.25">
      <c r="A165" t="s">
        <v>61</v>
      </c>
      <c r="B165" s="11" t="s">
        <v>1029</v>
      </c>
      <c r="C165" t="s">
        <v>767</v>
      </c>
    </row>
    <row r="166" spans="1:3" x14ac:dyDescent="0.25">
      <c r="A166" t="s">
        <v>12</v>
      </c>
      <c r="B166" t="s">
        <v>1030</v>
      </c>
      <c r="C166" t="s">
        <v>216</v>
      </c>
    </row>
    <row r="167" spans="1:3" x14ac:dyDescent="0.25">
      <c r="A167" s="11" t="s">
        <v>20</v>
      </c>
      <c r="B167" s="11" t="s">
        <v>1031</v>
      </c>
      <c r="C167" s="11" t="s">
        <v>231</v>
      </c>
    </row>
    <row r="168" spans="1:3" x14ac:dyDescent="0.25">
      <c r="A168" t="s">
        <v>22</v>
      </c>
      <c r="B168" t="s">
        <v>1032</v>
      </c>
      <c r="C168" t="s">
        <v>238</v>
      </c>
    </row>
    <row r="169" spans="1:3" x14ac:dyDescent="0.25">
      <c r="A169" t="s">
        <v>29</v>
      </c>
      <c r="B169" t="s">
        <v>1033</v>
      </c>
      <c r="C169" t="s">
        <v>248</v>
      </c>
    </row>
    <row r="170" spans="1:3" x14ac:dyDescent="0.25">
      <c r="A170" t="s">
        <v>47</v>
      </c>
      <c r="B170" t="s">
        <v>1034</v>
      </c>
      <c r="C170" t="s">
        <v>251</v>
      </c>
    </row>
    <row r="171" spans="1:3" x14ac:dyDescent="0.25">
      <c r="A171" t="s">
        <v>27</v>
      </c>
      <c r="B171" t="s">
        <v>1035</v>
      </c>
      <c r="C171" t="s">
        <v>266</v>
      </c>
    </row>
    <row r="172" spans="1:3" x14ac:dyDescent="0.25">
      <c r="A172" t="s">
        <v>1011</v>
      </c>
      <c r="B172" t="s">
        <v>1036</v>
      </c>
      <c r="C172" t="s">
        <v>272</v>
      </c>
    </row>
    <row r="173" spans="1:3" x14ac:dyDescent="0.25">
      <c r="A173" t="s">
        <v>135</v>
      </c>
      <c r="B173" t="s">
        <v>1037</v>
      </c>
      <c r="C173" t="s">
        <v>1014</v>
      </c>
    </row>
    <row r="174" spans="1:3" x14ac:dyDescent="0.25">
      <c r="A174" t="s">
        <v>43</v>
      </c>
      <c r="B174" s="11" t="s">
        <v>1038</v>
      </c>
      <c r="C174" t="s">
        <v>1039</v>
      </c>
    </row>
    <row r="175" spans="1:3" x14ac:dyDescent="0.25">
      <c r="A175" t="s">
        <v>7</v>
      </c>
      <c r="B175" t="s">
        <v>1040</v>
      </c>
      <c r="C175" t="s">
        <v>336</v>
      </c>
    </row>
    <row r="176" spans="1:3" x14ac:dyDescent="0.25">
      <c r="A176" s="11" t="s">
        <v>23</v>
      </c>
      <c r="B176" s="6" t="s">
        <v>1041</v>
      </c>
      <c r="C176" s="6"/>
    </row>
    <row r="177" spans="1:3" x14ac:dyDescent="0.25">
      <c r="A177" t="s">
        <v>44</v>
      </c>
      <c r="B177" s="7" t="s">
        <v>1042</v>
      </c>
      <c r="C177" s="7"/>
    </row>
    <row r="178" spans="1:3" x14ac:dyDescent="0.25">
      <c r="A178" s="11" t="s">
        <v>49</v>
      </c>
      <c r="B178" s="6" t="s">
        <v>1043</v>
      </c>
      <c r="C178" s="6"/>
    </row>
    <row r="179" spans="1:3" x14ac:dyDescent="0.25">
      <c r="A179" s="11" t="s">
        <v>51</v>
      </c>
      <c r="B179" s="6" t="s">
        <v>1044</v>
      </c>
      <c r="C179" s="6"/>
    </row>
    <row r="180" spans="1:3" x14ac:dyDescent="0.25">
      <c r="A180" s="11" t="s">
        <v>92</v>
      </c>
      <c r="B180" s="6" t="s">
        <v>1045</v>
      </c>
      <c r="C180" s="6"/>
    </row>
    <row r="181" spans="1:3" x14ac:dyDescent="0.25">
      <c r="A181" t="s">
        <v>120</v>
      </c>
      <c r="B181" s="7" t="s">
        <v>1046</v>
      </c>
      <c r="C181" s="7"/>
    </row>
    <row r="182" spans="1:3" x14ac:dyDescent="0.25">
      <c r="A182" s="11" t="s">
        <v>127</v>
      </c>
      <c r="B182" s="6" t="s">
        <v>1047</v>
      </c>
      <c r="C182" s="6"/>
    </row>
    <row r="183" spans="1:3" x14ac:dyDescent="0.25">
      <c r="A183" t="s">
        <v>1231</v>
      </c>
      <c r="B183" t="str">
        <f t="shared" ref="B183:B196" si="5">"&lt;prefix&gt;_&lt;mm&gt;05&lt;yy&gt;_&lt;ar&gt;"&amp;A183</f>
        <v>&lt;prefix&gt;_&lt;mm&gt;05&lt;yy&gt;_&lt;ar&gt;Access MSG and MOU billed by CLLI,FG,CIC</v>
      </c>
    </row>
    <row r="184" spans="1:3" x14ac:dyDescent="0.25">
      <c r="A184" t="s">
        <v>1232</v>
      </c>
      <c r="B184" t="str">
        <f t="shared" si="5"/>
        <v>&lt;prefix&gt;_&lt;mm&gt;05&lt;yy&gt;_&lt;ar&gt;Adjustments Detail Report - Posted</v>
      </c>
    </row>
    <row r="185" spans="1:3" x14ac:dyDescent="0.25">
      <c r="A185" t="s">
        <v>1233</v>
      </c>
      <c r="B185" t="str">
        <f t="shared" si="5"/>
        <v>&lt;prefix&gt;_&lt;mm&gt;05&lt;yy&gt;_&lt;ar&gt;Adjustments Detail Report - Unposted</v>
      </c>
    </row>
    <row r="186" spans="1:3" x14ac:dyDescent="0.25">
      <c r="A186" t="s">
        <v>30</v>
      </c>
      <c r="B186" t="str">
        <f t="shared" si="5"/>
        <v>&lt;prefix&gt;_&lt;mm&gt;05&lt;yy&gt;_&lt;ar&gt;Aged trial Balance</v>
      </c>
    </row>
    <row r="187" spans="1:3" x14ac:dyDescent="0.25">
      <c r="A187" t="s">
        <v>1234</v>
      </c>
      <c r="B187" t="str">
        <f t="shared" si="5"/>
        <v>&lt;prefix&gt;_&lt;mm&gt;05&lt;yy&gt;_&lt;ar&gt;Aged Trial Balance by Company</v>
      </c>
    </row>
    <row r="188" spans="1:3" x14ac:dyDescent="0.25">
      <c r="A188" t="s">
        <v>1235</v>
      </c>
      <c r="B188" t="str">
        <f t="shared" si="5"/>
        <v>&lt;prefix&gt;_&lt;mm&gt;05&lt;yy&gt;_&lt;ar&gt;Amount billed/disputed/settled by month/carrier</v>
      </c>
    </row>
    <row r="189" spans="1:3" x14ac:dyDescent="0.25">
      <c r="A189" t="s">
        <v>1236</v>
      </c>
      <c r="B189" t="str">
        <f t="shared" si="5"/>
        <v>&lt;prefix&gt;_&lt;mm&gt;05&lt;yy&gt;_&lt;ar&gt;Amount billed/disputed/settled by qtr/carrier</v>
      </c>
    </row>
    <row r="190" spans="1:3" x14ac:dyDescent="0.25">
      <c r="A190" t="s">
        <v>1237</v>
      </c>
      <c r="B190" t="str">
        <f t="shared" si="5"/>
        <v>&lt;prefix&gt;_&lt;mm&gt;05&lt;yy&gt;_&lt;ar&gt;Amount billed-disputed-settled by month-carrier</v>
      </c>
    </row>
    <row r="191" spans="1:3" x14ac:dyDescent="0.25">
      <c r="A191" t="s">
        <v>1238</v>
      </c>
      <c r="B191" t="str">
        <f t="shared" si="5"/>
        <v>&lt;prefix&gt;_&lt;mm&gt;05&lt;yy&gt;_&lt;ar&gt;Amount billed-disputed-settled by qtr-carrier</v>
      </c>
    </row>
    <row r="192" spans="1:3" x14ac:dyDescent="0.25">
      <c r="A192" t="s">
        <v>1239</v>
      </c>
      <c r="B192" t="str">
        <f t="shared" si="5"/>
        <v>&lt;prefix&gt;_&lt;mm&gt;05&lt;yy&gt;_&lt;ar&gt;AS1000 Report</v>
      </c>
    </row>
    <row r="193" spans="1:2" x14ac:dyDescent="0.25">
      <c r="A193" t="s">
        <v>9</v>
      </c>
      <c r="B193" t="str">
        <f t="shared" si="5"/>
        <v>&lt;prefix&gt;_&lt;mm&gt;05&lt;yy&gt;_&lt;ar&gt;AUR History Stats</v>
      </c>
    </row>
    <row r="194" spans="1:2" x14ac:dyDescent="0.25">
      <c r="A194" t="s">
        <v>1240</v>
      </c>
      <c r="B194" t="str">
        <f t="shared" si="5"/>
        <v>&lt;prefix&gt;_&lt;mm&gt;05&lt;yy&gt;_&lt;ar&gt;AUR History Stats (Seconds)</v>
      </c>
    </row>
    <row r="195" spans="1:2" x14ac:dyDescent="0.25">
      <c r="A195" t="s">
        <v>1241</v>
      </c>
      <c r="B195" t="str">
        <f t="shared" si="5"/>
        <v>&lt;prefix&gt;_&lt;mm&gt;05&lt;yy&gt;_&lt;ar&gt;AUR History Summary</v>
      </c>
    </row>
    <row r="196" spans="1:2" x14ac:dyDescent="0.25">
      <c r="A196" t="s">
        <v>1242</v>
      </c>
      <c r="B196" t="str">
        <f t="shared" si="5"/>
        <v>&lt;prefix&gt;_&lt;mm&gt;05&lt;yy&gt;_&lt;ar&gt;AUR History Summary by Day</v>
      </c>
    </row>
    <row r="197" spans="1:2" x14ac:dyDescent="0.25">
      <c r="A197" t="s">
        <v>1243</v>
      </c>
      <c r="B197" t="str">
        <f t="shared" ref="B197:B228" si="6">"&lt;prefix&gt;_&lt;mm&gt;10&lt;yy&gt;_&lt;ar&gt;"&amp;A197</f>
        <v>&lt;prefix&gt;_&lt;mm&gt;10&lt;yy&gt;_&lt;ar&gt;Billed Minutes by Inter/Intra State</v>
      </c>
    </row>
    <row r="198" spans="1:2" x14ac:dyDescent="0.25">
      <c r="A198" t="s">
        <v>1244</v>
      </c>
      <c r="B198" t="str">
        <f t="shared" si="6"/>
        <v>&lt;prefix&gt;_&lt;mm&gt;10&lt;yy&gt;_&lt;ar&gt;Billed Minutes by Inter-Intra State</v>
      </c>
    </row>
    <row r="199" spans="1:2" x14ac:dyDescent="0.25">
      <c r="A199" t="s">
        <v>1245</v>
      </c>
      <c r="B199" t="str">
        <f t="shared" si="6"/>
        <v>&lt;prefix&gt;_&lt;mm&gt;10&lt;yy&gt;_&lt;ar&gt;Billed Minutes by Jurisdiction</v>
      </c>
    </row>
    <row r="200" spans="1:2" x14ac:dyDescent="0.25">
      <c r="A200" t="s">
        <v>1246</v>
      </c>
      <c r="B200" t="str">
        <f t="shared" si="6"/>
        <v>&lt;prefix&gt;_&lt;mm&gt;10&lt;yy&gt;_&lt;ar&gt;Billed minutes by Quarter by Inter/Intra State</v>
      </c>
    </row>
    <row r="201" spans="1:2" x14ac:dyDescent="0.25">
      <c r="A201" t="s">
        <v>1247</v>
      </c>
      <c r="B201" t="str">
        <f t="shared" si="6"/>
        <v>&lt;prefix&gt;_&lt;mm&gt;10&lt;yy&gt;_&lt;ar&gt;Billed minutes by Quarter by Inter-Intra State</v>
      </c>
    </row>
    <row r="202" spans="1:2" x14ac:dyDescent="0.25">
      <c r="A202" t="s">
        <v>1248</v>
      </c>
      <c r="B202" t="str">
        <f t="shared" si="6"/>
        <v>&lt;prefix&gt;_&lt;mm&gt;10&lt;yy&gt;_&lt;ar&gt;Billed Minutes by Quarter by Jurisdiction</v>
      </c>
    </row>
    <row r="203" spans="1:2" x14ac:dyDescent="0.25">
      <c r="A203" t="s">
        <v>1249</v>
      </c>
      <c r="B203" t="str">
        <f t="shared" si="6"/>
        <v>&lt;prefix&gt;_&lt;mm&gt;10&lt;yy&gt;_&lt;ar&gt;Billed Msg MOU Rev by BAN by Jurisdiction</v>
      </c>
    </row>
    <row r="204" spans="1:2" x14ac:dyDescent="0.25">
      <c r="A204" t="s">
        <v>1250</v>
      </c>
      <c r="B204" t="str">
        <f t="shared" si="6"/>
        <v>&lt;prefix&gt;_&lt;mm&gt;10&lt;yy&gt;_&lt;ar&gt;Billed Msg MOU Rev by CLLI by Jurisdiction</v>
      </c>
    </row>
    <row r="205" spans="1:2" x14ac:dyDescent="0.25">
      <c r="A205" t="s">
        <v>1251</v>
      </c>
      <c r="B205" t="str">
        <f t="shared" si="6"/>
        <v>&lt;prefix&gt;_&lt;mm&gt;10&lt;yy&gt;_&lt;ar&gt;CLNT aur_usage_by_day_co_v3</v>
      </c>
    </row>
    <row r="206" spans="1:2" x14ac:dyDescent="0.25">
      <c r="A206" t="s">
        <v>1252</v>
      </c>
      <c r="B206" t="str">
        <f t="shared" si="6"/>
        <v>&lt;prefix&gt;_&lt;mm&gt;10&lt;yy&gt;_&lt;ar&gt;CLNT billed_by_period_for_exp_4_v2</v>
      </c>
    </row>
    <row r="207" spans="1:2" x14ac:dyDescent="0.25">
      <c r="A207" t="s">
        <v>1253</v>
      </c>
      <c r="B207" t="str">
        <f t="shared" si="6"/>
        <v>&lt;prefix&gt;_&lt;mm&gt;10&lt;yy&gt;_&lt;ar&gt;CLNT cbeyond_m_m_r_to_export_v2</v>
      </c>
    </row>
    <row r="208" spans="1:2" x14ac:dyDescent="0.25">
      <c r="A208" t="s">
        <v>1254</v>
      </c>
      <c r="B208" t="str">
        <f t="shared" si="6"/>
        <v>&lt;prefix&gt;_&lt;mm&gt;10&lt;yy&gt;_&lt;ar&gt;CLNT ckt_billed_live_disco_v1</v>
      </c>
    </row>
    <row r="209" spans="1:2" x14ac:dyDescent="0.25">
      <c r="A209" t="s">
        <v>1255</v>
      </c>
      <c r="B209" t="str">
        <f t="shared" si="6"/>
        <v>&lt;prefix&gt;_&lt;mm&gt;10&lt;yy&gt;_&lt;ar&gt;CLNT gl_trans_from_adjustments_ban_v3</v>
      </c>
    </row>
    <row r="210" spans="1:2" x14ac:dyDescent="0.25">
      <c r="A210" t="s">
        <v>1256</v>
      </c>
      <c r="B210" t="str">
        <f t="shared" si="6"/>
        <v>&lt;prefix&gt;_&lt;mm&gt;10&lt;yy&gt;_&lt;ar&gt;CLNT gl_trans_from_occ_ban_v3</v>
      </c>
    </row>
    <row r="211" spans="1:2" x14ac:dyDescent="0.25">
      <c r="A211" t="s">
        <v>1257</v>
      </c>
      <c r="B211" t="str">
        <f t="shared" si="6"/>
        <v>&lt;prefix&gt;_&lt;mm&gt;10&lt;yy&gt;_&lt;ar&gt;CLNT invoice_balances_by_jur_w_lpc_v2</v>
      </c>
    </row>
    <row r="212" spans="1:2" x14ac:dyDescent="0.25">
      <c r="A212" t="s">
        <v>53</v>
      </c>
      <c r="B212" t="str">
        <f t="shared" si="6"/>
        <v>&lt;prefix&gt;_&lt;mm&gt;10&lt;yy&gt;_&lt;ar&gt;CLNT ly_invoice_balances_by_jur_cic</v>
      </c>
    </row>
    <row r="213" spans="1:2" x14ac:dyDescent="0.25">
      <c r="A213" t="s">
        <v>55</v>
      </c>
      <c r="B213" t="str">
        <f t="shared" si="6"/>
        <v>&lt;prefix&gt;_&lt;mm&gt;10&lt;yy&gt;_&lt;ar&gt;CLNT nt_ckt_billed_live_disco_v2</v>
      </c>
    </row>
    <row r="214" spans="1:2" x14ac:dyDescent="0.25">
      <c r="A214" t="s">
        <v>1258</v>
      </c>
      <c r="B214" t="str">
        <f t="shared" si="6"/>
        <v>&lt;prefix&gt;_&lt;mm&gt;10&lt;yy&gt;_&lt;ar&gt;CLNT nt_fa_acctg_detail_rpt_v1</v>
      </c>
    </row>
    <row r="215" spans="1:2" x14ac:dyDescent="0.25">
      <c r="A215" t="s">
        <v>1259</v>
      </c>
      <c r="B215" t="str">
        <f t="shared" si="6"/>
        <v>&lt;prefix&gt;_&lt;mm&gt;10&lt;yy&gt;_&lt;ar&gt;CLNT nt_fa_acctg_rpt_v1</v>
      </c>
    </row>
    <row r="216" spans="1:2" x14ac:dyDescent="0.25">
      <c r="A216" t="s">
        <v>1260</v>
      </c>
      <c r="B216" t="str">
        <f t="shared" si="6"/>
        <v>&lt;prefix&gt;_&lt;mm&gt;10&lt;yy&gt;_&lt;ar&gt;CLNT nt_m_m_r_p_to_export_v1</v>
      </c>
    </row>
    <row r="217" spans="1:2" x14ac:dyDescent="0.25">
      <c r="A217" t="s">
        <v>1261</v>
      </c>
      <c r="B217" t="str">
        <f t="shared" si="6"/>
        <v>&lt;prefix&gt;_&lt;mm&gt;10&lt;yy&gt;_&lt;ar&gt;CLNT nt_m_m_r_to_export_v1</v>
      </c>
    </row>
    <row r="218" spans="1:2" x14ac:dyDescent="0.25">
      <c r="A218" t="s">
        <v>1262</v>
      </c>
      <c r="B218" t="str">
        <f t="shared" si="6"/>
        <v>&lt;prefix&gt;_&lt;mm&gt;10&lt;yy&gt;_&lt;ar&gt;CLNT nt_rev_analysis_clli_2</v>
      </c>
    </row>
    <row r="219" spans="1:2" x14ac:dyDescent="0.25">
      <c r="A219" t="s">
        <v>1263</v>
      </c>
      <c r="B219" t="str">
        <f t="shared" si="6"/>
        <v>&lt;prefix&gt;_&lt;mm&gt;10&lt;yy&gt;_&lt;ar&gt;CLNT payment_by_date8_v2</v>
      </c>
    </row>
    <row r="220" spans="1:2" x14ac:dyDescent="0.25">
      <c r="A220" t="s">
        <v>1264</v>
      </c>
      <c r="B220" t="str">
        <f t="shared" si="6"/>
        <v>&lt;prefix&gt;_&lt;mm&gt;10&lt;yy&gt;_&lt;ar&gt;CLNT r_aged_trial_bal_1v3</v>
      </c>
    </row>
    <row r="221" spans="1:2" x14ac:dyDescent="0.25">
      <c r="A221" t="s">
        <v>1265</v>
      </c>
      <c r="B221" t="str">
        <f t="shared" si="6"/>
        <v>&lt;prefix&gt;_&lt;mm&gt;10&lt;yy&gt;_&lt;ar&gt;CLNT r_aged_trial_bal_for_export_v2</v>
      </c>
    </row>
    <row r="222" spans="1:2" x14ac:dyDescent="0.25">
      <c r="A222" t="s">
        <v>1266</v>
      </c>
      <c r="B222" t="str">
        <f t="shared" si="6"/>
        <v>&lt;prefix&gt;_&lt;mm&gt;10&lt;yy&gt;_&lt;ar&gt;CLNT r_sce_3_v3_2</v>
      </c>
    </row>
    <row r="223" spans="1:2" x14ac:dyDescent="0.25">
      <c r="A223" t="s">
        <v>1267</v>
      </c>
      <c r="B223" t="str">
        <f t="shared" si="6"/>
        <v>&lt;prefix&gt;_&lt;mm&gt;10&lt;yy&gt;_&lt;ar&gt;CLNT r_transaction_summary_bills_v2</v>
      </c>
    </row>
    <row r="224" spans="1:2" x14ac:dyDescent="0.25">
      <c r="A224" t="s">
        <v>1268</v>
      </c>
      <c r="B224" t="str">
        <f t="shared" si="6"/>
        <v>&lt;prefix&gt;_&lt;mm&gt;10&lt;yy&gt;_&lt;ar&gt;CLNT sw_invoice_trending_v6</v>
      </c>
    </row>
    <row r="225" spans="1:2" x14ac:dyDescent="0.25">
      <c r="A225" t="s">
        <v>1269</v>
      </c>
      <c r="B225" t="str">
        <f t="shared" si="6"/>
        <v>&lt;prefix&gt;_&lt;mm&gt;10&lt;yy&gt;_&lt;ar&gt;Company Master Report</v>
      </c>
    </row>
    <row r="226" spans="1:2" x14ac:dyDescent="0.25">
      <c r="A226" t="s">
        <v>1270</v>
      </c>
      <c r="B226" t="str">
        <f t="shared" si="6"/>
        <v>&lt;prefix&gt;_&lt;mm&gt;10&lt;yy&gt;_&lt;ar&gt;Detail of OCCs Posted - MTA</v>
      </c>
    </row>
    <row r="227" spans="1:2" x14ac:dyDescent="0.25">
      <c r="A227" t="s">
        <v>18</v>
      </c>
      <c r="B227" t="str">
        <f t="shared" si="6"/>
        <v>&lt;prefix&gt;_&lt;mm&gt;10&lt;yy&gt;_&lt;ar&gt;Detailed BAN Error Report</v>
      </c>
    </row>
    <row r="228" spans="1:2" x14ac:dyDescent="0.25">
      <c r="A228" t="s">
        <v>1271</v>
      </c>
      <c r="B228" t="str">
        <f t="shared" si="6"/>
        <v>&lt;prefix&gt;_&lt;mm&gt;10&lt;yy&gt;_&lt;ar&gt;Dispute amounts by type by month</v>
      </c>
    </row>
    <row r="229" spans="1:2" x14ac:dyDescent="0.25">
      <c r="A229" t="s">
        <v>1272</v>
      </c>
      <c r="B229" t="str">
        <f t="shared" ref="B229:B260" si="7">"&lt;prefix&gt;_&lt;mm&gt;10&lt;yy&gt;_&lt;ar&gt;"&amp;A229</f>
        <v>&lt;prefix&gt;_&lt;mm&gt;10&lt;yy&gt;_&lt;ar&gt;Dispute amounts by type by month by carrier</v>
      </c>
    </row>
    <row r="230" spans="1:2" x14ac:dyDescent="0.25">
      <c r="A230" t="s">
        <v>1273</v>
      </c>
      <c r="B230" t="str">
        <f t="shared" si="7"/>
        <v>&lt;prefix&gt;_&lt;mm&gt;10&lt;yy&gt;_&lt;ar&gt;Dispute amounts by type by quarter</v>
      </c>
    </row>
    <row r="231" spans="1:2" x14ac:dyDescent="0.25">
      <c r="A231" t="s">
        <v>1274</v>
      </c>
      <c r="B231" t="str">
        <f t="shared" si="7"/>
        <v>&lt;prefix&gt;_&lt;mm&gt;10&lt;yy&gt;_&lt;ar&gt;Dispute amounts by type by quarter by carrier</v>
      </c>
    </row>
    <row r="232" spans="1:2" x14ac:dyDescent="0.25">
      <c r="A232" t="s">
        <v>1275</v>
      </c>
      <c r="B232" t="str">
        <f t="shared" si="7"/>
        <v>&lt;prefix&gt;_&lt;mm&gt;10&lt;yy&gt;_&lt;ar&gt;Dispute amounts/carrier/month for a given year</v>
      </c>
    </row>
    <row r="233" spans="1:2" x14ac:dyDescent="0.25">
      <c r="A233" t="s">
        <v>1276</v>
      </c>
      <c r="B233" t="str">
        <f t="shared" si="7"/>
        <v>&lt;prefix&gt;_&lt;mm&gt;10&lt;yy&gt;_&lt;ar&gt;Dispute amounts/carrier/qtr for a given year</v>
      </c>
    </row>
    <row r="234" spans="1:2" x14ac:dyDescent="0.25">
      <c r="A234" t="s">
        <v>1277</v>
      </c>
      <c r="B234" t="str">
        <f t="shared" si="7"/>
        <v>&lt;prefix&gt;_&lt;mm&gt;10&lt;yy&gt;_&lt;ar&gt;Dispute amounts-carrier-month for a given year</v>
      </c>
    </row>
    <row r="235" spans="1:2" x14ac:dyDescent="0.25">
      <c r="A235" t="s">
        <v>1278</v>
      </c>
      <c r="B235" t="str">
        <f t="shared" si="7"/>
        <v>&lt;prefix&gt;_&lt;mm&gt;10&lt;yy&gt;_&lt;ar&gt;Dispute amounts-carrier-qtr for a given year</v>
      </c>
    </row>
    <row r="236" spans="1:2" x14ac:dyDescent="0.25">
      <c r="A236" t="s">
        <v>1279</v>
      </c>
      <c r="B236" t="str">
        <f t="shared" si="7"/>
        <v>&lt;prefix&gt;_&lt;mm&gt;10&lt;yy&gt;_&lt;ar&gt;EC1050 Report</v>
      </c>
    </row>
    <row r="237" spans="1:2" x14ac:dyDescent="0.25">
      <c r="A237" t="s">
        <v>70</v>
      </c>
      <c r="B237" t="str">
        <f t="shared" si="7"/>
        <v>&lt;prefix&gt;_&lt;mm&gt;10&lt;yy&gt;_&lt;ar&gt;FA Charges Summary</v>
      </c>
    </row>
    <row r="238" spans="1:2" x14ac:dyDescent="0.25">
      <c r="A238" t="s">
        <v>71</v>
      </c>
      <c r="B238" t="str">
        <f t="shared" si="7"/>
        <v>&lt;prefix&gt;_&lt;mm&gt;10&lt;yy&gt;_&lt;ar&gt;FA Circuit Charges by CIC by CLLI</v>
      </c>
    </row>
    <row r="239" spans="1:2" x14ac:dyDescent="0.25">
      <c r="A239" t="s">
        <v>69</v>
      </c>
      <c r="B239" t="str">
        <f t="shared" si="7"/>
        <v>&lt;prefix&gt;_&lt;mm&gt;10&lt;yy&gt;_&lt;ar&gt;Facility BANS Trending Report</v>
      </c>
    </row>
    <row r="240" spans="1:2" x14ac:dyDescent="0.25">
      <c r="A240" t="s">
        <v>1280</v>
      </c>
      <c r="B240" t="str">
        <f t="shared" si="7"/>
        <v>&lt;prefix&gt;_&lt;mm&gt;10&lt;yy&gt;_&lt;ar&gt;Facility BANs trending report - MTA</v>
      </c>
    </row>
    <row r="241" spans="1:2" x14ac:dyDescent="0.25">
      <c r="A241" t="s">
        <v>78</v>
      </c>
      <c r="B241" t="str">
        <f t="shared" si="7"/>
        <v>&lt;prefix&gt;_&lt;mm&gt;10&lt;yy&gt;_&lt;ar&gt;Fulfillment Report</v>
      </c>
    </row>
    <row r="242" spans="1:2" x14ac:dyDescent="0.25">
      <c r="A242" t="s">
        <v>79</v>
      </c>
      <c r="B242" t="str">
        <f t="shared" si="7"/>
        <v>&lt;prefix&gt;_&lt;mm&gt;10&lt;yy&gt;_&lt;ar&gt;FUSC Charge By Circuit</v>
      </c>
    </row>
    <row r="243" spans="1:2" x14ac:dyDescent="0.25">
      <c r="A243" t="s">
        <v>1281</v>
      </c>
      <c r="B243" t="str">
        <f t="shared" si="7"/>
        <v>&lt;prefix&gt;_&lt;mm&gt;10&lt;yy&gt;_&lt;ar&gt;Graph - Disputed Amounts by Carrier</v>
      </c>
    </row>
    <row r="244" spans="1:2" x14ac:dyDescent="0.25">
      <c r="A244" t="s">
        <v>1282</v>
      </c>
      <c r="B244" t="str">
        <f t="shared" si="7"/>
        <v>&lt;prefix&gt;_&lt;mm&gt;10&lt;yy&gt;_&lt;ar&gt;Graph - Disputed Amounts by Carrier by Date</v>
      </c>
    </row>
    <row r="245" spans="1:2" x14ac:dyDescent="0.25">
      <c r="A245" t="s">
        <v>1283</v>
      </c>
      <c r="B245" t="str">
        <f t="shared" si="7"/>
        <v>&lt;prefix&gt;_&lt;mm&gt;10&lt;yy&gt;_&lt;ar&gt;Graph - Disputed Amounts by dispute types</v>
      </c>
    </row>
    <row r="246" spans="1:2" x14ac:dyDescent="0.25">
      <c r="A246" t="s">
        <v>1284</v>
      </c>
      <c r="B246" t="str">
        <f t="shared" si="7"/>
        <v>&lt;prefix&gt;_&lt;mm&gt;10&lt;yy&gt;_&lt;ar&gt;Graph - Disputed Amounts vs Resolutions</v>
      </c>
    </row>
    <row r="247" spans="1:2" x14ac:dyDescent="0.25">
      <c r="A247" t="s">
        <v>1285</v>
      </c>
      <c r="B247" t="str">
        <f t="shared" si="7"/>
        <v>&lt;prefix&gt;_&lt;mm&gt;10&lt;yy&gt;_&lt;ar&gt;Graph - No. of Disputes by Carrier</v>
      </c>
    </row>
    <row r="248" spans="1:2" x14ac:dyDescent="0.25">
      <c r="A248" t="s">
        <v>1286</v>
      </c>
      <c r="B248" t="str">
        <f t="shared" si="7"/>
        <v>&lt;prefix&gt;_&lt;mm&gt;10&lt;yy&gt;_&lt;ar&gt;Graph - No. of Disputes by Carrier by Date</v>
      </c>
    </row>
    <row r="249" spans="1:2" x14ac:dyDescent="0.25">
      <c r="A249" t="s">
        <v>1287</v>
      </c>
      <c r="B249" t="str">
        <f t="shared" si="7"/>
        <v>&lt;prefix&gt;_&lt;mm&gt;10&lt;yy&gt;_&lt;ar&gt;Invoice Balance By Jur</v>
      </c>
    </row>
    <row r="250" spans="1:2" x14ac:dyDescent="0.25">
      <c r="A250" t="s">
        <v>1288</v>
      </c>
      <c r="B250" t="str">
        <f t="shared" si="7"/>
        <v>&lt;prefix&gt;_&lt;mm&gt;10&lt;yy&gt;_&lt;ar&gt;Manual Local to Tra/Tra</v>
      </c>
    </row>
    <row r="251" spans="1:2" x14ac:dyDescent="0.25">
      <c r="A251" t="s">
        <v>1289</v>
      </c>
      <c r="B251" t="str">
        <f t="shared" si="7"/>
        <v>&lt;prefix&gt;_&lt;mm&gt;10&lt;yy&gt;_&lt;ar&gt;Message Record Analysis</v>
      </c>
    </row>
    <row r="252" spans="1:2" x14ac:dyDescent="0.25">
      <c r="A252" t="s">
        <v>1290</v>
      </c>
      <c r="B252" t="str">
        <f t="shared" si="7"/>
        <v>&lt;prefix&gt;_&lt;mm&gt;10&lt;yy&gt;_&lt;ar&gt;Messages and minutes billed by FG,CIC</v>
      </c>
    </row>
    <row r="253" spans="1:2" x14ac:dyDescent="0.25">
      <c r="A253" t="s">
        <v>1291</v>
      </c>
      <c r="B253" t="str">
        <f t="shared" si="7"/>
        <v>&lt;prefix&gt;_&lt;mm&gt;10&lt;yy&gt;_&lt;ar&gt;Messages and minutes billed by FG,CIC(Local separa</v>
      </c>
    </row>
    <row r="254" spans="1:2" x14ac:dyDescent="0.25">
      <c r="A254" t="s">
        <v>1292</v>
      </c>
      <c r="B254" t="str">
        <f t="shared" si="7"/>
        <v>&lt;prefix&gt;_&lt;mm&gt;10&lt;yy&gt;_&lt;ar&gt;Minutes</v>
      </c>
    </row>
    <row r="255" spans="1:2" x14ac:dyDescent="0.25">
      <c r="A255" t="s">
        <v>1293</v>
      </c>
      <c r="B255" t="str">
        <f t="shared" si="7"/>
        <v>&lt;prefix&gt;_&lt;mm&gt;10&lt;yy&gt;_&lt;ar&gt;Minutes billed by BAN, Orig- Term Inter-Intra Stat</v>
      </c>
    </row>
    <row r="256" spans="1:2" x14ac:dyDescent="0.25">
      <c r="A256" t="s">
        <v>1294</v>
      </c>
      <c r="B256" t="str">
        <f t="shared" si="7"/>
        <v>&lt;prefix&gt;_&lt;mm&gt;10&lt;yy&gt;_&lt;ar&gt;Minutes billed by BAN, Orig/ Term Inter/Intra Stat</v>
      </c>
    </row>
    <row r="257" spans="1:2" x14ac:dyDescent="0.25">
      <c r="A257" t="s">
        <v>1295</v>
      </c>
      <c r="B257" t="str">
        <f t="shared" si="7"/>
        <v>&lt;prefix&gt;_&lt;mm&gt;10&lt;yy&gt;_&lt;ar&gt;MTAV5_Reports_Table</v>
      </c>
    </row>
    <row r="258" spans="1:2" x14ac:dyDescent="0.25">
      <c r="A258" t="s">
        <v>1296</v>
      </c>
      <c r="B258" t="str">
        <f t="shared" si="7"/>
        <v>&lt;prefix&gt;_&lt;mm&gt;10&lt;yy&gt;_&lt;ar&gt;MTAV5_Rpt_Argmnt</v>
      </c>
    </row>
    <row r="259" spans="1:2" x14ac:dyDescent="0.25">
      <c r="A259" t="s">
        <v>100</v>
      </c>
      <c r="B259" t="str">
        <f t="shared" si="7"/>
        <v>&lt;prefix&gt;_&lt;mm&gt;10&lt;yy&gt;_&lt;ar&gt;NECA AS1000</v>
      </c>
    </row>
    <row r="260" spans="1:2" x14ac:dyDescent="0.25">
      <c r="A260" t="s">
        <v>101</v>
      </c>
      <c r="B260" t="str">
        <f t="shared" si="7"/>
        <v>&lt;prefix&gt;_&lt;mm&gt;10&lt;yy&gt;_&lt;ar&gt;NECA EC1050</v>
      </c>
    </row>
    <row r="261" spans="1:2" x14ac:dyDescent="0.25">
      <c r="A261" t="s">
        <v>1297</v>
      </c>
      <c r="B261" t="str">
        <f t="shared" ref="B261:B292" si="8">"&lt;prefix&gt;_&lt;mm&gt;10&lt;yy&gt;_&lt;ar&gt;"&amp;A261</f>
        <v>&lt;prefix&gt;_&lt;mm&gt;10&lt;yy&gt;_&lt;ar&gt;Non FA Rate Element as Billed Table Report</v>
      </c>
    </row>
    <row r="262" spans="1:2" x14ac:dyDescent="0.25">
      <c r="A262" t="s">
        <v>1298</v>
      </c>
      <c r="B262" t="str">
        <f t="shared" si="8"/>
        <v>&lt;prefix&gt;_&lt;mm&gt;10&lt;yy&gt;_&lt;ar&gt;OCC Detail Report - Posted</v>
      </c>
    </row>
    <row r="263" spans="1:2" x14ac:dyDescent="0.25">
      <c r="A263" t="s">
        <v>1299</v>
      </c>
      <c r="B263" t="str">
        <f t="shared" si="8"/>
        <v>&lt;prefix&gt;_&lt;mm&gt;10&lt;yy&gt;_&lt;ar&gt;OCC Detail Report - Unposted</v>
      </c>
    </row>
    <row r="264" spans="1:2" x14ac:dyDescent="0.25">
      <c r="A264" t="s">
        <v>1300</v>
      </c>
      <c r="B264" t="str">
        <f t="shared" si="8"/>
        <v>&lt;prefix&gt;_&lt;mm&gt;10&lt;yy&gt;_&lt;ar&gt;Partially Paid Invoices</v>
      </c>
    </row>
    <row r="265" spans="1:2" x14ac:dyDescent="0.25">
      <c r="A265" t="s">
        <v>1301</v>
      </c>
      <c r="B265" t="str">
        <f t="shared" si="8"/>
        <v>&lt;prefix&gt;_&lt;mm&gt;10&lt;yy&gt;_&lt;ar&gt;Payment Details by Check</v>
      </c>
    </row>
    <row r="266" spans="1:2" x14ac:dyDescent="0.25">
      <c r="A266" t="s">
        <v>1302</v>
      </c>
      <c r="B266" t="str">
        <f t="shared" si="8"/>
        <v>&lt;prefix&gt;_&lt;mm&gt;10&lt;yy&gt;_&lt;ar&gt;Payments by Payer by BAN</v>
      </c>
    </row>
    <row r="267" spans="1:2" x14ac:dyDescent="0.25">
      <c r="A267" t="s">
        <v>1303</v>
      </c>
      <c r="B267" t="str">
        <f t="shared" si="8"/>
        <v>&lt;prefix&gt;_&lt;mm&gt;10&lt;yy&gt;_&lt;ar&gt;Payments Not on Bill</v>
      </c>
    </row>
    <row r="268" spans="1:2" x14ac:dyDescent="0.25">
      <c r="A268" t="s">
        <v>1304</v>
      </c>
      <c r="B268" t="str">
        <f t="shared" si="8"/>
        <v>&lt;prefix&gt;_&lt;mm&gt;10&lt;yy&gt;_&lt;ar&gt;Percent of disputes/billed per month/year</v>
      </c>
    </row>
    <row r="269" spans="1:2" x14ac:dyDescent="0.25">
      <c r="A269" t="s">
        <v>1305</v>
      </c>
      <c r="B269" t="str">
        <f t="shared" si="8"/>
        <v>&lt;prefix&gt;_&lt;mm&gt;10&lt;yy&gt;_&lt;ar&gt;Percent of disputes/billed per qtr/year</v>
      </c>
    </row>
    <row r="270" spans="1:2" x14ac:dyDescent="0.25">
      <c r="A270" t="s">
        <v>1306</v>
      </c>
      <c r="B270" t="str">
        <f t="shared" si="8"/>
        <v>&lt;prefix&gt;_&lt;mm&gt;10&lt;yy&gt;_&lt;ar&gt;Percent of disputes-billed per month-year</v>
      </c>
    </row>
    <row r="271" spans="1:2" x14ac:dyDescent="0.25">
      <c r="A271" t="s">
        <v>1307</v>
      </c>
      <c r="B271" t="str">
        <f t="shared" si="8"/>
        <v>&lt;prefix&gt;_&lt;mm&gt;10&lt;yy&gt;_&lt;ar&gt;Percent of disputes-billed per qtr-year</v>
      </c>
    </row>
    <row r="272" spans="1:2" x14ac:dyDescent="0.25">
      <c r="A272" t="s">
        <v>1308</v>
      </c>
      <c r="B272" t="str">
        <f t="shared" si="8"/>
        <v>&lt;prefix&gt;_&lt;mm&gt;10&lt;yy&gt;_&lt;ar&gt;Post billing rate change adj. calc. - FA</v>
      </c>
    </row>
    <row r="273" spans="1:2" x14ac:dyDescent="0.25">
      <c r="A273" t="s">
        <v>1309</v>
      </c>
      <c r="B273" t="str">
        <f t="shared" si="8"/>
        <v>&lt;prefix&gt;_&lt;mm&gt;10&lt;yy&gt;_&lt;ar&gt;Post billing rate change adj. calc. - SW</v>
      </c>
    </row>
    <row r="274" spans="1:2" x14ac:dyDescent="0.25">
      <c r="A274" t="s">
        <v>1310</v>
      </c>
      <c r="B274" t="str">
        <f t="shared" si="8"/>
        <v>&lt;prefix&gt;_&lt;mm&gt;10&lt;yy&gt;_&lt;ar&gt;Rate Element Table Report</v>
      </c>
    </row>
    <row r="275" spans="1:2" x14ac:dyDescent="0.25">
      <c r="A275" t="s">
        <v>1311</v>
      </c>
      <c r="B275" t="str">
        <f t="shared" si="8"/>
        <v>&lt;prefix&gt;_&lt;mm&gt;10&lt;yy&gt;_&lt;ar&gt;Reconciliation of account balance over time</v>
      </c>
    </row>
    <row r="276" spans="1:2" x14ac:dyDescent="0.25">
      <c r="A276" t="s">
        <v>1312</v>
      </c>
      <c r="B276" t="str">
        <f t="shared" si="8"/>
        <v>&lt;prefix&gt;_&lt;mm&gt;10&lt;yy&gt;_&lt;ar&gt;Resolved Disputes by carrier</v>
      </c>
    </row>
    <row r="277" spans="1:2" x14ac:dyDescent="0.25">
      <c r="A277" t="s">
        <v>1313</v>
      </c>
      <c r="B277" t="str">
        <f t="shared" si="8"/>
        <v>&lt;prefix&gt;_&lt;mm&gt;10&lt;yy&gt;_&lt;ar&gt;Revenue</v>
      </c>
    </row>
    <row r="278" spans="1:2" x14ac:dyDescent="0.25">
      <c r="A278" t="s">
        <v>1314</v>
      </c>
      <c r="B278" t="str">
        <f t="shared" si="8"/>
        <v>&lt;prefix&gt;_&lt;mm&gt;10&lt;yy&gt;_&lt;ar&gt;Revenue billed by BAN, Inter/Intra State</v>
      </c>
    </row>
    <row r="279" spans="1:2" x14ac:dyDescent="0.25">
      <c r="A279" t="s">
        <v>1315</v>
      </c>
      <c r="B279" t="str">
        <f t="shared" si="8"/>
        <v>&lt;prefix&gt;_&lt;mm&gt;10&lt;yy&gt;_&lt;ar&gt;Revenue billed by BAN, Inter-Intra State</v>
      </c>
    </row>
    <row r="280" spans="1:2" x14ac:dyDescent="0.25">
      <c r="A280" t="s">
        <v>1316</v>
      </c>
      <c r="B280" t="str">
        <f t="shared" si="8"/>
        <v>&lt;prefix&gt;_&lt;mm&gt;10&lt;yy&gt;_&lt;ar&gt;Security Report by User</v>
      </c>
    </row>
    <row r="281" spans="1:2" x14ac:dyDescent="0.25">
      <c r="A281" t="s">
        <v>1317</v>
      </c>
      <c r="B281" t="str">
        <f t="shared" si="8"/>
        <v>&lt;prefix&gt;_&lt;mm&gt;10&lt;yy&gt;_&lt;ar&gt;Security Report by Window</v>
      </c>
    </row>
    <row r="282" spans="1:2" x14ac:dyDescent="0.25">
      <c r="A282" t="s">
        <v>1318</v>
      </c>
      <c r="B282" t="str">
        <f t="shared" si="8"/>
        <v>&lt;prefix&gt;_&lt;mm&gt;10&lt;yy&gt;_&lt;ar&gt;SOC Jurisdiction Table Report</v>
      </c>
    </row>
    <row r="283" spans="1:2" x14ac:dyDescent="0.25">
      <c r="A283" t="s">
        <v>1319</v>
      </c>
      <c r="B283" t="str">
        <f t="shared" si="8"/>
        <v>&lt;prefix&gt;_&lt;mm&gt;10&lt;yy&gt;_&lt;ar&gt;SOC Rate Comparison between companies</v>
      </c>
    </row>
    <row r="284" spans="1:2" x14ac:dyDescent="0.25">
      <c r="A284" t="s">
        <v>1320</v>
      </c>
      <c r="B284" t="str">
        <f t="shared" si="8"/>
        <v>&lt;prefix&gt;_&lt;mm&gt;10&lt;yy&gt;_&lt;ar&gt;SOC Tariff Table Report</v>
      </c>
    </row>
    <row r="285" spans="1:2" x14ac:dyDescent="0.25">
      <c r="A285" t="s">
        <v>1321</v>
      </c>
      <c r="B285" t="str">
        <f t="shared" si="8"/>
        <v>&lt;prefix&gt;_&lt;mm&gt;10&lt;yy&gt;_&lt;ar&gt;Summary of Adjustments Report</v>
      </c>
    </row>
    <row r="286" spans="1:2" x14ac:dyDescent="0.25">
      <c r="A286" t="s">
        <v>1322</v>
      </c>
      <c r="B286" t="str">
        <f t="shared" si="8"/>
        <v>&lt;prefix&gt;_&lt;mm&gt;10&lt;yy&gt;_&lt;ar&gt;Summary of OCCs Report</v>
      </c>
    </row>
    <row r="287" spans="1:2" x14ac:dyDescent="0.25">
      <c r="A287" t="s">
        <v>1323</v>
      </c>
      <c r="B287" t="str">
        <f t="shared" si="8"/>
        <v>&lt;prefix&gt;_&lt;mm&gt;10&lt;yy&gt;_&lt;ar&gt;SW Usage Charges Summary by CLLI</v>
      </c>
    </row>
    <row r="288" spans="1:2" x14ac:dyDescent="0.25">
      <c r="A288" t="s">
        <v>1324</v>
      </c>
      <c r="B288" t="str">
        <f t="shared" si="8"/>
        <v>&lt;prefix&gt;_&lt;mm&gt;10&lt;yy&gt;_&lt;ar&gt;SW Usage Statistics Summary</v>
      </c>
    </row>
    <row r="289" spans="1:2" x14ac:dyDescent="0.25">
      <c r="A289" t="s">
        <v>1325</v>
      </c>
      <c r="B289" t="str">
        <f t="shared" si="8"/>
        <v>&lt;prefix&gt;_&lt;mm&gt;10&lt;yy&gt;_&lt;ar&gt;Switched BANs trending report - MTA</v>
      </c>
    </row>
    <row r="290" spans="1:2" x14ac:dyDescent="0.25">
      <c r="A290" t="s">
        <v>1326</v>
      </c>
      <c r="B290" t="str">
        <f t="shared" si="8"/>
        <v>&lt;prefix&gt;_&lt;mm&gt;10&lt;yy&gt;_&lt;ar&gt;Switched Billing Account - Factor Report</v>
      </c>
    </row>
    <row r="291" spans="1:2" x14ac:dyDescent="0.25">
      <c r="A291" t="s">
        <v>1327</v>
      </c>
      <c r="B291" t="str">
        <f t="shared" si="8"/>
        <v>&lt;prefix&gt;_&lt;mm&gt;10&lt;yy&gt;_&lt;ar&gt;Switched Billing Account - SOC Report</v>
      </c>
    </row>
    <row r="292" spans="1:2" x14ac:dyDescent="0.25">
      <c r="A292" t="s">
        <v>1328</v>
      </c>
      <c r="B292" t="str">
        <f t="shared" si="8"/>
        <v>&lt;prefix&gt;_&lt;mm&gt;10&lt;yy&gt;_&lt;ar&gt;Switched Billing Account - Wire Center Report</v>
      </c>
    </row>
    <row r="293" spans="1:2" x14ac:dyDescent="0.25">
      <c r="A293" t="s">
        <v>1329</v>
      </c>
      <c r="B293" t="str">
        <f t="shared" ref="B293:B311" si="9">"&lt;prefix&gt;_&lt;mm&gt;10&lt;yy&gt;_&lt;ar&gt;"&amp;A293</f>
        <v>&lt;prefix&gt;_&lt;mm&gt;10&lt;yy&gt;_&lt;ar&gt;Tariff Element Tracking</v>
      </c>
    </row>
    <row r="294" spans="1:2" x14ac:dyDescent="0.25">
      <c r="A294" t="s">
        <v>1330</v>
      </c>
      <c r="B294" t="str">
        <f t="shared" si="9"/>
        <v>&lt;prefix&gt;_&lt;mm&gt;10&lt;yy&gt;_&lt;ar&gt;Transaction Audit Detail</v>
      </c>
    </row>
    <row r="295" spans="1:2" x14ac:dyDescent="0.25">
      <c r="A295" t="s">
        <v>619</v>
      </c>
      <c r="B295" t="str">
        <f t="shared" si="9"/>
        <v>&lt;prefix&gt;_&lt;mm&gt;10&lt;yy&gt;_&lt;ar&gt;Transaction Detail Listing</v>
      </c>
    </row>
    <row r="296" spans="1:2" x14ac:dyDescent="0.25">
      <c r="A296" t="s">
        <v>616</v>
      </c>
      <c r="B296" t="str">
        <f t="shared" si="9"/>
        <v>&lt;prefix&gt;_&lt;mm&gt;10&lt;yy&gt;_&lt;ar&gt;Transaction Summary</v>
      </c>
    </row>
    <row r="297" spans="1:2" x14ac:dyDescent="0.25">
      <c r="A297" t="s">
        <v>1331</v>
      </c>
      <c r="B297" t="str">
        <f t="shared" si="9"/>
        <v>&lt;prefix&gt;_&lt;mm&gt;10&lt;yy&gt;_&lt;ar&gt;Transaction Summary - adjustments only</v>
      </c>
    </row>
    <row r="298" spans="1:2" x14ac:dyDescent="0.25">
      <c r="A298" t="s">
        <v>1332</v>
      </c>
      <c r="B298" t="str">
        <f t="shared" si="9"/>
        <v>&lt;prefix&gt;_&lt;mm&gt;10&lt;yy&gt;_&lt;ar&gt;Transaction Summary - receipts only</v>
      </c>
    </row>
    <row r="299" spans="1:2" x14ac:dyDescent="0.25">
      <c r="A299" t="s">
        <v>1333</v>
      </c>
      <c r="B299" t="str">
        <f t="shared" si="9"/>
        <v>&lt;prefix&gt;_&lt;mm&gt;10&lt;yy&gt;_&lt;ar&gt;Transaction Summary by transaction/bill type</v>
      </c>
    </row>
    <row r="300" spans="1:2" x14ac:dyDescent="0.25">
      <c r="A300" t="s">
        <v>1334</v>
      </c>
      <c r="B300" t="str">
        <f t="shared" si="9"/>
        <v xml:space="preserve">&lt;prefix&gt;_&lt;mm&gt;10&lt;yy&gt;_&lt;ar&gt;Transaction Summary by transaction/bill type </v>
      </c>
    </row>
    <row r="301" spans="1:2" x14ac:dyDescent="0.25">
      <c r="A301" t="s">
        <v>1335</v>
      </c>
      <c r="B301" t="str">
        <f t="shared" si="9"/>
        <v>&lt;prefix&gt;_&lt;mm&gt;10&lt;yy&gt;_&lt;ar&gt;Transaction Summary by transaction-bill type</v>
      </c>
    </row>
    <row r="302" spans="1:2" x14ac:dyDescent="0.25">
      <c r="A302" t="s">
        <v>1336</v>
      </c>
      <c r="B302" t="str">
        <f t="shared" si="9"/>
        <v>&lt;prefix&gt;_&lt;mm&gt;10&lt;yy&gt;_&lt;ar&gt;Unposted Adjustments</v>
      </c>
    </row>
    <row r="303" spans="1:2" x14ac:dyDescent="0.25">
      <c r="A303" t="s">
        <v>1337</v>
      </c>
      <c r="B303" t="str">
        <f t="shared" si="9"/>
        <v>&lt;prefix&gt;_&lt;mm&gt;10&lt;yy&gt;_&lt;ar&gt;Unresolved Disputes by Carrier by code</v>
      </c>
    </row>
    <row r="304" spans="1:2" x14ac:dyDescent="0.25">
      <c r="A304" t="s">
        <v>1338</v>
      </c>
      <c r="B304" t="str">
        <f t="shared" si="9"/>
        <v>&lt;prefix&gt;_&lt;mm&gt;10&lt;yy&gt;_&lt;ar&gt;Unresolved Disputes by Carrier by month</v>
      </c>
    </row>
    <row r="305" spans="1:3" x14ac:dyDescent="0.25">
      <c r="A305" t="s">
        <v>1339</v>
      </c>
      <c r="B305" t="str">
        <f t="shared" si="9"/>
        <v>&lt;prefix&gt;_&lt;mm&gt;10&lt;yy&gt;_&lt;ar&gt;Usage Balancing - Company Totals</v>
      </c>
    </row>
    <row r="306" spans="1:3" x14ac:dyDescent="0.25">
      <c r="A306" t="s">
        <v>41</v>
      </c>
      <c r="B306" t="str">
        <f t="shared" si="9"/>
        <v>&lt;prefix&gt;_&lt;mm&gt;10&lt;yy&gt;_&lt;ar&gt;Usage Balancing - Company Totals with Full Detail</v>
      </c>
    </row>
    <row r="307" spans="1:3" x14ac:dyDescent="0.25">
      <c r="A307" t="s">
        <v>1340</v>
      </c>
      <c r="B307" t="str">
        <f t="shared" si="9"/>
        <v>&lt;prefix&gt;_&lt;mm&gt;10&lt;yy&gt;_&lt;ar&gt;Usage Balancing - Company, Ban, Clli Totals</v>
      </c>
    </row>
    <row r="308" spans="1:3" x14ac:dyDescent="0.25">
      <c r="A308" t="s">
        <v>1341</v>
      </c>
      <c r="B308" t="str">
        <f t="shared" si="9"/>
        <v>&lt;prefix&gt;_&lt;mm&gt;10&lt;yy&gt;_&lt;ar&gt;Usage Balancing - Company, Ban, Clli, TT Totals</v>
      </c>
    </row>
    <row r="309" spans="1:3" x14ac:dyDescent="0.25">
      <c r="A309" t="s">
        <v>1342</v>
      </c>
      <c r="B309" t="str">
        <f t="shared" si="9"/>
        <v>&lt;prefix&gt;_&lt;mm&gt;10&lt;yy&gt;_&lt;ar&gt;Usage Totaling Rule</v>
      </c>
    </row>
    <row r="310" spans="1:3" x14ac:dyDescent="0.25">
      <c r="A310" t="s">
        <v>1343</v>
      </c>
      <c r="B310" t="str">
        <f t="shared" si="9"/>
        <v>&lt;prefix&gt;_&lt;mm&gt;10&lt;yy&gt;_&lt;ar&gt;Wire Center Mileage Segment Report</v>
      </c>
    </row>
    <row r="311" spans="1:3" x14ac:dyDescent="0.25">
      <c r="A311" t="s">
        <v>1344</v>
      </c>
      <c r="B311" t="str">
        <f t="shared" si="9"/>
        <v>&lt;prefix&gt;_&lt;mm&gt;10&lt;yy&gt;_&lt;ar&gt;Wire Center Report</v>
      </c>
    </row>
    <row r="312" spans="1:3" x14ac:dyDescent="0.25">
      <c r="A312" t="s">
        <v>107</v>
      </c>
      <c r="B312" t="str">
        <f>"&lt;prefix&gt;_&lt;mm&gt;05&lt;yy&gt;_&lt;ar&gt;"&amp;A312</f>
        <v>&lt;prefix&gt;_&lt;mm&gt;05&lt;yy&gt;_&lt;ar&gt;Payment Report</v>
      </c>
      <c r="C312">
        <v>8</v>
      </c>
    </row>
    <row r="313" spans="1:3" x14ac:dyDescent="0.25">
      <c r="A313" t="s">
        <v>32</v>
      </c>
      <c r="B313" t="str">
        <f>"&lt;prefix&gt;_&lt;mm&gt;05&lt;yy&gt;_&lt;ar&gt;"&amp;A313</f>
        <v>&lt;prefix&gt;_&lt;mm&gt;05&lt;yy&gt;_&lt;ar&gt;Factor Change Audit Report</v>
      </c>
      <c r="C313" s="18">
        <v>10</v>
      </c>
    </row>
    <row r="314" spans="1:3" x14ac:dyDescent="0.25">
      <c r="A314" t="s">
        <v>39</v>
      </c>
      <c r="B314" t="str">
        <f>"&lt;prefix&gt;_&lt;mm&gt;05&lt;yy&gt;_&lt;ar&gt;"&amp;A314</f>
        <v>&lt;prefix&gt;_&lt;mm&gt;05&lt;yy&gt;_&lt;ar&gt;SOC Change Audit Report</v>
      </c>
      <c r="C314" s="18">
        <v>11</v>
      </c>
    </row>
    <row r="315" spans="1:3" x14ac:dyDescent="0.25">
      <c r="A315" t="s">
        <v>34</v>
      </c>
      <c r="B315" t="s">
        <v>1025</v>
      </c>
      <c r="C315" t="s">
        <v>362</v>
      </c>
    </row>
    <row r="316" spans="1:3" x14ac:dyDescent="0.25">
      <c r="A316" t="s">
        <v>16</v>
      </c>
      <c r="B316" t="str">
        <f>"&lt;prefix&gt;_&lt;mm&gt;05&lt;yy&gt;_&lt;ar&gt;"&amp;A316</f>
        <v>&lt;prefix&gt;_&lt;mm&gt;05&lt;yy&gt;_&lt;ar&gt;Bill Completion Check Report</v>
      </c>
      <c r="C316" t="s">
        <v>383</v>
      </c>
    </row>
    <row r="317" spans="1:3" x14ac:dyDescent="0.25">
      <c r="A317" t="s">
        <v>122</v>
      </c>
      <c r="B317" t="s">
        <v>1026</v>
      </c>
      <c r="C317" t="s">
        <v>385</v>
      </c>
    </row>
    <row r="318" spans="1:3" x14ac:dyDescent="0.25">
      <c r="A318" t="s">
        <v>13</v>
      </c>
      <c r="B318" t="s">
        <v>1027</v>
      </c>
      <c r="C318" t="s">
        <v>424</v>
      </c>
    </row>
    <row r="319" spans="1:3" x14ac:dyDescent="0.25">
      <c r="A319" t="s">
        <v>102</v>
      </c>
      <c r="B319" t="s">
        <v>1028</v>
      </c>
      <c r="C319" t="s">
        <v>428</v>
      </c>
    </row>
    <row r="320" spans="1:3" x14ac:dyDescent="0.25">
      <c r="A320" t="s">
        <v>61</v>
      </c>
      <c r="B320" s="11" t="s">
        <v>1029</v>
      </c>
      <c r="C320" t="s">
        <v>767</v>
      </c>
    </row>
    <row r="321" spans="1:3" x14ac:dyDescent="0.25">
      <c r="A321" t="s">
        <v>12</v>
      </c>
      <c r="B321" t="s">
        <v>1030</v>
      </c>
      <c r="C321" t="s">
        <v>216</v>
      </c>
    </row>
    <row r="322" spans="1:3" x14ac:dyDescent="0.25">
      <c r="A322" s="11" t="s">
        <v>20</v>
      </c>
      <c r="B322" s="11" t="s">
        <v>1031</v>
      </c>
      <c r="C322" s="11" t="s">
        <v>231</v>
      </c>
    </row>
    <row r="323" spans="1:3" x14ac:dyDescent="0.25">
      <c r="A323" t="s">
        <v>22</v>
      </c>
      <c r="B323" t="s">
        <v>1032</v>
      </c>
      <c r="C323" t="s">
        <v>238</v>
      </c>
    </row>
    <row r="324" spans="1:3" x14ac:dyDescent="0.25">
      <c r="A324" t="s">
        <v>29</v>
      </c>
      <c r="B324" t="s">
        <v>1033</v>
      </c>
      <c r="C324" t="s">
        <v>248</v>
      </c>
    </row>
    <row r="325" spans="1:3" x14ac:dyDescent="0.25">
      <c r="A325" t="s">
        <v>47</v>
      </c>
      <c r="B325" t="s">
        <v>1034</v>
      </c>
      <c r="C325" t="s">
        <v>251</v>
      </c>
    </row>
    <row r="326" spans="1:3" x14ac:dyDescent="0.25">
      <c r="A326" t="s">
        <v>27</v>
      </c>
      <c r="B326" t="s">
        <v>1035</v>
      </c>
      <c r="C326" t="s">
        <v>266</v>
      </c>
    </row>
    <row r="327" spans="1:3" x14ac:dyDescent="0.25">
      <c r="A327" t="s">
        <v>1011</v>
      </c>
      <c r="B327" t="s">
        <v>1036</v>
      </c>
      <c r="C327" t="s">
        <v>272</v>
      </c>
    </row>
    <row r="328" spans="1:3" x14ac:dyDescent="0.25">
      <c r="A328" t="s">
        <v>135</v>
      </c>
      <c r="B328" t="s">
        <v>1037</v>
      </c>
      <c r="C328" t="s">
        <v>1014</v>
      </c>
    </row>
    <row r="329" spans="1:3" x14ac:dyDescent="0.25">
      <c r="A329" t="s">
        <v>43</v>
      </c>
      <c r="B329" s="11" t="s">
        <v>1038</v>
      </c>
      <c r="C329" t="s">
        <v>1039</v>
      </c>
    </row>
    <row r="330" spans="1:3" x14ac:dyDescent="0.25">
      <c r="A330" t="s">
        <v>7</v>
      </c>
      <c r="B330" t="s">
        <v>1040</v>
      </c>
      <c r="C330" t="s">
        <v>336</v>
      </c>
    </row>
    <row r="331" spans="1:3" x14ac:dyDescent="0.25">
      <c r="A331" s="11" t="s">
        <v>23</v>
      </c>
      <c r="B331" s="6" t="s">
        <v>1041</v>
      </c>
      <c r="C331" s="6"/>
    </row>
    <row r="332" spans="1:3" x14ac:dyDescent="0.25">
      <c r="A332" t="s">
        <v>44</v>
      </c>
      <c r="B332" s="7" t="s">
        <v>1042</v>
      </c>
      <c r="C332" s="7"/>
    </row>
    <row r="333" spans="1:3" x14ac:dyDescent="0.25">
      <c r="A333" s="11" t="s">
        <v>49</v>
      </c>
      <c r="B333" s="6" t="s">
        <v>1043</v>
      </c>
      <c r="C333" s="6"/>
    </row>
    <row r="334" spans="1:3" x14ac:dyDescent="0.25">
      <c r="A334" s="11" t="s">
        <v>51</v>
      </c>
      <c r="B334" s="6" t="s">
        <v>1044</v>
      </c>
      <c r="C334" s="6"/>
    </row>
    <row r="335" spans="1:3" x14ac:dyDescent="0.25">
      <c r="A335" s="11" t="s">
        <v>92</v>
      </c>
      <c r="B335" s="6" t="s">
        <v>1045</v>
      </c>
      <c r="C335" s="6"/>
    </row>
    <row r="336" spans="1:3" x14ac:dyDescent="0.25">
      <c r="A336" t="s">
        <v>120</v>
      </c>
      <c r="B336" s="7" t="s">
        <v>1046</v>
      </c>
      <c r="C336" s="7"/>
    </row>
    <row r="337" spans="1:3" x14ac:dyDescent="0.25">
      <c r="A337" s="11" t="s">
        <v>127</v>
      </c>
      <c r="B337" s="6" t="s">
        <v>1047</v>
      </c>
      <c r="C337" s="6"/>
    </row>
    <row r="338" spans="1:3" x14ac:dyDescent="0.25">
      <c r="A338" t="s">
        <v>1231</v>
      </c>
      <c r="B338" t="str">
        <f t="shared" ref="B338:B351" si="10">"&lt;prefix&gt;_&lt;mm&gt;05&lt;yy&gt;_&lt;ar&gt;"&amp;A338</f>
        <v>&lt;prefix&gt;_&lt;mm&gt;05&lt;yy&gt;_&lt;ar&gt;Access MSG and MOU billed by CLLI,FG,CIC</v>
      </c>
    </row>
    <row r="339" spans="1:3" x14ac:dyDescent="0.25">
      <c r="A339" t="s">
        <v>1232</v>
      </c>
      <c r="B339" t="str">
        <f t="shared" si="10"/>
        <v>&lt;prefix&gt;_&lt;mm&gt;05&lt;yy&gt;_&lt;ar&gt;Adjustments Detail Report - Posted</v>
      </c>
    </row>
    <row r="340" spans="1:3" x14ac:dyDescent="0.25">
      <c r="A340" t="s">
        <v>1233</v>
      </c>
      <c r="B340" t="str">
        <f t="shared" si="10"/>
        <v>&lt;prefix&gt;_&lt;mm&gt;05&lt;yy&gt;_&lt;ar&gt;Adjustments Detail Report - Unposted</v>
      </c>
    </row>
    <row r="341" spans="1:3" x14ac:dyDescent="0.25">
      <c r="A341" t="s">
        <v>30</v>
      </c>
      <c r="B341" t="str">
        <f t="shared" si="10"/>
        <v>&lt;prefix&gt;_&lt;mm&gt;05&lt;yy&gt;_&lt;ar&gt;Aged trial Balance</v>
      </c>
    </row>
    <row r="342" spans="1:3" x14ac:dyDescent="0.25">
      <c r="A342" t="s">
        <v>1234</v>
      </c>
      <c r="B342" t="str">
        <f t="shared" si="10"/>
        <v>&lt;prefix&gt;_&lt;mm&gt;05&lt;yy&gt;_&lt;ar&gt;Aged Trial Balance by Company</v>
      </c>
    </row>
    <row r="343" spans="1:3" x14ac:dyDescent="0.25">
      <c r="A343" t="s">
        <v>1235</v>
      </c>
      <c r="B343" t="str">
        <f t="shared" si="10"/>
        <v>&lt;prefix&gt;_&lt;mm&gt;05&lt;yy&gt;_&lt;ar&gt;Amount billed/disputed/settled by month/carrier</v>
      </c>
    </row>
    <row r="344" spans="1:3" x14ac:dyDescent="0.25">
      <c r="A344" t="s">
        <v>1236</v>
      </c>
      <c r="B344" t="str">
        <f t="shared" si="10"/>
        <v>&lt;prefix&gt;_&lt;mm&gt;05&lt;yy&gt;_&lt;ar&gt;Amount billed/disputed/settled by qtr/carrier</v>
      </c>
    </row>
    <row r="345" spans="1:3" x14ac:dyDescent="0.25">
      <c r="A345" t="s">
        <v>1237</v>
      </c>
      <c r="B345" t="str">
        <f t="shared" si="10"/>
        <v>&lt;prefix&gt;_&lt;mm&gt;05&lt;yy&gt;_&lt;ar&gt;Amount billed-disputed-settled by month-carrier</v>
      </c>
    </row>
    <row r="346" spans="1:3" x14ac:dyDescent="0.25">
      <c r="A346" t="s">
        <v>1238</v>
      </c>
      <c r="B346" t="str">
        <f t="shared" si="10"/>
        <v>&lt;prefix&gt;_&lt;mm&gt;05&lt;yy&gt;_&lt;ar&gt;Amount billed-disputed-settled by qtr-carrier</v>
      </c>
    </row>
    <row r="347" spans="1:3" x14ac:dyDescent="0.25">
      <c r="A347" t="s">
        <v>1239</v>
      </c>
      <c r="B347" t="str">
        <f t="shared" si="10"/>
        <v>&lt;prefix&gt;_&lt;mm&gt;05&lt;yy&gt;_&lt;ar&gt;AS1000 Report</v>
      </c>
    </row>
    <row r="348" spans="1:3" x14ac:dyDescent="0.25">
      <c r="A348" t="s">
        <v>9</v>
      </c>
      <c r="B348" t="str">
        <f t="shared" si="10"/>
        <v>&lt;prefix&gt;_&lt;mm&gt;05&lt;yy&gt;_&lt;ar&gt;AUR History Stats</v>
      </c>
    </row>
    <row r="349" spans="1:3" x14ac:dyDescent="0.25">
      <c r="A349" t="s">
        <v>1240</v>
      </c>
      <c r="B349" t="str">
        <f t="shared" si="10"/>
        <v>&lt;prefix&gt;_&lt;mm&gt;05&lt;yy&gt;_&lt;ar&gt;AUR History Stats (Seconds)</v>
      </c>
    </row>
    <row r="350" spans="1:3" x14ac:dyDescent="0.25">
      <c r="A350" t="s">
        <v>1241</v>
      </c>
      <c r="B350" t="str">
        <f t="shared" si="10"/>
        <v>&lt;prefix&gt;_&lt;mm&gt;05&lt;yy&gt;_&lt;ar&gt;AUR History Summary</v>
      </c>
    </row>
    <row r="351" spans="1:3" x14ac:dyDescent="0.25">
      <c r="A351" t="s">
        <v>1242</v>
      </c>
      <c r="B351" t="str">
        <f t="shared" si="10"/>
        <v>&lt;prefix&gt;_&lt;mm&gt;05&lt;yy&gt;_&lt;ar&gt;AUR History Summary by Day</v>
      </c>
    </row>
    <row r="352" spans="1:3" x14ac:dyDescent="0.25">
      <c r="A352" t="s">
        <v>1243</v>
      </c>
      <c r="B352" t="str">
        <f t="shared" ref="B352:B383" si="11">"&lt;prefix&gt;_&lt;mm&gt;10&lt;yy&gt;_&lt;ar&gt;"&amp;A352</f>
        <v>&lt;prefix&gt;_&lt;mm&gt;10&lt;yy&gt;_&lt;ar&gt;Billed Minutes by Inter/Intra State</v>
      </c>
    </row>
    <row r="353" spans="1:2" x14ac:dyDescent="0.25">
      <c r="A353" t="s">
        <v>1244</v>
      </c>
      <c r="B353" t="str">
        <f t="shared" si="11"/>
        <v>&lt;prefix&gt;_&lt;mm&gt;10&lt;yy&gt;_&lt;ar&gt;Billed Minutes by Inter-Intra State</v>
      </c>
    </row>
    <row r="354" spans="1:2" x14ac:dyDescent="0.25">
      <c r="A354" t="s">
        <v>1245</v>
      </c>
      <c r="B354" t="str">
        <f t="shared" si="11"/>
        <v>&lt;prefix&gt;_&lt;mm&gt;10&lt;yy&gt;_&lt;ar&gt;Billed Minutes by Jurisdiction</v>
      </c>
    </row>
    <row r="355" spans="1:2" x14ac:dyDescent="0.25">
      <c r="A355" t="s">
        <v>1246</v>
      </c>
      <c r="B355" t="str">
        <f t="shared" si="11"/>
        <v>&lt;prefix&gt;_&lt;mm&gt;10&lt;yy&gt;_&lt;ar&gt;Billed minutes by Quarter by Inter/Intra State</v>
      </c>
    </row>
    <row r="356" spans="1:2" x14ac:dyDescent="0.25">
      <c r="A356" t="s">
        <v>1247</v>
      </c>
      <c r="B356" t="str">
        <f t="shared" si="11"/>
        <v>&lt;prefix&gt;_&lt;mm&gt;10&lt;yy&gt;_&lt;ar&gt;Billed minutes by Quarter by Inter-Intra State</v>
      </c>
    </row>
    <row r="357" spans="1:2" x14ac:dyDescent="0.25">
      <c r="A357" t="s">
        <v>1248</v>
      </c>
      <c r="B357" t="str">
        <f t="shared" si="11"/>
        <v>&lt;prefix&gt;_&lt;mm&gt;10&lt;yy&gt;_&lt;ar&gt;Billed Minutes by Quarter by Jurisdiction</v>
      </c>
    </row>
    <row r="358" spans="1:2" x14ac:dyDescent="0.25">
      <c r="A358" t="s">
        <v>1249</v>
      </c>
      <c r="B358" t="str">
        <f t="shared" si="11"/>
        <v>&lt;prefix&gt;_&lt;mm&gt;10&lt;yy&gt;_&lt;ar&gt;Billed Msg MOU Rev by BAN by Jurisdiction</v>
      </c>
    </row>
    <row r="359" spans="1:2" x14ac:dyDescent="0.25">
      <c r="A359" t="s">
        <v>1250</v>
      </c>
      <c r="B359" t="str">
        <f t="shared" si="11"/>
        <v>&lt;prefix&gt;_&lt;mm&gt;10&lt;yy&gt;_&lt;ar&gt;Billed Msg MOU Rev by CLLI by Jurisdiction</v>
      </c>
    </row>
    <row r="360" spans="1:2" x14ac:dyDescent="0.25">
      <c r="A360" t="s">
        <v>1251</v>
      </c>
      <c r="B360" t="str">
        <f t="shared" si="11"/>
        <v>&lt;prefix&gt;_&lt;mm&gt;10&lt;yy&gt;_&lt;ar&gt;CLNT aur_usage_by_day_co_v3</v>
      </c>
    </row>
    <row r="361" spans="1:2" x14ac:dyDescent="0.25">
      <c r="A361" t="s">
        <v>1252</v>
      </c>
      <c r="B361" t="str">
        <f t="shared" si="11"/>
        <v>&lt;prefix&gt;_&lt;mm&gt;10&lt;yy&gt;_&lt;ar&gt;CLNT billed_by_period_for_exp_4_v2</v>
      </c>
    </row>
    <row r="362" spans="1:2" x14ac:dyDescent="0.25">
      <c r="A362" t="s">
        <v>1253</v>
      </c>
      <c r="B362" t="str">
        <f t="shared" si="11"/>
        <v>&lt;prefix&gt;_&lt;mm&gt;10&lt;yy&gt;_&lt;ar&gt;CLNT cbeyond_m_m_r_to_export_v2</v>
      </c>
    </row>
    <row r="363" spans="1:2" x14ac:dyDescent="0.25">
      <c r="A363" t="s">
        <v>1254</v>
      </c>
      <c r="B363" t="str">
        <f t="shared" si="11"/>
        <v>&lt;prefix&gt;_&lt;mm&gt;10&lt;yy&gt;_&lt;ar&gt;CLNT ckt_billed_live_disco_v1</v>
      </c>
    </row>
    <row r="364" spans="1:2" x14ac:dyDescent="0.25">
      <c r="A364" t="s">
        <v>1255</v>
      </c>
      <c r="B364" t="str">
        <f t="shared" si="11"/>
        <v>&lt;prefix&gt;_&lt;mm&gt;10&lt;yy&gt;_&lt;ar&gt;CLNT gl_trans_from_adjustments_ban_v3</v>
      </c>
    </row>
    <row r="365" spans="1:2" x14ac:dyDescent="0.25">
      <c r="A365" t="s">
        <v>1256</v>
      </c>
      <c r="B365" t="str">
        <f t="shared" si="11"/>
        <v>&lt;prefix&gt;_&lt;mm&gt;10&lt;yy&gt;_&lt;ar&gt;CLNT gl_trans_from_occ_ban_v3</v>
      </c>
    </row>
    <row r="366" spans="1:2" x14ac:dyDescent="0.25">
      <c r="A366" t="s">
        <v>1257</v>
      </c>
      <c r="B366" t="str">
        <f t="shared" si="11"/>
        <v>&lt;prefix&gt;_&lt;mm&gt;10&lt;yy&gt;_&lt;ar&gt;CLNT invoice_balances_by_jur_w_lpc_v2</v>
      </c>
    </row>
    <row r="367" spans="1:2" x14ac:dyDescent="0.25">
      <c r="A367" t="s">
        <v>53</v>
      </c>
      <c r="B367" t="str">
        <f t="shared" si="11"/>
        <v>&lt;prefix&gt;_&lt;mm&gt;10&lt;yy&gt;_&lt;ar&gt;CLNT ly_invoice_balances_by_jur_cic</v>
      </c>
    </row>
    <row r="368" spans="1:2" x14ac:dyDescent="0.25">
      <c r="A368" t="s">
        <v>55</v>
      </c>
      <c r="B368" t="str">
        <f t="shared" si="11"/>
        <v>&lt;prefix&gt;_&lt;mm&gt;10&lt;yy&gt;_&lt;ar&gt;CLNT nt_ckt_billed_live_disco_v2</v>
      </c>
    </row>
    <row r="369" spans="1:2" x14ac:dyDescent="0.25">
      <c r="A369" t="s">
        <v>1258</v>
      </c>
      <c r="B369" t="str">
        <f t="shared" si="11"/>
        <v>&lt;prefix&gt;_&lt;mm&gt;10&lt;yy&gt;_&lt;ar&gt;CLNT nt_fa_acctg_detail_rpt_v1</v>
      </c>
    </row>
    <row r="370" spans="1:2" x14ac:dyDescent="0.25">
      <c r="A370" t="s">
        <v>1259</v>
      </c>
      <c r="B370" t="str">
        <f t="shared" si="11"/>
        <v>&lt;prefix&gt;_&lt;mm&gt;10&lt;yy&gt;_&lt;ar&gt;CLNT nt_fa_acctg_rpt_v1</v>
      </c>
    </row>
    <row r="371" spans="1:2" x14ac:dyDescent="0.25">
      <c r="A371" t="s">
        <v>1260</v>
      </c>
      <c r="B371" t="str">
        <f t="shared" si="11"/>
        <v>&lt;prefix&gt;_&lt;mm&gt;10&lt;yy&gt;_&lt;ar&gt;CLNT nt_m_m_r_p_to_export_v1</v>
      </c>
    </row>
    <row r="372" spans="1:2" x14ac:dyDescent="0.25">
      <c r="A372" t="s">
        <v>1261</v>
      </c>
      <c r="B372" t="str">
        <f t="shared" si="11"/>
        <v>&lt;prefix&gt;_&lt;mm&gt;10&lt;yy&gt;_&lt;ar&gt;CLNT nt_m_m_r_to_export_v1</v>
      </c>
    </row>
    <row r="373" spans="1:2" x14ac:dyDescent="0.25">
      <c r="A373" t="s">
        <v>1262</v>
      </c>
      <c r="B373" t="str">
        <f t="shared" si="11"/>
        <v>&lt;prefix&gt;_&lt;mm&gt;10&lt;yy&gt;_&lt;ar&gt;CLNT nt_rev_analysis_clli_2</v>
      </c>
    </row>
    <row r="374" spans="1:2" x14ac:dyDescent="0.25">
      <c r="A374" t="s">
        <v>1263</v>
      </c>
      <c r="B374" t="str">
        <f t="shared" si="11"/>
        <v>&lt;prefix&gt;_&lt;mm&gt;10&lt;yy&gt;_&lt;ar&gt;CLNT payment_by_date8_v2</v>
      </c>
    </row>
    <row r="375" spans="1:2" x14ac:dyDescent="0.25">
      <c r="A375" t="s">
        <v>1264</v>
      </c>
      <c r="B375" t="str">
        <f t="shared" si="11"/>
        <v>&lt;prefix&gt;_&lt;mm&gt;10&lt;yy&gt;_&lt;ar&gt;CLNT r_aged_trial_bal_1v3</v>
      </c>
    </row>
    <row r="376" spans="1:2" x14ac:dyDescent="0.25">
      <c r="A376" t="s">
        <v>1265</v>
      </c>
      <c r="B376" t="str">
        <f t="shared" si="11"/>
        <v>&lt;prefix&gt;_&lt;mm&gt;10&lt;yy&gt;_&lt;ar&gt;CLNT r_aged_trial_bal_for_export_v2</v>
      </c>
    </row>
    <row r="377" spans="1:2" x14ac:dyDescent="0.25">
      <c r="A377" t="s">
        <v>1266</v>
      </c>
      <c r="B377" t="str">
        <f t="shared" si="11"/>
        <v>&lt;prefix&gt;_&lt;mm&gt;10&lt;yy&gt;_&lt;ar&gt;CLNT r_sce_3_v3_2</v>
      </c>
    </row>
    <row r="378" spans="1:2" x14ac:dyDescent="0.25">
      <c r="A378" t="s">
        <v>1267</v>
      </c>
      <c r="B378" t="str">
        <f t="shared" si="11"/>
        <v>&lt;prefix&gt;_&lt;mm&gt;10&lt;yy&gt;_&lt;ar&gt;CLNT r_transaction_summary_bills_v2</v>
      </c>
    </row>
    <row r="379" spans="1:2" x14ac:dyDescent="0.25">
      <c r="A379" t="s">
        <v>1268</v>
      </c>
      <c r="B379" t="str">
        <f t="shared" si="11"/>
        <v>&lt;prefix&gt;_&lt;mm&gt;10&lt;yy&gt;_&lt;ar&gt;CLNT sw_invoice_trending_v6</v>
      </c>
    </row>
    <row r="380" spans="1:2" x14ac:dyDescent="0.25">
      <c r="A380" t="s">
        <v>1269</v>
      </c>
      <c r="B380" t="str">
        <f t="shared" si="11"/>
        <v>&lt;prefix&gt;_&lt;mm&gt;10&lt;yy&gt;_&lt;ar&gt;Company Master Report</v>
      </c>
    </row>
    <row r="381" spans="1:2" x14ac:dyDescent="0.25">
      <c r="A381" t="s">
        <v>1270</v>
      </c>
      <c r="B381" t="str">
        <f t="shared" si="11"/>
        <v>&lt;prefix&gt;_&lt;mm&gt;10&lt;yy&gt;_&lt;ar&gt;Detail of OCCs Posted - MTA</v>
      </c>
    </row>
    <row r="382" spans="1:2" x14ac:dyDescent="0.25">
      <c r="A382" t="s">
        <v>18</v>
      </c>
      <c r="B382" t="str">
        <f t="shared" si="11"/>
        <v>&lt;prefix&gt;_&lt;mm&gt;10&lt;yy&gt;_&lt;ar&gt;Detailed BAN Error Report</v>
      </c>
    </row>
    <row r="383" spans="1:2" x14ac:dyDescent="0.25">
      <c r="A383" t="s">
        <v>1271</v>
      </c>
      <c r="B383" t="str">
        <f t="shared" si="11"/>
        <v>&lt;prefix&gt;_&lt;mm&gt;10&lt;yy&gt;_&lt;ar&gt;Dispute amounts by type by month</v>
      </c>
    </row>
    <row r="384" spans="1:2" x14ac:dyDescent="0.25">
      <c r="A384" t="s">
        <v>1272</v>
      </c>
      <c r="B384" t="str">
        <f t="shared" ref="B384:B415" si="12">"&lt;prefix&gt;_&lt;mm&gt;10&lt;yy&gt;_&lt;ar&gt;"&amp;A384</f>
        <v>&lt;prefix&gt;_&lt;mm&gt;10&lt;yy&gt;_&lt;ar&gt;Dispute amounts by type by month by carrier</v>
      </c>
    </row>
    <row r="385" spans="1:2" x14ac:dyDescent="0.25">
      <c r="A385" t="s">
        <v>1273</v>
      </c>
      <c r="B385" t="str">
        <f t="shared" si="12"/>
        <v>&lt;prefix&gt;_&lt;mm&gt;10&lt;yy&gt;_&lt;ar&gt;Dispute amounts by type by quarter</v>
      </c>
    </row>
    <row r="386" spans="1:2" x14ac:dyDescent="0.25">
      <c r="A386" t="s">
        <v>1274</v>
      </c>
      <c r="B386" t="str">
        <f t="shared" si="12"/>
        <v>&lt;prefix&gt;_&lt;mm&gt;10&lt;yy&gt;_&lt;ar&gt;Dispute amounts by type by quarter by carrier</v>
      </c>
    </row>
    <row r="387" spans="1:2" x14ac:dyDescent="0.25">
      <c r="A387" t="s">
        <v>1275</v>
      </c>
      <c r="B387" t="str">
        <f t="shared" si="12"/>
        <v>&lt;prefix&gt;_&lt;mm&gt;10&lt;yy&gt;_&lt;ar&gt;Dispute amounts/carrier/month for a given year</v>
      </c>
    </row>
    <row r="388" spans="1:2" x14ac:dyDescent="0.25">
      <c r="A388" t="s">
        <v>1276</v>
      </c>
      <c r="B388" t="str">
        <f t="shared" si="12"/>
        <v>&lt;prefix&gt;_&lt;mm&gt;10&lt;yy&gt;_&lt;ar&gt;Dispute amounts/carrier/qtr for a given year</v>
      </c>
    </row>
    <row r="389" spans="1:2" x14ac:dyDescent="0.25">
      <c r="A389" t="s">
        <v>1277</v>
      </c>
      <c r="B389" t="str">
        <f t="shared" si="12"/>
        <v>&lt;prefix&gt;_&lt;mm&gt;10&lt;yy&gt;_&lt;ar&gt;Dispute amounts-carrier-month for a given year</v>
      </c>
    </row>
    <row r="390" spans="1:2" x14ac:dyDescent="0.25">
      <c r="A390" t="s">
        <v>1278</v>
      </c>
      <c r="B390" t="str">
        <f t="shared" si="12"/>
        <v>&lt;prefix&gt;_&lt;mm&gt;10&lt;yy&gt;_&lt;ar&gt;Dispute amounts-carrier-qtr for a given year</v>
      </c>
    </row>
    <row r="391" spans="1:2" x14ac:dyDescent="0.25">
      <c r="A391" t="s">
        <v>1279</v>
      </c>
      <c r="B391" t="str">
        <f t="shared" si="12"/>
        <v>&lt;prefix&gt;_&lt;mm&gt;10&lt;yy&gt;_&lt;ar&gt;EC1050 Report</v>
      </c>
    </row>
    <row r="392" spans="1:2" x14ac:dyDescent="0.25">
      <c r="A392" t="s">
        <v>70</v>
      </c>
      <c r="B392" t="str">
        <f t="shared" si="12"/>
        <v>&lt;prefix&gt;_&lt;mm&gt;10&lt;yy&gt;_&lt;ar&gt;FA Charges Summary</v>
      </c>
    </row>
    <row r="393" spans="1:2" x14ac:dyDescent="0.25">
      <c r="A393" t="s">
        <v>71</v>
      </c>
      <c r="B393" t="str">
        <f t="shared" si="12"/>
        <v>&lt;prefix&gt;_&lt;mm&gt;10&lt;yy&gt;_&lt;ar&gt;FA Circuit Charges by CIC by CLLI</v>
      </c>
    </row>
    <row r="394" spans="1:2" x14ac:dyDescent="0.25">
      <c r="A394" t="s">
        <v>69</v>
      </c>
      <c r="B394" t="str">
        <f t="shared" si="12"/>
        <v>&lt;prefix&gt;_&lt;mm&gt;10&lt;yy&gt;_&lt;ar&gt;Facility BANS Trending Report</v>
      </c>
    </row>
    <row r="395" spans="1:2" x14ac:dyDescent="0.25">
      <c r="A395" t="s">
        <v>1280</v>
      </c>
      <c r="B395" t="str">
        <f t="shared" si="12"/>
        <v>&lt;prefix&gt;_&lt;mm&gt;10&lt;yy&gt;_&lt;ar&gt;Facility BANs trending report - MTA</v>
      </c>
    </row>
    <row r="396" spans="1:2" x14ac:dyDescent="0.25">
      <c r="A396" t="s">
        <v>78</v>
      </c>
      <c r="B396" t="str">
        <f t="shared" si="12"/>
        <v>&lt;prefix&gt;_&lt;mm&gt;10&lt;yy&gt;_&lt;ar&gt;Fulfillment Report</v>
      </c>
    </row>
    <row r="397" spans="1:2" x14ac:dyDescent="0.25">
      <c r="A397" t="s">
        <v>79</v>
      </c>
      <c r="B397" t="str">
        <f t="shared" si="12"/>
        <v>&lt;prefix&gt;_&lt;mm&gt;10&lt;yy&gt;_&lt;ar&gt;FUSC Charge By Circuit</v>
      </c>
    </row>
    <row r="398" spans="1:2" x14ac:dyDescent="0.25">
      <c r="A398" t="s">
        <v>1281</v>
      </c>
      <c r="B398" t="str">
        <f t="shared" si="12"/>
        <v>&lt;prefix&gt;_&lt;mm&gt;10&lt;yy&gt;_&lt;ar&gt;Graph - Disputed Amounts by Carrier</v>
      </c>
    </row>
    <row r="399" spans="1:2" x14ac:dyDescent="0.25">
      <c r="A399" t="s">
        <v>1282</v>
      </c>
      <c r="B399" t="str">
        <f t="shared" si="12"/>
        <v>&lt;prefix&gt;_&lt;mm&gt;10&lt;yy&gt;_&lt;ar&gt;Graph - Disputed Amounts by Carrier by Date</v>
      </c>
    </row>
    <row r="400" spans="1:2" x14ac:dyDescent="0.25">
      <c r="A400" t="s">
        <v>1283</v>
      </c>
      <c r="B400" t="str">
        <f t="shared" si="12"/>
        <v>&lt;prefix&gt;_&lt;mm&gt;10&lt;yy&gt;_&lt;ar&gt;Graph - Disputed Amounts by dispute types</v>
      </c>
    </row>
    <row r="401" spans="1:2" x14ac:dyDescent="0.25">
      <c r="A401" t="s">
        <v>1284</v>
      </c>
      <c r="B401" t="str">
        <f t="shared" si="12"/>
        <v>&lt;prefix&gt;_&lt;mm&gt;10&lt;yy&gt;_&lt;ar&gt;Graph - Disputed Amounts vs Resolutions</v>
      </c>
    </row>
    <row r="402" spans="1:2" x14ac:dyDescent="0.25">
      <c r="A402" t="s">
        <v>1285</v>
      </c>
      <c r="B402" t="str">
        <f t="shared" si="12"/>
        <v>&lt;prefix&gt;_&lt;mm&gt;10&lt;yy&gt;_&lt;ar&gt;Graph - No. of Disputes by Carrier</v>
      </c>
    </row>
    <row r="403" spans="1:2" x14ac:dyDescent="0.25">
      <c r="A403" t="s">
        <v>1286</v>
      </c>
      <c r="B403" t="str">
        <f t="shared" si="12"/>
        <v>&lt;prefix&gt;_&lt;mm&gt;10&lt;yy&gt;_&lt;ar&gt;Graph - No. of Disputes by Carrier by Date</v>
      </c>
    </row>
    <row r="404" spans="1:2" x14ac:dyDescent="0.25">
      <c r="A404" t="s">
        <v>1287</v>
      </c>
      <c r="B404" t="str">
        <f t="shared" si="12"/>
        <v>&lt;prefix&gt;_&lt;mm&gt;10&lt;yy&gt;_&lt;ar&gt;Invoice Balance By Jur</v>
      </c>
    </row>
    <row r="405" spans="1:2" x14ac:dyDescent="0.25">
      <c r="A405" t="s">
        <v>1288</v>
      </c>
      <c r="B405" t="str">
        <f t="shared" si="12"/>
        <v>&lt;prefix&gt;_&lt;mm&gt;10&lt;yy&gt;_&lt;ar&gt;Manual Local to Tra/Tra</v>
      </c>
    </row>
    <row r="406" spans="1:2" x14ac:dyDescent="0.25">
      <c r="A406" t="s">
        <v>1289</v>
      </c>
      <c r="B406" t="str">
        <f t="shared" si="12"/>
        <v>&lt;prefix&gt;_&lt;mm&gt;10&lt;yy&gt;_&lt;ar&gt;Message Record Analysis</v>
      </c>
    </row>
    <row r="407" spans="1:2" x14ac:dyDescent="0.25">
      <c r="A407" t="s">
        <v>1290</v>
      </c>
      <c r="B407" t="str">
        <f t="shared" si="12"/>
        <v>&lt;prefix&gt;_&lt;mm&gt;10&lt;yy&gt;_&lt;ar&gt;Messages and minutes billed by FG,CIC</v>
      </c>
    </row>
    <row r="408" spans="1:2" x14ac:dyDescent="0.25">
      <c r="A408" t="s">
        <v>1291</v>
      </c>
      <c r="B408" t="str">
        <f t="shared" si="12"/>
        <v>&lt;prefix&gt;_&lt;mm&gt;10&lt;yy&gt;_&lt;ar&gt;Messages and minutes billed by FG,CIC(Local separa</v>
      </c>
    </row>
    <row r="409" spans="1:2" x14ac:dyDescent="0.25">
      <c r="A409" t="s">
        <v>1292</v>
      </c>
      <c r="B409" t="str">
        <f t="shared" si="12"/>
        <v>&lt;prefix&gt;_&lt;mm&gt;10&lt;yy&gt;_&lt;ar&gt;Minutes</v>
      </c>
    </row>
    <row r="410" spans="1:2" x14ac:dyDescent="0.25">
      <c r="A410" t="s">
        <v>1293</v>
      </c>
      <c r="B410" t="str">
        <f t="shared" si="12"/>
        <v>&lt;prefix&gt;_&lt;mm&gt;10&lt;yy&gt;_&lt;ar&gt;Minutes billed by BAN, Orig- Term Inter-Intra Stat</v>
      </c>
    </row>
    <row r="411" spans="1:2" x14ac:dyDescent="0.25">
      <c r="A411" t="s">
        <v>1294</v>
      </c>
      <c r="B411" t="str">
        <f t="shared" si="12"/>
        <v>&lt;prefix&gt;_&lt;mm&gt;10&lt;yy&gt;_&lt;ar&gt;Minutes billed by BAN, Orig/ Term Inter/Intra Stat</v>
      </c>
    </row>
    <row r="412" spans="1:2" x14ac:dyDescent="0.25">
      <c r="A412" t="s">
        <v>1295</v>
      </c>
      <c r="B412" t="str">
        <f t="shared" si="12"/>
        <v>&lt;prefix&gt;_&lt;mm&gt;10&lt;yy&gt;_&lt;ar&gt;MTAV5_Reports_Table</v>
      </c>
    </row>
    <row r="413" spans="1:2" x14ac:dyDescent="0.25">
      <c r="A413" t="s">
        <v>1296</v>
      </c>
      <c r="B413" t="str">
        <f t="shared" si="12"/>
        <v>&lt;prefix&gt;_&lt;mm&gt;10&lt;yy&gt;_&lt;ar&gt;MTAV5_Rpt_Argmnt</v>
      </c>
    </row>
    <row r="414" spans="1:2" x14ac:dyDescent="0.25">
      <c r="A414" t="s">
        <v>100</v>
      </c>
      <c r="B414" t="str">
        <f t="shared" si="12"/>
        <v>&lt;prefix&gt;_&lt;mm&gt;10&lt;yy&gt;_&lt;ar&gt;NECA AS1000</v>
      </c>
    </row>
    <row r="415" spans="1:2" x14ac:dyDescent="0.25">
      <c r="A415" t="s">
        <v>101</v>
      </c>
      <c r="B415" t="str">
        <f t="shared" si="12"/>
        <v>&lt;prefix&gt;_&lt;mm&gt;10&lt;yy&gt;_&lt;ar&gt;NECA EC1050</v>
      </c>
    </row>
    <row r="416" spans="1:2" x14ac:dyDescent="0.25">
      <c r="A416" t="s">
        <v>1297</v>
      </c>
      <c r="B416" t="str">
        <f t="shared" ref="B416:B447" si="13">"&lt;prefix&gt;_&lt;mm&gt;10&lt;yy&gt;_&lt;ar&gt;"&amp;A416</f>
        <v>&lt;prefix&gt;_&lt;mm&gt;10&lt;yy&gt;_&lt;ar&gt;Non FA Rate Element as Billed Table Report</v>
      </c>
    </row>
    <row r="417" spans="1:2" x14ac:dyDescent="0.25">
      <c r="A417" t="s">
        <v>1298</v>
      </c>
      <c r="B417" t="str">
        <f t="shared" si="13"/>
        <v>&lt;prefix&gt;_&lt;mm&gt;10&lt;yy&gt;_&lt;ar&gt;OCC Detail Report - Posted</v>
      </c>
    </row>
    <row r="418" spans="1:2" x14ac:dyDescent="0.25">
      <c r="A418" t="s">
        <v>1299</v>
      </c>
      <c r="B418" t="str">
        <f t="shared" si="13"/>
        <v>&lt;prefix&gt;_&lt;mm&gt;10&lt;yy&gt;_&lt;ar&gt;OCC Detail Report - Unposted</v>
      </c>
    </row>
    <row r="419" spans="1:2" x14ac:dyDescent="0.25">
      <c r="A419" t="s">
        <v>1300</v>
      </c>
      <c r="B419" t="str">
        <f t="shared" si="13"/>
        <v>&lt;prefix&gt;_&lt;mm&gt;10&lt;yy&gt;_&lt;ar&gt;Partially Paid Invoices</v>
      </c>
    </row>
    <row r="420" spans="1:2" x14ac:dyDescent="0.25">
      <c r="A420" t="s">
        <v>1301</v>
      </c>
      <c r="B420" t="str">
        <f t="shared" si="13"/>
        <v>&lt;prefix&gt;_&lt;mm&gt;10&lt;yy&gt;_&lt;ar&gt;Payment Details by Check</v>
      </c>
    </row>
    <row r="421" spans="1:2" x14ac:dyDescent="0.25">
      <c r="A421" t="s">
        <v>1302</v>
      </c>
      <c r="B421" t="str">
        <f t="shared" si="13"/>
        <v>&lt;prefix&gt;_&lt;mm&gt;10&lt;yy&gt;_&lt;ar&gt;Payments by Payer by BAN</v>
      </c>
    </row>
    <row r="422" spans="1:2" x14ac:dyDescent="0.25">
      <c r="A422" t="s">
        <v>1303</v>
      </c>
      <c r="B422" t="str">
        <f t="shared" si="13"/>
        <v>&lt;prefix&gt;_&lt;mm&gt;10&lt;yy&gt;_&lt;ar&gt;Payments Not on Bill</v>
      </c>
    </row>
    <row r="423" spans="1:2" x14ac:dyDescent="0.25">
      <c r="A423" t="s">
        <v>1304</v>
      </c>
      <c r="B423" t="str">
        <f t="shared" si="13"/>
        <v>&lt;prefix&gt;_&lt;mm&gt;10&lt;yy&gt;_&lt;ar&gt;Percent of disputes/billed per month/year</v>
      </c>
    </row>
    <row r="424" spans="1:2" x14ac:dyDescent="0.25">
      <c r="A424" t="s">
        <v>1305</v>
      </c>
      <c r="B424" t="str">
        <f t="shared" si="13"/>
        <v>&lt;prefix&gt;_&lt;mm&gt;10&lt;yy&gt;_&lt;ar&gt;Percent of disputes/billed per qtr/year</v>
      </c>
    </row>
    <row r="425" spans="1:2" x14ac:dyDescent="0.25">
      <c r="A425" t="s">
        <v>1306</v>
      </c>
      <c r="B425" t="str">
        <f t="shared" si="13"/>
        <v>&lt;prefix&gt;_&lt;mm&gt;10&lt;yy&gt;_&lt;ar&gt;Percent of disputes-billed per month-year</v>
      </c>
    </row>
    <row r="426" spans="1:2" x14ac:dyDescent="0.25">
      <c r="A426" t="s">
        <v>1307</v>
      </c>
      <c r="B426" t="str">
        <f t="shared" si="13"/>
        <v>&lt;prefix&gt;_&lt;mm&gt;10&lt;yy&gt;_&lt;ar&gt;Percent of disputes-billed per qtr-year</v>
      </c>
    </row>
    <row r="427" spans="1:2" x14ac:dyDescent="0.25">
      <c r="A427" t="s">
        <v>1308</v>
      </c>
      <c r="B427" t="str">
        <f t="shared" si="13"/>
        <v>&lt;prefix&gt;_&lt;mm&gt;10&lt;yy&gt;_&lt;ar&gt;Post billing rate change adj. calc. - FA</v>
      </c>
    </row>
    <row r="428" spans="1:2" x14ac:dyDescent="0.25">
      <c r="A428" t="s">
        <v>1309</v>
      </c>
      <c r="B428" t="str">
        <f t="shared" si="13"/>
        <v>&lt;prefix&gt;_&lt;mm&gt;10&lt;yy&gt;_&lt;ar&gt;Post billing rate change adj. calc. - SW</v>
      </c>
    </row>
    <row r="429" spans="1:2" x14ac:dyDescent="0.25">
      <c r="A429" t="s">
        <v>1310</v>
      </c>
      <c r="B429" t="str">
        <f t="shared" si="13"/>
        <v>&lt;prefix&gt;_&lt;mm&gt;10&lt;yy&gt;_&lt;ar&gt;Rate Element Table Report</v>
      </c>
    </row>
    <row r="430" spans="1:2" x14ac:dyDescent="0.25">
      <c r="A430" t="s">
        <v>1311</v>
      </c>
      <c r="B430" t="str">
        <f t="shared" si="13"/>
        <v>&lt;prefix&gt;_&lt;mm&gt;10&lt;yy&gt;_&lt;ar&gt;Reconciliation of account balance over time</v>
      </c>
    </row>
    <row r="431" spans="1:2" x14ac:dyDescent="0.25">
      <c r="A431" t="s">
        <v>1312</v>
      </c>
      <c r="B431" t="str">
        <f t="shared" si="13"/>
        <v>&lt;prefix&gt;_&lt;mm&gt;10&lt;yy&gt;_&lt;ar&gt;Resolved Disputes by carrier</v>
      </c>
    </row>
    <row r="432" spans="1:2" x14ac:dyDescent="0.25">
      <c r="A432" t="s">
        <v>1313</v>
      </c>
      <c r="B432" t="str">
        <f t="shared" si="13"/>
        <v>&lt;prefix&gt;_&lt;mm&gt;10&lt;yy&gt;_&lt;ar&gt;Revenue</v>
      </c>
    </row>
    <row r="433" spans="1:2" x14ac:dyDescent="0.25">
      <c r="A433" t="s">
        <v>1314</v>
      </c>
      <c r="B433" t="str">
        <f t="shared" si="13"/>
        <v>&lt;prefix&gt;_&lt;mm&gt;10&lt;yy&gt;_&lt;ar&gt;Revenue billed by BAN, Inter/Intra State</v>
      </c>
    </row>
    <row r="434" spans="1:2" x14ac:dyDescent="0.25">
      <c r="A434" t="s">
        <v>1315</v>
      </c>
      <c r="B434" t="str">
        <f t="shared" si="13"/>
        <v>&lt;prefix&gt;_&lt;mm&gt;10&lt;yy&gt;_&lt;ar&gt;Revenue billed by BAN, Inter-Intra State</v>
      </c>
    </row>
    <row r="435" spans="1:2" x14ac:dyDescent="0.25">
      <c r="A435" t="s">
        <v>1316</v>
      </c>
      <c r="B435" t="str">
        <f t="shared" si="13"/>
        <v>&lt;prefix&gt;_&lt;mm&gt;10&lt;yy&gt;_&lt;ar&gt;Security Report by User</v>
      </c>
    </row>
    <row r="436" spans="1:2" x14ac:dyDescent="0.25">
      <c r="A436" t="s">
        <v>1317</v>
      </c>
      <c r="B436" t="str">
        <f t="shared" si="13"/>
        <v>&lt;prefix&gt;_&lt;mm&gt;10&lt;yy&gt;_&lt;ar&gt;Security Report by Window</v>
      </c>
    </row>
    <row r="437" spans="1:2" x14ac:dyDescent="0.25">
      <c r="A437" t="s">
        <v>1318</v>
      </c>
      <c r="B437" t="str">
        <f t="shared" si="13"/>
        <v>&lt;prefix&gt;_&lt;mm&gt;10&lt;yy&gt;_&lt;ar&gt;SOC Jurisdiction Table Report</v>
      </c>
    </row>
    <row r="438" spans="1:2" x14ac:dyDescent="0.25">
      <c r="A438" t="s">
        <v>1319</v>
      </c>
      <c r="B438" t="str">
        <f t="shared" si="13"/>
        <v>&lt;prefix&gt;_&lt;mm&gt;10&lt;yy&gt;_&lt;ar&gt;SOC Rate Comparison between companies</v>
      </c>
    </row>
    <row r="439" spans="1:2" x14ac:dyDescent="0.25">
      <c r="A439" t="s">
        <v>1320</v>
      </c>
      <c r="B439" t="str">
        <f t="shared" si="13"/>
        <v>&lt;prefix&gt;_&lt;mm&gt;10&lt;yy&gt;_&lt;ar&gt;SOC Tariff Table Report</v>
      </c>
    </row>
    <row r="440" spans="1:2" x14ac:dyDescent="0.25">
      <c r="A440" t="s">
        <v>1321</v>
      </c>
      <c r="B440" t="str">
        <f t="shared" si="13"/>
        <v>&lt;prefix&gt;_&lt;mm&gt;10&lt;yy&gt;_&lt;ar&gt;Summary of Adjustments Report</v>
      </c>
    </row>
    <row r="441" spans="1:2" x14ac:dyDescent="0.25">
      <c r="A441" t="s">
        <v>1322</v>
      </c>
      <c r="B441" t="str">
        <f t="shared" si="13"/>
        <v>&lt;prefix&gt;_&lt;mm&gt;10&lt;yy&gt;_&lt;ar&gt;Summary of OCCs Report</v>
      </c>
    </row>
    <row r="442" spans="1:2" x14ac:dyDescent="0.25">
      <c r="A442" t="s">
        <v>1323</v>
      </c>
      <c r="B442" t="str">
        <f t="shared" si="13"/>
        <v>&lt;prefix&gt;_&lt;mm&gt;10&lt;yy&gt;_&lt;ar&gt;SW Usage Charges Summary by CLLI</v>
      </c>
    </row>
    <row r="443" spans="1:2" x14ac:dyDescent="0.25">
      <c r="A443" t="s">
        <v>1324</v>
      </c>
      <c r="B443" t="str">
        <f t="shared" si="13"/>
        <v>&lt;prefix&gt;_&lt;mm&gt;10&lt;yy&gt;_&lt;ar&gt;SW Usage Statistics Summary</v>
      </c>
    </row>
    <row r="444" spans="1:2" x14ac:dyDescent="0.25">
      <c r="A444" t="s">
        <v>1325</v>
      </c>
      <c r="B444" t="str">
        <f t="shared" si="13"/>
        <v>&lt;prefix&gt;_&lt;mm&gt;10&lt;yy&gt;_&lt;ar&gt;Switched BANs trending report - MTA</v>
      </c>
    </row>
    <row r="445" spans="1:2" x14ac:dyDescent="0.25">
      <c r="A445" t="s">
        <v>1326</v>
      </c>
      <c r="B445" t="str">
        <f t="shared" si="13"/>
        <v>&lt;prefix&gt;_&lt;mm&gt;10&lt;yy&gt;_&lt;ar&gt;Switched Billing Account - Factor Report</v>
      </c>
    </row>
    <row r="446" spans="1:2" x14ac:dyDescent="0.25">
      <c r="A446" t="s">
        <v>1327</v>
      </c>
      <c r="B446" t="str">
        <f t="shared" si="13"/>
        <v>&lt;prefix&gt;_&lt;mm&gt;10&lt;yy&gt;_&lt;ar&gt;Switched Billing Account - SOC Report</v>
      </c>
    </row>
    <row r="447" spans="1:2" x14ac:dyDescent="0.25">
      <c r="A447" t="s">
        <v>1328</v>
      </c>
      <c r="B447" t="str">
        <f t="shared" si="13"/>
        <v>&lt;prefix&gt;_&lt;mm&gt;10&lt;yy&gt;_&lt;ar&gt;Switched Billing Account - Wire Center Report</v>
      </c>
    </row>
    <row r="448" spans="1:2" x14ac:dyDescent="0.25">
      <c r="A448" t="s">
        <v>1329</v>
      </c>
      <c r="B448" t="str">
        <f t="shared" ref="B448:B466" si="14">"&lt;prefix&gt;_&lt;mm&gt;10&lt;yy&gt;_&lt;ar&gt;"&amp;A448</f>
        <v>&lt;prefix&gt;_&lt;mm&gt;10&lt;yy&gt;_&lt;ar&gt;Tariff Element Tracking</v>
      </c>
    </row>
    <row r="449" spans="1:2" x14ac:dyDescent="0.25">
      <c r="A449" t="s">
        <v>1330</v>
      </c>
      <c r="B449" t="str">
        <f t="shared" si="14"/>
        <v>&lt;prefix&gt;_&lt;mm&gt;10&lt;yy&gt;_&lt;ar&gt;Transaction Audit Detail</v>
      </c>
    </row>
    <row r="450" spans="1:2" x14ac:dyDescent="0.25">
      <c r="A450" t="s">
        <v>619</v>
      </c>
      <c r="B450" t="str">
        <f t="shared" si="14"/>
        <v>&lt;prefix&gt;_&lt;mm&gt;10&lt;yy&gt;_&lt;ar&gt;Transaction Detail Listing</v>
      </c>
    </row>
    <row r="451" spans="1:2" x14ac:dyDescent="0.25">
      <c r="A451" t="s">
        <v>616</v>
      </c>
      <c r="B451" t="str">
        <f t="shared" si="14"/>
        <v>&lt;prefix&gt;_&lt;mm&gt;10&lt;yy&gt;_&lt;ar&gt;Transaction Summary</v>
      </c>
    </row>
    <row r="452" spans="1:2" x14ac:dyDescent="0.25">
      <c r="A452" t="s">
        <v>1331</v>
      </c>
      <c r="B452" t="str">
        <f t="shared" si="14"/>
        <v>&lt;prefix&gt;_&lt;mm&gt;10&lt;yy&gt;_&lt;ar&gt;Transaction Summary - adjustments only</v>
      </c>
    </row>
    <row r="453" spans="1:2" x14ac:dyDescent="0.25">
      <c r="A453" t="s">
        <v>1332</v>
      </c>
      <c r="B453" t="str">
        <f t="shared" si="14"/>
        <v>&lt;prefix&gt;_&lt;mm&gt;10&lt;yy&gt;_&lt;ar&gt;Transaction Summary - receipts only</v>
      </c>
    </row>
    <row r="454" spans="1:2" x14ac:dyDescent="0.25">
      <c r="A454" t="s">
        <v>1333</v>
      </c>
      <c r="B454" t="str">
        <f t="shared" si="14"/>
        <v>&lt;prefix&gt;_&lt;mm&gt;10&lt;yy&gt;_&lt;ar&gt;Transaction Summary by transaction/bill type</v>
      </c>
    </row>
    <row r="455" spans="1:2" x14ac:dyDescent="0.25">
      <c r="A455" t="s">
        <v>1334</v>
      </c>
      <c r="B455" t="str">
        <f t="shared" si="14"/>
        <v xml:space="preserve">&lt;prefix&gt;_&lt;mm&gt;10&lt;yy&gt;_&lt;ar&gt;Transaction Summary by transaction/bill type </v>
      </c>
    </row>
    <row r="456" spans="1:2" x14ac:dyDescent="0.25">
      <c r="A456" t="s">
        <v>1335</v>
      </c>
      <c r="B456" t="str">
        <f t="shared" si="14"/>
        <v>&lt;prefix&gt;_&lt;mm&gt;10&lt;yy&gt;_&lt;ar&gt;Transaction Summary by transaction-bill type</v>
      </c>
    </row>
    <row r="457" spans="1:2" x14ac:dyDescent="0.25">
      <c r="A457" t="s">
        <v>1336</v>
      </c>
      <c r="B457" t="str">
        <f t="shared" si="14"/>
        <v>&lt;prefix&gt;_&lt;mm&gt;10&lt;yy&gt;_&lt;ar&gt;Unposted Adjustments</v>
      </c>
    </row>
    <row r="458" spans="1:2" x14ac:dyDescent="0.25">
      <c r="A458" t="s">
        <v>1337</v>
      </c>
      <c r="B458" t="str">
        <f t="shared" si="14"/>
        <v>&lt;prefix&gt;_&lt;mm&gt;10&lt;yy&gt;_&lt;ar&gt;Unresolved Disputes by Carrier by code</v>
      </c>
    </row>
    <row r="459" spans="1:2" x14ac:dyDescent="0.25">
      <c r="A459" t="s">
        <v>1338</v>
      </c>
      <c r="B459" t="str">
        <f t="shared" si="14"/>
        <v>&lt;prefix&gt;_&lt;mm&gt;10&lt;yy&gt;_&lt;ar&gt;Unresolved Disputes by Carrier by month</v>
      </c>
    </row>
    <row r="460" spans="1:2" x14ac:dyDescent="0.25">
      <c r="A460" t="s">
        <v>1339</v>
      </c>
      <c r="B460" t="str">
        <f t="shared" si="14"/>
        <v>&lt;prefix&gt;_&lt;mm&gt;10&lt;yy&gt;_&lt;ar&gt;Usage Balancing - Company Totals</v>
      </c>
    </row>
    <row r="461" spans="1:2" x14ac:dyDescent="0.25">
      <c r="A461" t="s">
        <v>41</v>
      </c>
      <c r="B461" t="str">
        <f t="shared" si="14"/>
        <v>&lt;prefix&gt;_&lt;mm&gt;10&lt;yy&gt;_&lt;ar&gt;Usage Balancing - Company Totals with Full Detail</v>
      </c>
    </row>
    <row r="462" spans="1:2" x14ac:dyDescent="0.25">
      <c r="A462" t="s">
        <v>1340</v>
      </c>
      <c r="B462" t="str">
        <f t="shared" si="14"/>
        <v>&lt;prefix&gt;_&lt;mm&gt;10&lt;yy&gt;_&lt;ar&gt;Usage Balancing - Company, Ban, Clli Totals</v>
      </c>
    </row>
    <row r="463" spans="1:2" x14ac:dyDescent="0.25">
      <c r="A463" t="s">
        <v>1341</v>
      </c>
      <c r="B463" t="str">
        <f t="shared" si="14"/>
        <v>&lt;prefix&gt;_&lt;mm&gt;10&lt;yy&gt;_&lt;ar&gt;Usage Balancing - Company, Ban, Clli, TT Totals</v>
      </c>
    </row>
    <row r="464" spans="1:2" x14ac:dyDescent="0.25">
      <c r="A464" t="s">
        <v>1342</v>
      </c>
      <c r="B464" t="str">
        <f t="shared" si="14"/>
        <v>&lt;prefix&gt;_&lt;mm&gt;10&lt;yy&gt;_&lt;ar&gt;Usage Totaling Rule</v>
      </c>
    </row>
    <row r="465" spans="1:3" x14ac:dyDescent="0.25">
      <c r="A465" t="s">
        <v>1343</v>
      </c>
      <c r="B465" t="str">
        <f t="shared" si="14"/>
        <v>&lt;prefix&gt;_&lt;mm&gt;10&lt;yy&gt;_&lt;ar&gt;Wire Center Mileage Segment Report</v>
      </c>
    </row>
    <row r="466" spans="1:3" x14ac:dyDescent="0.25">
      <c r="A466" t="s">
        <v>1344</v>
      </c>
      <c r="B466" t="str">
        <f t="shared" si="14"/>
        <v>&lt;prefix&gt;_&lt;mm&gt;10&lt;yy&gt;_&lt;ar&gt;Wire Center Report</v>
      </c>
    </row>
    <row r="467" spans="1:3" x14ac:dyDescent="0.25">
      <c r="A467" t="s">
        <v>32</v>
      </c>
      <c r="B467" s="11" t="s">
        <v>1048</v>
      </c>
      <c r="C467" s="18" t="s">
        <v>177</v>
      </c>
    </row>
    <row r="468" spans="1:3" x14ac:dyDescent="0.25">
      <c r="A468" t="s">
        <v>39</v>
      </c>
      <c r="B468" s="11" t="s">
        <v>1049</v>
      </c>
      <c r="C468" s="18" t="s">
        <v>368</v>
      </c>
    </row>
    <row r="469" spans="1:3" x14ac:dyDescent="0.25">
      <c r="A469" t="s">
        <v>16</v>
      </c>
      <c r="B469" s="11" t="s">
        <v>1050</v>
      </c>
      <c r="C469" t="s">
        <v>383</v>
      </c>
    </row>
    <row r="470" spans="1:3" x14ac:dyDescent="0.25">
      <c r="A470" t="s">
        <v>69</v>
      </c>
      <c r="B470" s="11" t="s">
        <v>1051</v>
      </c>
      <c r="C470" t="s">
        <v>385</v>
      </c>
    </row>
    <row r="471" spans="1:3" x14ac:dyDescent="0.25">
      <c r="A471" t="s">
        <v>13</v>
      </c>
      <c r="B471" s="11" t="s">
        <v>1002</v>
      </c>
      <c r="C471" t="s">
        <v>424</v>
      </c>
    </row>
    <row r="472" spans="1:3" x14ac:dyDescent="0.25">
      <c r="A472" t="s">
        <v>102</v>
      </c>
      <c r="B472" s="11" t="s">
        <v>1003</v>
      </c>
      <c r="C472" t="s">
        <v>428</v>
      </c>
    </row>
    <row r="473" spans="1:3" x14ac:dyDescent="0.25">
      <c r="A473" t="s">
        <v>61</v>
      </c>
      <c r="B473" s="11" t="s">
        <v>1004</v>
      </c>
      <c r="C473" t="s">
        <v>767</v>
      </c>
    </row>
    <row r="474" spans="1:3" x14ac:dyDescent="0.25">
      <c r="A474" t="s">
        <v>107</v>
      </c>
      <c r="B474" t="str">
        <f>"&lt;prefix&gt;_&lt;mm&gt;10&lt;yy&gt;_&lt;ar&gt;"&amp;A474</f>
        <v>&lt;prefix&gt;_&lt;mm&gt;10&lt;yy&gt;_&lt;ar&gt;Payment Report</v>
      </c>
      <c r="C474" s="18" t="s">
        <v>314</v>
      </c>
    </row>
    <row r="475" spans="1:3" x14ac:dyDescent="0.25">
      <c r="A475" t="s">
        <v>7</v>
      </c>
      <c r="B475" t="str">
        <f>"&lt;prefix&gt;_&lt;mm&gt;10&lt;yy&gt;_&lt;ar&gt;"&amp;A475</f>
        <v>&lt;prefix&gt;_&lt;mm&gt;10&lt;yy&gt;_&lt;ar&gt;Adjustments Not Posted Report</v>
      </c>
      <c r="C475" t="s">
        <v>336</v>
      </c>
    </row>
    <row r="476" spans="1:3" x14ac:dyDescent="0.25">
      <c r="A476" t="s">
        <v>70</v>
      </c>
      <c r="B476" s="7" t="s">
        <v>1052</v>
      </c>
      <c r="C476" s="7"/>
    </row>
    <row r="477" spans="1:3" x14ac:dyDescent="0.25">
      <c r="A477" t="s">
        <v>55</v>
      </c>
      <c r="B477" s="7" t="s">
        <v>1053</v>
      </c>
      <c r="C477" s="7"/>
    </row>
    <row r="478" spans="1:3" x14ac:dyDescent="0.25">
      <c r="A478" t="s">
        <v>71</v>
      </c>
      <c r="B478" s="7" t="s">
        <v>1054</v>
      </c>
      <c r="C478" s="7"/>
    </row>
    <row r="479" spans="1:3" x14ac:dyDescent="0.25">
      <c r="A479" t="s">
        <v>23</v>
      </c>
      <c r="B479" s="7" t="s">
        <v>1018</v>
      </c>
    </row>
    <row r="480" spans="1:3" x14ac:dyDescent="0.25">
      <c r="A480" t="s">
        <v>79</v>
      </c>
      <c r="B480" s="7" t="s">
        <v>1055</v>
      </c>
    </row>
    <row r="481" spans="1:3" x14ac:dyDescent="0.25">
      <c r="A481" t="s">
        <v>127</v>
      </c>
      <c r="B481" s="7" t="s">
        <v>1024</v>
      </c>
    </row>
    <row r="482" spans="1:3" x14ac:dyDescent="0.25">
      <c r="A482" t="s">
        <v>122</v>
      </c>
      <c r="B482" t="s">
        <v>1001</v>
      </c>
      <c r="C482" s="7"/>
    </row>
    <row r="483" spans="1:3" x14ac:dyDescent="0.25">
      <c r="A483" t="s">
        <v>1231</v>
      </c>
      <c r="B483" t="str">
        <f t="shared" ref="B483:B514" si="15">"&lt;prefix&gt;_&lt;mm&gt;10&lt;yy&gt;_&lt;ar&gt;"&amp;A483</f>
        <v>&lt;prefix&gt;_&lt;mm&gt;10&lt;yy&gt;_&lt;ar&gt;Access MSG and MOU billed by CLLI,FG,CIC</v>
      </c>
    </row>
    <row r="484" spans="1:3" x14ac:dyDescent="0.25">
      <c r="A484" t="s">
        <v>1232</v>
      </c>
      <c r="B484" t="str">
        <f t="shared" si="15"/>
        <v>&lt;prefix&gt;_&lt;mm&gt;10&lt;yy&gt;_&lt;ar&gt;Adjustments Detail Report - Posted</v>
      </c>
    </row>
    <row r="485" spans="1:3" x14ac:dyDescent="0.25">
      <c r="A485" t="s">
        <v>1233</v>
      </c>
      <c r="B485" t="str">
        <f t="shared" si="15"/>
        <v>&lt;prefix&gt;_&lt;mm&gt;10&lt;yy&gt;_&lt;ar&gt;Adjustments Detail Report - Unposted</v>
      </c>
    </row>
    <row r="486" spans="1:3" x14ac:dyDescent="0.25">
      <c r="A486" t="s">
        <v>30</v>
      </c>
      <c r="B486" t="str">
        <f t="shared" si="15"/>
        <v>&lt;prefix&gt;_&lt;mm&gt;10&lt;yy&gt;_&lt;ar&gt;Aged trial Balance</v>
      </c>
    </row>
    <row r="487" spans="1:3" x14ac:dyDescent="0.25">
      <c r="A487" t="s">
        <v>1234</v>
      </c>
      <c r="B487" t="str">
        <f t="shared" si="15"/>
        <v>&lt;prefix&gt;_&lt;mm&gt;10&lt;yy&gt;_&lt;ar&gt;Aged Trial Balance by Company</v>
      </c>
    </row>
    <row r="488" spans="1:3" x14ac:dyDescent="0.25">
      <c r="A488" t="s">
        <v>1235</v>
      </c>
      <c r="B488" t="str">
        <f t="shared" si="15"/>
        <v>&lt;prefix&gt;_&lt;mm&gt;10&lt;yy&gt;_&lt;ar&gt;Amount billed/disputed/settled by month/carrier</v>
      </c>
    </row>
    <row r="489" spans="1:3" x14ac:dyDescent="0.25">
      <c r="A489" t="s">
        <v>1236</v>
      </c>
      <c r="B489" t="str">
        <f t="shared" si="15"/>
        <v>&lt;prefix&gt;_&lt;mm&gt;10&lt;yy&gt;_&lt;ar&gt;Amount billed/disputed/settled by qtr/carrier</v>
      </c>
    </row>
    <row r="490" spans="1:3" x14ac:dyDescent="0.25">
      <c r="A490" t="s">
        <v>1237</v>
      </c>
      <c r="B490" t="str">
        <f t="shared" si="15"/>
        <v>&lt;prefix&gt;_&lt;mm&gt;10&lt;yy&gt;_&lt;ar&gt;Amount billed-disputed-settled by month-carrier</v>
      </c>
    </row>
    <row r="491" spans="1:3" x14ac:dyDescent="0.25">
      <c r="A491" t="s">
        <v>1238</v>
      </c>
      <c r="B491" t="str">
        <f t="shared" si="15"/>
        <v>&lt;prefix&gt;_&lt;mm&gt;10&lt;yy&gt;_&lt;ar&gt;Amount billed-disputed-settled by qtr-carrier</v>
      </c>
    </row>
    <row r="492" spans="1:3" x14ac:dyDescent="0.25">
      <c r="A492" t="s">
        <v>1239</v>
      </c>
      <c r="B492" t="str">
        <f t="shared" si="15"/>
        <v>&lt;prefix&gt;_&lt;mm&gt;10&lt;yy&gt;_&lt;ar&gt;AS1000 Report</v>
      </c>
    </row>
    <row r="493" spans="1:3" x14ac:dyDescent="0.25">
      <c r="A493" t="s">
        <v>9</v>
      </c>
      <c r="B493" t="str">
        <f t="shared" si="15"/>
        <v>&lt;prefix&gt;_&lt;mm&gt;10&lt;yy&gt;_&lt;ar&gt;AUR History Stats</v>
      </c>
    </row>
    <row r="494" spans="1:3" x14ac:dyDescent="0.25">
      <c r="A494" t="s">
        <v>1240</v>
      </c>
      <c r="B494" t="str">
        <f t="shared" si="15"/>
        <v>&lt;prefix&gt;_&lt;mm&gt;10&lt;yy&gt;_&lt;ar&gt;AUR History Stats (Seconds)</v>
      </c>
    </row>
    <row r="495" spans="1:3" x14ac:dyDescent="0.25">
      <c r="A495" t="s">
        <v>12</v>
      </c>
      <c r="B495" t="str">
        <f t="shared" si="15"/>
        <v>&lt;prefix&gt;_&lt;mm&gt;10&lt;yy&gt;_&lt;ar&gt;AUR History Stats Report</v>
      </c>
    </row>
    <row r="496" spans="1:3" x14ac:dyDescent="0.25">
      <c r="A496" t="s">
        <v>1241</v>
      </c>
      <c r="B496" t="str">
        <f t="shared" si="15"/>
        <v>&lt;prefix&gt;_&lt;mm&gt;10&lt;yy&gt;_&lt;ar&gt;AUR History Summary</v>
      </c>
    </row>
    <row r="497" spans="1:2" x14ac:dyDescent="0.25">
      <c r="A497" t="s">
        <v>1242</v>
      </c>
      <c r="B497" t="str">
        <f t="shared" si="15"/>
        <v>&lt;prefix&gt;_&lt;mm&gt;10&lt;yy&gt;_&lt;ar&gt;AUR History Summary by Day</v>
      </c>
    </row>
    <row r="498" spans="1:2" x14ac:dyDescent="0.25">
      <c r="A498" t="s">
        <v>44</v>
      </c>
      <c r="B498" t="str">
        <f t="shared" si="15"/>
        <v>&lt;prefix&gt;_&lt;mm&gt;10&lt;yy&gt;_&lt;ar&gt;Billed by Period</v>
      </c>
    </row>
    <row r="499" spans="1:2" x14ac:dyDescent="0.25">
      <c r="A499" t="s">
        <v>1243</v>
      </c>
      <c r="B499" t="str">
        <f t="shared" si="15"/>
        <v>&lt;prefix&gt;_&lt;mm&gt;10&lt;yy&gt;_&lt;ar&gt;Billed Minutes by Inter/Intra State</v>
      </c>
    </row>
    <row r="500" spans="1:2" x14ac:dyDescent="0.25">
      <c r="A500" t="s">
        <v>1244</v>
      </c>
      <c r="B500" t="str">
        <f t="shared" si="15"/>
        <v>&lt;prefix&gt;_&lt;mm&gt;10&lt;yy&gt;_&lt;ar&gt;Billed Minutes by Inter-Intra State</v>
      </c>
    </row>
    <row r="501" spans="1:2" x14ac:dyDescent="0.25">
      <c r="A501" t="s">
        <v>1245</v>
      </c>
      <c r="B501" t="str">
        <f t="shared" si="15"/>
        <v>&lt;prefix&gt;_&lt;mm&gt;10&lt;yy&gt;_&lt;ar&gt;Billed Minutes by Jurisdiction</v>
      </c>
    </row>
    <row r="502" spans="1:2" x14ac:dyDescent="0.25">
      <c r="A502" t="s">
        <v>1246</v>
      </c>
      <c r="B502" t="str">
        <f t="shared" si="15"/>
        <v>&lt;prefix&gt;_&lt;mm&gt;10&lt;yy&gt;_&lt;ar&gt;Billed minutes by Quarter by Inter/Intra State</v>
      </c>
    </row>
    <row r="503" spans="1:2" x14ac:dyDescent="0.25">
      <c r="A503" t="s">
        <v>1247</v>
      </c>
      <c r="B503" t="str">
        <f t="shared" si="15"/>
        <v>&lt;prefix&gt;_&lt;mm&gt;10&lt;yy&gt;_&lt;ar&gt;Billed minutes by Quarter by Inter-Intra State</v>
      </c>
    </row>
    <row r="504" spans="1:2" x14ac:dyDescent="0.25">
      <c r="A504" t="s">
        <v>1248</v>
      </c>
      <c r="B504" t="str">
        <f t="shared" si="15"/>
        <v>&lt;prefix&gt;_&lt;mm&gt;10&lt;yy&gt;_&lt;ar&gt;Billed Minutes by Quarter by Jurisdiction</v>
      </c>
    </row>
    <row r="505" spans="1:2" x14ac:dyDescent="0.25">
      <c r="A505" t="s">
        <v>49</v>
      </c>
      <c r="B505" t="str">
        <f t="shared" si="15"/>
        <v>&lt;prefix&gt;_&lt;mm&gt;10&lt;yy&gt;_&lt;ar&gt;Billed Msg MOU Rev by BAN by EMR Jurisdiction</v>
      </c>
    </row>
    <row r="506" spans="1:2" x14ac:dyDescent="0.25">
      <c r="A506" t="s">
        <v>1249</v>
      </c>
      <c r="B506" t="str">
        <f t="shared" si="15"/>
        <v>&lt;prefix&gt;_&lt;mm&gt;10&lt;yy&gt;_&lt;ar&gt;Billed Msg MOU Rev by BAN by Jurisdiction</v>
      </c>
    </row>
    <row r="507" spans="1:2" x14ac:dyDescent="0.25">
      <c r="A507" t="s">
        <v>51</v>
      </c>
      <c r="B507" t="str">
        <f t="shared" si="15"/>
        <v>&lt;prefix&gt;_&lt;mm&gt;10&lt;yy&gt;_&lt;ar&gt;Billed Msg MOU Rev by CLLI by EMR Jurisdiction</v>
      </c>
    </row>
    <row r="508" spans="1:2" x14ac:dyDescent="0.25">
      <c r="A508" t="s">
        <v>1250</v>
      </c>
      <c r="B508" t="str">
        <f t="shared" si="15"/>
        <v>&lt;prefix&gt;_&lt;mm&gt;10&lt;yy&gt;_&lt;ar&gt;Billed Msg MOU Rev by CLLI by Jurisdiction</v>
      </c>
    </row>
    <row r="509" spans="1:2" x14ac:dyDescent="0.25">
      <c r="A509" t="s">
        <v>1251</v>
      </c>
      <c r="B509" t="str">
        <f t="shared" si="15"/>
        <v>&lt;prefix&gt;_&lt;mm&gt;10&lt;yy&gt;_&lt;ar&gt;CLNT aur_usage_by_day_co_v3</v>
      </c>
    </row>
    <row r="510" spans="1:2" x14ac:dyDescent="0.25">
      <c r="A510" t="s">
        <v>1252</v>
      </c>
      <c r="B510" t="str">
        <f t="shared" si="15"/>
        <v>&lt;prefix&gt;_&lt;mm&gt;10&lt;yy&gt;_&lt;ar&gt;CLNT billed_by_period_for_exp_4_v2</v>
      </c>
    </row>
    <row r="511" spans="1:2" x14ac:dyDescent="0.25">
      <c r="A511" t="s">
        <v>1253</v>
      </c>
      <c r="B511" t="str">
        <f t="shared" si="15"/>
        <v>&lt;prefix&gt;_&lt;mm&gt;10&lt;yy&gt;_&lt;ar&gt;CLNT cbeyond_m_m_r_to_export_v2</v>
      </c>
    </row>
    <row r="512" spans="1:2" x14ac:dyDescent="0.25">
      <c r="A512" t="s">
        <v>1255</v>
      </c>
      <c r="B512" t="str">
        <f t="shared" si="15"/>
        <v>&lt;prefix&gt;_&lt;mm&gt;10&lt;yy&gt;_&lt;ar&gt;CLNT gl_trans_from_adjustments_ban_v3</v>
      </c>
    </row>
    <row r="513" spans="1:2" x14ac:dyDescent="0.25">
      <c r="A513" t="s">
        <v>1256</v>
      </c>
      <c r="B513" t="str">
        <f t="shared" si="15"/>
        <v>&lt;prefix&gt;_&lt;mm&gt;10&lt;yy&gt;_&lt;ar&gt;CLNT gl_trans_from_occ_ban_v3</v>
      </c>
    </row>
    <row r="514" spans="1:2" x14ac:dyDescent="0.25">
      <c r="A514" t="s">
        <v>1257</v>
      </c>
      <c r="B514" t="str">
        <f t="shared" si="15"/>
        <v>&lt;prefix&gt;_&lt;mm&gt;10&lt;yy&gt;_&lt;ar&gt;CLNT invoice_balances_by_jur_w_lpc_v2</v>
      </c>
    </row>
    <row r="515" spans="1:2" x14ac:dyDescent="0.25">
      <c r="A515" t="s">
        <v>53</v>
      </c>
      <c r="B515" t="str">
        <f t="shared" ref="B515:B546" si="16">"&lt;prefix&gt;_&lt;mm&gt;10&lt;yy&gt;_&lt;ar&gt;"&amp;A515</f>
        <v>&lt;prefix&gt;_&lt;mm&gt;10&lt;yy&gt;_&lt;ar&gt;CLNT ly_invoice_balances_by_jur_cic</v>
      </c>
    </row>
    <row r="516" spans="1:2" x14ac:dyDescent="0.25">
      <c r="A516" t="s">
        <v>55</v>
      </c>
      <c r="B516" t="str">
        <f t="shared" si="16"/>
        <v>&lt;prefix&gt;_&lt;mm&gt;10&lt;yy&gt;_&lt;ar&gt;CLNT nt_ckt_billed_live_disco_v2</v>
      </c>
    </row>
    <row r="517" spans="1:2" x14ac:dyDescent="0.25">
      <c r="A517" t="s">
        <v>1258</v>
      </c>
      <c r="B517" t="str">
        <f t="shared" si="16"/>
        <v>&lt;prefix&gt;_&lt;mm&gt;10&lt;yy&gt;_&lt;ar&gt;CLNT nt_fa_acctg_detail_rpt_v1</v>
      </c>
    </row>
    <row r="518" spans="1:2" x14ac:dyDescent="0.25">
      <c r="A518" t="s">
        <v>1259</v>
      </c>
      <c r="B518" t="str">
        <f t="shared" si="16"/>
        <v>&lt;prefix&gt;_&lt;mm&gt;10&lt;yy&gt;_&lt;ar&gt;CLNT nt_fa_acctg_rpt_v1</v>
      </c>
    </row>
    <row r="519" spans="1:2" x14ac:dyDescent="0.25">
      <c r="A519" t="s">
        <v>1260</v>
      </c>
      <c r="B519" t="str">
        <f t="shared" si="16"/>
        <v>&lt;prefix&gt;_&lt;mm&gt;10&lt;yy&gt;_&lt;ar&gt;CLNT nt_m_m_r_p_to_export_v1</v>
      </c>
    </row>
    <row r="520" spans="1:2" x14ac:dyDescent="0.25">
      <c r="A520" t="s">
        <v>1261</v>
      </c>
      <c r="B520" t="str">
        <f t="shared" si="16"/>
        <v>&lt;prefix&gt;_&lt;mm&gt;10&lt;yy&gt;_&lt;ar&gt;CLNT nt_m_m_r_to_export_v1</v>
      </c>
    </row>
    <row r="521" spans="1:2" x14ac:dyDescent="0.25">
      <c r="A521" t="s">
        <v>1262</v>
      </c>
      <c r="B521" t="str">
        <f t="shared" si="16"/>
        <v>&lt;prefix&gt;_&lt;mm&gt;10&lt;yy&gt;_&lt;ar&gt;CLNT nt_rev_analysis_clli_2</v>
      </c>
    </row>
    <row r="522" spans="1:2" x14ac:dyDescent="0.25">
      <c r="A522" t="s">
        <v>1263</v>
      </c>
      <c r="B522" t="str">
        <f t="shared" si="16"/>
        <v>&lt;prefix&gt;_&lt;mm&gt;10&lt;yy&gt;_&lt;ar&gt;CLNT payment_by_date8_v2</v>
      </c>
    </row>
    <row r="523" spans="1:2" x14ac:dyDescent="0.25">
      <c r="A523" t="s">
        <v>1264</v>
      </c>
      <c r="B523" t="str">
        <f t="shared" si="16"/>
        <v>&lt;prefix&gt;_&lt;mm&gt;10&lt;yy&gt;_&lt;ar&gt;CLNT r_aged_trial_bal_1v3</v>
      </c>
    </row>
    <row r="524" spans="1:2" x14ac:dyDescent="0.25">
      <c r="A524" t="s">
        <v>1265</v>
      </c>
      <c r="B524" t="str">
        <f t="shared" si="16"/>
        <v>&lt;prefix&gt;_&lt;mm&gt;10&lt;yy&gt;_&lt;ar&gt;CLNT r_aged_trial_bal_for_export_v2</v>
      </c>
    </row>
    <row r="525" spans="1:2" x14ac:dyDescent="0.25">
      <c r="A525" t="s">
        <v>1266</v>
      </c>
      <c r="B525" t="str">
        <f t="shared" si="16"/>
        <v>&lt;prefix&gt;_&lt;mm&gt;10&lt;yy&gt;_&lt;ar&gt;CLNT r_sce_3_v3_2</v>
      </c>
    </row>
    <row r="526" spans="1:2" x14ac:dyDescent="0.25">
      <c r="A526" t="s">
        <v>1267</v>
      </c>
      <c r="B526" t="str">
        <f t="shared" si="16"/>
        <v>&lt;prefix&gt;_&lt;mm&gt;10&lt;yy&gt;_&lt;ar&gt;CLNT r_transaction_summary_bills_v2</v>
      </c>
    </row>
    <row r="527" spans="1:2" x14ac:dyDescent="0.25">
      <c r="A527" t="s">
        <v>1268</v>
      </c>
      <c r="B527" t="str">
        <f t="shared" si="16"/>
        <v>&lt;prefix&gt;_&lt;mm&gt;10&lt;yy&gt;_&lt;ar&gt;CLNT sw_invoice_trending_v6</v>
      </c>
    </row>
    <row r="528" spans="1:2" x14ac:dyDescent="0.25">
      <c r="A528" t="s">
        <v>1269</v>
      </c>
      <c r="B528" t="str">
        <f t="shared" si="16"/>
        <v>&lt;prefix&gt;_&lt;mm&gt;10&lt;yy&gt;_&lt;ar&gt;Company Master Report</v>
      </c>
    </row>
    <row r="529" spans="1:2" x14ac:dyDescent="0.25">
      <c r="A529" t="s">
        <v>1270</v>
      </c>
      <c r="B529" t="str">
        <f t="shared" si="16"/>
        <v>&lt;prefix&gt;_&lt;mm&gt;10&lt;yy&gt;_&lt;ar&gt;Detail of OCCs Posted - MTA</v>
      </c>
    </row>
    <row r="530" spans="1:2" x14ac:dyDescent="0.25">
      <c r="A530" t="s">
        <v>18</v>
      </c>
      <c r="B530" t="str">
        <f t="shared" si="16"/>
        <v>&lt;prefix&gt;_&lt;mm&gt;10&lt;yy&gt;_&lt;ar&gt;Detailed BAN Error Report</v>
      </c>
    </row>
    <row r="531" spans="1:2" x14ac:dyDescent="0.25">
      <c r="A531" t="s">
        <v>20</v>
      </c>
      <c r="B531" t="str">
        <f t="shared" si="16"/>
        <v>&lt;prefix&gt;_&lt;mm&gt;10&lt;yy&gt;_&lt;ar&gt;Detailed BAN Error Report - with extra research</v>
      </c>
    </row>
    <row r="532" spans="1:2" x14ac:dyDescent="0.25">
      <c r="A532" t="s">
        <v>22</v>
      </c>
      <c r="B532" t="str">
        <f t="shared" si="16"/>
        <v>&lt;prefix&gt;_&lt;mm&gt;10&lt;yy&gt;_&lt;ar&gt;Detailed CLLI Error Report</v>
      </c>
    </row>
    <row r="533" spans="1:2" x14ac:dyDescent="0.25">
      <c r="A533" t="s">
        <v>1271</v>
      </c>
      <c r="B533" t="str">
        <f t="shared" si="16"/>
        <v>&lt;prefix&gt;_&lt;mm&gt;10&lt;yy&gt;_&lt;ar&gt;Dispute amounts by type by month</v>
      </c>
    </row>
    <row r="534" spans="1:2" x14ac:dyDescent="0.25">
      <c r="A534" t="s">
        <v>1272</v>
      </c>
      <c r="B534" t="str">
        <f t="shared" si="16"/>
        <v>&lt;prefix&gt;_&lt;mm&gt;10&lt;yy&gt;_&lt;ar&gt;Dispute amounts by type by month by carrier</v>
      </c>
    </row>
    <row r="535" spans="1:2" x14ac:dyDescent="0.25">
      <c r="A535" t="s">
        <v>1273</v>
      </c>
      <c r="B535" t="str">
        <f t="shared" si="16"/>
        <v>&lt;prefix&gt;_&lt;mm&gt;10&lt;yy&gt;_&lt;ar&gt;Dispute amounts by type by quarter</v>
      </c>
    </row>
    <row r="536" spans="1:2" x14ac:dyDescent="0.25">
      <c r="A536" t="s">
        <v>1274</v>
      </c>
      <c r="B536" t="str">
        <f t="shared" si="16"/>
        <v>&lt;prefix&gt;_&lt;mm&gt;10&lt;yy&gt;_&lt;ar&gt;Dispute amounts by type by quarter by carrier</v>
      </c>
    </row>
    <row r="537" spans="1:2" x14ac:dyDescent="0.25">
      <c r="A537" t="s">
        <v>1275</v>
      </c>
      <c r="B537" t="str">
        <f t="shared" si="16"/>
        <v>&lt;prefix&gt;_&lt;mm&gt;10&lt;yy&gt;_&lt;ar&gt;Dispute amounts/carrier/month for a given year</v>
      </c>
    </row>
    <row r="538" spans="1:2" x14ac:dyDescent="0.25">
      <c r="A538" t="s">
        <v>1276</v>
      </c>
      <c r="B538" t="str">
        <f t="shared" si="16"/>
        <v>&lt;prefix&gt;_&lt;mm&gt;10&lt;yy&gt;_&lt;ar&gt;Dispute amounts/carrier/qtr for a given year</v>
      </c>
    </row>
    <row r="539" spans="1:2" x14ac:dyDescent="0.25">
      <c r="A539" t="s">
        <v>1277</v>
      </c>
      <c r="B539" t="str">
        <f t="shared" si="16"/>
        <v>&lt;prefix&gt;_&lt;mm&gt;10&lt;yy&gt;_&lt;ar&gt;Dispute amounts-carrier-month for a given year</v>
      </c>
    </row>
    <row r="540" spans="1:2" x14ac:dyDescent="0.25">
      <c r="A540" t="s">
        <v>1278</v>
      </c>
      <c r="B540" t="str">
        <f t="shared" si="16"/>
        <v>&lt;prefix&gt;_&lt;mm&gt;10&lt;yy&gt;_&lt;ar&gt;Dispute amounts-carrier-qtr for a given year</v>
      </c>
    </row>
    <row r="541" spans="1:2" x14ac:dyDescent="0.25">
      <c r="A541" t="s">
        <v>27</v>
      </c>
      <c r="B541" t="str">
        <f t="shared" si="16"/>
        <v>&lt;prefix&gt;_&lt;mm&gt;10&lt;yy&gt;_&lt;ar&gt;Duplicate File Processing Report</v>
      </c>
    </row>
    <row r="542" spans="1:2" x14ac:dyDescent="0.25">
      <c r="A542" t="s">
        <v>1279</v>
      </c>
      <c r="B542" t="str">
        <f t="shared" si="16"/>
        <v>&lt;prefix&gt;_&lt;mm&gt;10&lt;yy&gt;_&lt;ar&gt;EC1050 Report</v>
      </c>
    </row>
    <row r="543" spans="1:2" x14ac:dyDescent="0.25">
      <c r="A543" t="s">
        <v>29</v>
      </c>
      <c r="B543" t="str">
        <f t="shared" si="16"/>
        <v>&lt;prefix&gt;_&lt;mm&gt;10&lt;yy&gt;_&lt;ar&gt;Exception Analysis Report</v>
      </c>
    </row>
    <row r="544" spans="1:2" x14ac:dyDescent="0.25">
      <c r="A544" t="s">
        <v>1280</v>
      </c>
      <c r="B544" t="str">
        <f t="shared" si="16"/>
        <v>&lt;prefix&gt;_&lt;mm&gt;10&lt;yy&gt;_&lt;ar&gt;Facility BANs trending report - MTA</v>
      </c>
    </row>
    <row r="545" spans="1:2" x14ac:dyDescent="0.25">
      <c r="A545" t="s">
        <v>34</v>
      </c>
      <c r="B545" t="str">
        <f t="shared" si="16"/>
        <v>&lt;prefix&gt;_&lt;mm&gt;10&lt;yy&gt;_&lt;ar&gt;Factor Check Report with PVU</v>
      </c>
    </row>
    <row r="546" spans="1:2" x14ac:dyDescent="0.25">
      <c r="A546" t="s">
        <v>78</v>
      </c>
      <c r="B546" t="str">
        <f t="shared" si="16"/>
        <v>&lt;prefix&gt;_&lt;mm&gt;10&lt;yy&gt;_&lt;ar&gt;Fulfillment Report</v>
      </c>
    </row>
    <row r="547" spans="1:2" x14ac:dyDescent="0.25">
      <c r="A547" t="s">
        <v>1281</v>
      </c>
      <c r="B547" t="str">
        <f t="shared" ref="B547:B578" si="17">"&lt;prefix&gt;_&lt;mm&gt;10&lt;yy&gt;_&lt;ar&gt;"&amp;A547</f>
        <v>&lt;prefix&gt;_&lt;mm&gt;10&lt;yy&gt;_&lt;ar&gt;Graph - Disputed Amounts by Carrier</v>
      </c>
    </row>
    <row r="548" spans="1:2" x14ac:dyDescent="0.25">
      <c r="A548" t="s">
        <v>1282</v>
      </c>
      <c r="B548" t="str">
        <f t="shared" si="17"/>
        <v>&lt;prefix&gt;_&lt;mm&gt;10&lt;yy&gt;_&lt;ar&gt;Graph - Disputed Amounts by Carrier by Date</v>
      </c>
    </row>
    <row r="549" spans="1:2" x14ac:dyDescent="0.25">
      <c r="A549" t="s">
        <v>1283</v>
      </c>
      <c r="B549" t="str">
        <f t="shared" si="17"/>
        <v>&lt;prefix&gt;_&lt;mm&gt;10&lt;yy&gt;_&lt;ar&gt;Graph - Disputed Amounts by dispute types</v>
      </c>
    </row>
    <row r="550" spans="1:2" x14ac:dyDescent="0.25">
      <c r="A550" t="s">
        <v>1284</v>
      </c>
      <c r="B550" t="str">
        <f t="shared" si="17"/>
        <v>&lt;prefix&gt;_&lt;mm&gt;10&lt;yy&gt;_&lt;ar&gt;Graph - Disputed Amounts vs Resolutions</v>
      </c>
    </row>
    <row r="551" spans="1:2" x14ac:dyDescent="0.25">
      <c r="A551" t="s">
        <v>1285</v>
      </c>
      <c r="B551" t="str">
        <f t="shared" si="17"/>
        <v>&lt;prefix&gt;_&lt;mm&gt;10&lt;yy&gt;_&lt;ar&gt;Graph - No. of Disputes by Carrier</v>
      </c>
    </row>
    <row r="552" spans="1:2" x14ac:dyDescent="0.25">
      <c r="A552" t="s">
        <v>1286</v>
      </c>
      <c r="B552" t="str">
        <f t="shared" si="17"/>
        <v>&lt;prefix&gt;_&lt;mm&gt;10&lt;yy&gt;_&lt;ar&gt;Graph - No. of Disputes by Carrier by Date</v>
      </c>
    </row>
    <row r="553" spans="1:2" x14ac:dyDescent="0.25">
      <c r="A553" t="s">
        <v>1287</v>
      </c>
      <c r="B553" t="str">
        <f t="shared" si="17"/>
        <v>&lt;prefix&gt;_&lt;mm&gt;10&lt;yy&gt;_&lt;ar&gt;Invoice Balance By Jur</v>
      </c>
    </row>
    <row r="554" spans="1:2" x14ac:dyDescent="0.25">
      <c r="A554" t="s">
        <v>1288</v>
      </c>
      <c r="B554" t="str">
        <f t="shared" si="17"/>
        <v>&lt;prefix&gt;_&lt;mm&gt;10&lt;yy&gt;_&lt;ar&gt;Manual Local to Tra/Tra</v>
      </c>
    </row>
    <row r="555" spans="1:2" x14ac:dyDescent="0.25">
      <c r="A555" t="s">
        <v>1289</v>
      </c>
      <c r="B555" t="str">
        <f t="shared" si="17"/>
        <v>&lt;prefix&gt;_&lt;mm&gt;10&lt;yy&gt;_&lt;ar&gt;Message Record Analysis</v>
      </c>
    </row>
    <row r="556" spans="1:2" x14ac:dyDescent="0.25">
      <c r="A556" t="s">
        <v>1290</v>
      </c>
      <c r="B556" t="str">
        <f t="shared" si="17"/>
        <v>&lt;prefix&gt;_&lt;mm&gt;10&lt;yy&gt;_&lt;ar&gt;Messages and minutes billed by FG,CIC</v>
      </c>
    </row>
    <row r="557" spans="1:2" x14ac:dyDescent="0.25">
      <c r="A557" t="s">
        <v>1291</v>
      </c>
      <c r="B557" t="str">
        <f t="shared" si="17"/>
        <v>&lt;prefix&gt;_&lt;mm&gt;10&lt;yy&gt;_&lt;ar&gt;Messages and minutes billed by FG,CIC(Local separa</v>
      </c>
    </row>
    <row r="558" spans="1:2" x14ac:dyDescent="0.25">
      <c r="A558" t="s">
        <v>1292</v>
      </c>
      <c r="B558" t="str">
        <f t="shared" si="17"/>
        <v>&lt;prefix&gt;_&lt;mm&gt;10&lt;yy&gt;_&lt;ar&gt;Minutes</v>
      </c>
    </row>
    <row r="559" spans="1:2" x14ac:dyDescent="0.25">
      <c r="A559" t="s">
        <v>92</v>
      </c>
      <c r="B559" t="str">
        <f t="shared" si="17"/>
        <v>&lt;prefix&gt;_&lt;mm&gt;10&lt;yy&gt;_&lt;ar&gt;Minutes and revenue billed by rate element</v>
      </c>
    </row>
    <row r="560" spans="1:2" x14ac:dyDescent="0.25">
      <c r="A560" t="s">
        <v>1293</v>
      </c>
      <c r="B560" t="str">
        <f t="shared" si="17"/>
        <v>&lt;prefix&gt;_&lt;mm&gt;10&lt;yy&gt;_&lt;ar&gt;Minutes billed by BAN, Orig- Term Inter-Intra Stat</v>
      </c>
    </row>
    <row r="561" spans="1:2" x14ac:dyDescent="0.25">
      <c r="A561" t="s">
        <v>1294</v>
      </c>
      <c r="B561" t="str">
        <f t="shared" si="17"/>
        <v>&lt;prefix&gt;_&lt;mm&gt;10&lt;yy&gt;_&lt;ar&gt;Minutes billed by BAN, Orig/ Term Inter/Intra Stat</v>
      </c>
    </row>
    <row r="562" spans="1:2" x14ac:dyDescent="0.25">
      <c r="A562" t="s">
        <v>47</v>
      </c>
      <c r="B562" t="str">
        <f t="shared" si="17"/>
        <v>&lt;prefix&gt;_&lt;mm&gt;10&lt;yy&gt;_&lt;ar&gt;MOU Entries Error Report</v>
      </c>
    </row>
    <row r="563" spans="1:2" x14ac:dyDescent="0.25">
      <c r="A563" t="s">
        <v>1295</v>
      </c>
      <c r="B563" t="str">
        <f t="shared" si="17"/>
        <v>&lt;prefix&gt;_&lt;mm&gt;10&lt;yy&gt;_&lt;ar&gt;MTAV5_Reports_Table</v>
      </c>
    </row>
    <row r="564" spans="1:2" x14ac:dyDescent="0.25">
      <c r="A564" t="s">
        <v>1296</v>
      </c>
      <c r="B564" t="str">
        <f t="shared" si="17"/>
        <v>&lt;prefix&gt;_&lt;mm&gt;10&lt;yy&gt;_&lt;ar&gt;MTAV5_Rpt_Argmnt</v>
      </c>
    </row>
    <row r="565" spans="1:2" x14ac:dyDescent="0.25">
      <c r="A565" t="s">
        <v>100</v>
      </c>
      <c r="B565" t="str">
        <f t="shared" si="17"/>
        <v>&lt;prefix&gt;_&lt;mm&gt;10&lt;yy&gt;_&lt;ar&gt;NECA AS1000</v>
      </c>
    </row>
    <row r="566" spans="1:2" x14ac:dyDescent="0.25">
      <c r="A566" t="s">
        <v>101</v>
      </c>
      <c r="B566" t="str">
        <f t="shared" si="17"/>
        <v>&lt;prefix&gt;_&lt;mm&gt;10&lt;yy&gt;_&lt;ar&gt;NECA EC1050</v>
      </c>
    </row>
    <row r="567" spans="1:2" x14ac:dyDescent="0.25">
      <c r="A567" t="s">
        <v>1297</v>
      </c>
      <c r="B567" t="str">
        <f t="shared" si="17"/>
        <v>&lt;prefix&gt;_&lt;mm&gt;10&lt;yy&gt;_&lt;ar&gt;Non FA Rate Element as Billed Table Report</v>
      </c>
    </row>
    <row r="568" spans="1:2" x14ac:dyDescent="0.25">
      <c r="A568" t="s">
        <v>1298</v>
      </c>
      <c r="B568" t="str">
        <f t="shared" si="17"/>
        <v>&lt;prefix&gt;_&lt;mm&gt;10&lt;yy&gt;_&lt;ar&gt;OCC Detail Report - Posted</v>
      </c>
    </row>
    <row r="569" spans="1:2" x14ac:dyDescent="0.25">
      <c r="A569" t="s">
        <v>1299</v>
      </c>
      <c r="B569" t="str">
        <f t="shared" si="17"/>
        <v>&lt;prefix&gt;_&lt;mm&gt;10&lt;yy&gt;_&lt;ar&gt;OCC Detail Report - Unposted</v>
      </c>
    </row>
    <row r="570" spans="1:2" x14ac:dyDescent="0.25">
      <c r="A570" t="s">
        <v>1300</v>
      </c>
      <c r="B570" t="str">
        <f t="shared" si="17"/>
        <v>&lt;prefix&gt;_&lt;mm&gt;10&lt;yy&gt;_&lt;ar&gt;Partially Paid Invoices</v>
      </c>
    </row>
    <row r="571" spans="1:2" x14ac:dyDescent="0.25">
      <c r="A571" t="s">
        <v>1301</v>
      </c>
      <c r="B571" t="str">
        <f t="shared" si="17"/>
        <v>&lt;prefix&gt;_&lt;mm&gt;10&lt;yy&gt;_&lt;ar&gt;Payment Details by Check</v>
      </c>
    </row>
    <row r="572" spans="1:2" x14ac:dyDescent="0.25">
      <c r="A572" t="s">
        <v>1302</v>
      </c>
      <c r="B572" t="str">
        <f t="shared" si="17"/>
        <v>&lt;prefix&gt;_&lt;mm&gt;10&lt;yy&gt;_&lt;ar&gt;Payments by Payer by BAN</v>
      </c>
    </row>
    <row r="573" spans="1:2" x14ac:dyDescent="0.25">
      <c r="A573" t="s">
        <v>1303</v>
      </c>
      <c r="B573" t="str">
        <f t="shared" si="17"/>
        <v>&lt;prefix&gt;_&lt;mm&gt;10&lt;yy&gt;_&lt;ar&gt;Payments Not on Bill</v>
      </c>
    </row>
    <row r="574" spans="1:2" x14ac:dyDescent="0.25">
      <c r="A574" t="s">
        <v>1304</v>
      </c>
      <c r="B574" t="str">
        <f t="shared" si="17"/>
        <v>&lt;prefix&gt;_&lt;mm&gt;10&lt;yy&gt;_&lt;ar&gt;Percent of disputes/billed per month/year</v>
      </c>
    </row>
    <row r="575" spans="1:2" x14ac:dyDescent="0.25">
      <c r="A575" t="s">
        <v>1305</v>
      </c>
      <c r="B575" t="str">
        <f t="shared" si="17"/>
        <v>&lt;prefix&gt;_&lt;mm&gt;10&lt;yy&gt;_&lt;ar&gt;Percent of disputes/billed per qtr/year</v>
      </c>
    </row>
    <row r="576" spans="1:2" x14ac:dyDescent="0.25">
      <c r="A576" t="s">
        <v>1306</v>
      </c>
      <c r="B576" t="str">
        <f t="shared" si="17"/>
        <v>&lt;prefix&gt;_&lt;mm&gt;10&lt;yy&gt;_&lt;ar&gt;Percent of disputes-billed per month-year</v>
      </c>
    </row>
    <row r="577" spans="1:2" x14ac:dyDescent="0.25">
      <c r="A577" t="s">
        <v>1307</v>
      </c>
      <c r="B577" t="str">
        <f t="shared" si="17"/>
        <v>&lt;prefix&gt;_&lt;mm&gt;10&lt;yy&gt;_&lt;ar&gt;Percent of disputes-billed per qtr-year</v>
      </c>
    </row>
    <row r="578" spans="1:2" x14ac:dyDescent="0.25">
      <c r="A578" t="s">
        <v>1308</v>
      </c>
      <c r="B578" t="str">
        <f t="shared" si="17"/>
        <v>&lt;prefix&gt;_&lt;mm&gt;10&lt;yy&gt;_&lt;ar&gt;Post billing rate change adj. calc. - FA</v>
      </c>
    </row>
    <row r="579" spans="1:2" x14ac:dyDescent="0.25">
      <c r="A579" t="s">
        <v>1309</v>
      </c>
      <c r="B579" t="str">
        <f t="shared" ref="B579:B610" si="18">"&lt;prefix&gt;_&lt;mm&gt;10&lt;yy&gt;_&lt;ar&gt;"&amp;A579</f>
        <v>&lt;prefix&gt;_&lt;mm&gt;10&lt;yy&gt;_&lt;ar&gt;Post billing rate change adj. calc. - SW</v>
      </c>
    </row>
    <row r="580" spans="1:2" x14ac:dyDescent="0.25">
      <c r="A580" t="s">
        <v>1310</v>
      </c>
      <c r="B580" t="str">
        <f t="shared" si="18"/>
        <v>&lt;prefix&gt;_&lt;mm&gt;10&lt;yy&gt;_&lt;ar&gt;Rate Element Table Report</v>
      </c>
    </row>
    <row r="581" spans="1:2" x14ac:dyDescent="0.25">
      <c r="A581" t="s">
        <v>1311</v>
      </c>
      <c r="B581" t="str">
        <f t="shared" si="18"/>
        <v>&lt;prefix&gt;_&lt;mm&gt;10&lt;yy&gt;_&lt;ar&gt;Reconciliation of account balance over time</v>
      </c>
    </row>
    <row r="582" spans="1:2" x14ac:dyDescent="0.25">
      <c r="A582" t="s">
        <v>1312</v>
      </c>
      <c r="B582" t="str">
        <f t="shared" si="18"/>
        <v>&lt;prefix&gt;_&lt;mm&gt;10&lt;yy&gt;_&lt;ar&gt;Resolved Disputes by carrier</v>
      </c>
    </row>
    <row r="583" spans="1:2" x14ac:dyDescent="0.25">
      <c r="A583" t="s">
        <v>1313</v>
      </c>
      <c r="B583" t="str">
        <f t="shared" si="18"/>
        <v>&lt;prefix&gt;_&lt;mm&gt;10&lt;yy&gt;_&lt;ar&gt;Revenue</v>
      </c>
    </row>
    <row r="584" spans="1:2" x14ac:dyDescent="0.25">
      <c r="A584" t="s">
        <v>1314</v>
      </c>
      <c r="B584" t="str">
        <f t="shared" si="18"/>
        <v>&lt;prefix&gt;_&lt;mm&gt;10&lt;yy&gt;_&lt;ar&gt;Revenue billed by BAN, Inter/Intra State</v>
      </c>
    </row>
    <row r="585" spans="1:2" x14ac:dyDescent="0.25">
      <c r="A585" t="s">
        <v>1315</v>
      </c>
      <c r="B585" t="str">
        <f t="shared" si="18"/>
        <v>&lt;prefix&gt;_&lt;mm&gt;10&lt;yy&gt;_&lt;ar&gt;Revenue billed by BAN, Inter-Intra State</v>
      </c>
    </row>
    <row r="586" spans="1:2" x14ac:dyDescent="0.25">
      <c r="A586" t="s">
        <v>1316</v>
      </c>
      <c r="B586" t="str">
        <f t="shared" si="18"/>
        <v>&lt;prefix&gt;_&lt;mm&gt;10&lt;yy&gt;_&lt;ar&gt;Security Report by User</v>
      </c>
    </row>
    <row r="587" spans="1:2" x14ac:dyDescent="0.25">
      <c r="A587" t="s">
        <v>1317</v>
      </c>
      <c r="B587" t="str">
        <f t="shared" si="18"/>
        <v>&lt;prefix&gt;_&lt;mm&gt;10&lt;yy&gt;_&lt;ar&gt;Security Report by Window</v>
      </c>
    </row>
    <row r="588" spans="1:2" x14ac:dyDescent="0.25">
      <c r="A588" t="s">
        <v>1318</v>
      </c>
      <c r="B588" t="str">
        <f t="shared" si="18"/>
        <v>&lt;prefix&gt;_&lt;mm&gt;10&lt;yy&gt;_&lt;ar&gt;SOC Jurisdiction Table Report</v>
      </c>
    </row>
    <row r="589" spans="1:2" x14ac:dyDescent="0.25">
      <c r="A589" t="s">
        <v>1319</v>
      </c>
      <c r="B589" t="str">
        <f t="shared" si="18"/>
        <v>&lt;prefix&gt;_&lt;mm&gt;10&lt;yy&gt;_&lt;ar&gt;SOC Rate Comparison between companies</v>
      </c>
    </row>
    <row r="590" spans="1:2" x14ac:dyDescent="0.25">
      <c r="A590" t="s">
        <v>1320</v>
      </c>
      <c r="B590" t="str">
        <f t="shared" si="18"/>
        <v>&lt;prefix&gt;_&lt;mm&gt;10&lt;yy&gt;_&lt;ar&gt;SOC Tariff Table Report</v>
      </c>
    </row>
    <row r="591" spans="1:2" x14ac:dyDescent="0.25">
      <c r="A591" t="s">
        <v>1321</v>
      </c>
      <c r="B591" t="str">
        <f t="shared" si="18"/>
        <v>&lt;prefix&gt;_&lt;mm&gt;10&lt;yy&gt;_&lt;ar&gt;Summary of Adjustments Report</v>
      </c>
    </row>
    <row r="592" spans="1:2" x14ac:dyDescent="0.25">
      <c r="A592" t="s">
        <v>1322</v>
      </c>
      <c r="B592" t="str">
        <f t="shared" si="18"/>
        <v>&lt;prefix&gt;_&lt;mm&gt;10&lt;yy&gt;_&lt;ar&gt;Summary of OCCs Report</v>
      </c>
    </row>
    <row r="593" spans="1:2" x14ac:dyDescent="0.25">
      <c r="A593" t="s">
        <v>120</v>
      </c>
      <c r="B593" t="str">
        <f t="shared" si="18"/>
        <v>&lt;prefix&gt;_&lt;mm&gt;10&lt;yy&gt;_&lt;ar&gt;SW Usage Charges Summary</v>
      </c>
    </row>
    <row r="594" spans="1:2" x14ac:dyDescent="0.25">
      <c r="A594" t="s">
        <v>1323</v>
      </c>
      <c r="B594" t="str">
        <f t="shared" si="18"/>
        <v>&lt;prefix&gt;_&lt;mm&gt;10&lt;yy&gt;_&lt;ar&gt;SW Usage Charges Summary by CLLI</v>
      </c>
    </row>
    <row r="595" spans="1:2" x14ac:dyDescent="0.25">
      <c r="A595" t="s">
        <v>1324</v>
      </c>
      <c r="B595" t="str">
        <f t="shared" si="18"/>
        <v>&lt;prefix&gt;_&lt;mm&gt;10&lt;yy&gt;_&lt;ar&gt;SW Usage Statistics Summary</v>
      </c>
    </row>
    <row r="596" spans="1:2" x14ac:dyDescent="0.25">
      <c r="A596" t="s">
        <v>1325</v>
      </c>
      <c r="B596" t="str">
        <f t="shared" si="18"/>
        <v>&lt;prefix&gt;_&lt;mm&gt;10&lt;yy&gt;_&lt;ar&gt;Switched BANs trending report - MTA</v>
      </c>
    </row>
    <row r="597" spans="1:2" x14ac:dyDescent="0.25">
      <c r="A597" t="s">
        <v>1326</v>
      </c>
      <c r="B597" t="str">
        <f t="shared" si="18"/>
        <v>&lt;prefix&gt;_&lt;mm&gt;10&lt;yy&gt;_&lt;ar&gt;Switched Billing Account - Factor Report</v>
      </c>
    </row>
    <row r="598" spans="1:2" x14ac:dyDescent="0.25">
      <c r="A598" t="s">
        <v>1327</v>
      </c>
      <c r="B598" t="str">
        <f t="shared" si="18"/>
        <v>&lt;prefix&gt;_&lt;mm&gt;10&lt;yy&gt;_&lt;ar&gt;Switched Billing Account - SOC Report</v>
      </c>
    </row>
    <row r="599" spans="1:2" x14ac:dyDescent="0.25">
      <c r="A599" t="s">
        <v>1328</v>
      </c>
      <c r="B599" t="str">
        <f t="shared" si="18"/>
        <v>&lt;prefix&gt;_&lt;mm&gt;10&lt;yy&gt;_&lt;ar&gt;Switched Billing Account - Wire Center Report</v>
      </c>
    </row>
    <row r="600" spans="1:2" x14ac:dyDescent="0.25">
      <c r="A600" t="s">
        <v>1329</v>
      </c>
      <c r="B600" t="str">
        <f t="shared" si="18"/>
        <v>&lt;prefix&gt;_&lt;mm&gt;10&lt;yy&gt;_&lt;ar&gt;Tariff Element Tracking</v>
      </c>
    </row>
    <row r="601" spans="1:2" x14ac:dyDescent="0.25">
      <c r="A601" t="s">
        <v>1330</v>
      </c>
      <c r="B601" t="str">
        <f t="shared" si="18"/>
        <v>&lt;prefix&gt;_&lt;mm&gt;10&lt;yy&gt;_&lt;ar&gt;Transaction Audit Detail</v>
      </c>
    </row>
    <row r="602" spans="1:2" x14ac:dyDescent="0.25">
      <c r="A602" t="s">
        <v>619</v>
      </c>
      <c r="B602" t="str">
        <f t="shared" si="18"/>
        <v>&lt;prefix&gt;_&lt;mm&gt;10&lt;yy&gt;_&lt;ar&gt;Transaction Detail Listing</v>
      </c>
    </row>
    <row r="603" spans="1:2" x14ac:dyDescent="0.25">
      <c r="A603" t="s">
        <v>616</v>
      </c>
      <c r="B603" t="str">
        <f t="shared" si="18"/>
        <v>&lt;prefix&gt;_&lt;mm&gt;10&lt;yy&gt;_&lt;ar&gt;Transaction Summary</v>
      </c>
    </row>
    <row r="604" spans="1:2" x14ac:dyDescent="0.25">
      <c r="A604" t="s">
        <v>1331</v>
      </c>
      <c r="B604" t="str">
        <f t="shared" si="18"/>
        <v>&lt;prefix&gt;_&lt;mm&gt;10&lt;yy&gt;_&lt;ar&gt;Transaction Summary - adjustments only</v>
      </c>
    </row>
    <row r="605" spans="1:2" x14ac:dyDescent="0.25">
      <c r="A605" t="s">
        <v>1332</v>
      </c>
      <c r="B605" t="str">
        <f t="shared" si="18"/>
        <v>&lt;prefix&gt;_&lt;mm&gt;10&lt;yy&gt;_&lt;ar&gt;Transaction Summary - receipts only</v>
      </c>
    </row>
    <row r="606" spans="1:2" x14ac:dyDescent="0.25">
      <c r="A606" t="s">
        <v>1333</v>
      </c>
      <c r="B606" t="str">
        <f t="shared" si="18"/>
        <v>&lt;prefix&gt;_&lt;mm&gt;10&lt;yy&gt;_&lt;ar&gt;Transaction Summary by transaction/bill type</v>
      </c>
    </row>
    <row r="607" spans="1:2" x14ac:dyDescent="0.25">
      <c r="A607" t="s">
        <v>1334</v>
      </c>
      <c r="B607" t="str">
        <f t="shared" si="18"/>
        <v xml:space="preserve">&lt;prefix&gt;_&lt;mm&gt;10&lt;yy&gt;_&lt;ar&gt;Transaction Summary by transaction/bill type </v>
      </c>
    </row>
    <row r="608" spans="1:2" x14ac:dyDescent="0.25">
      <c r="A608" t="s">
        <v>1335</v>
      </c>
      <c r="B608" t="str">
        <f t="shared" si="18"/>
        <v>&lt;prefix&gt;_&lt;mm&gt;10&lt;yy&gt;_&lt;ar&gt;Transaction Summary by transaction-bill type</v>
      </c>
    </row>
    <row r="609" spans="1:5" x14ac:dyDescent="0.25">
      <c r="A609" t="s">
        <v>1336</v>
      </c>
      <c r="B609" t="str">
        <f t="shared" si="18"/>
        <v>&lt;prefix&gt;_&lt;mm&gt;10&lt;yy&gt;_&lt;ar&gt;Unposted Adjustments</v>
      </c>
    </row>
    <row r="610" spans="1:5" x14ac:dyDescent="0.25">
      <c r="A610" t="s">
        <v>1337</v>
      </c>
      <c r="B610" t="str">
        <f t="shared" si="18"/>
        <v>&lt;prefix&gt;_&lt;mm&gt;10&lt;yy&gt;_&lt;ar&gt;Unresolved Disputes by Carrier by code</v>
      </c>
    </row>
    <row r="611" spans="1:5" x14ac:dyDescent="0.25">
      <c r="A611" t="s">
        <v>1338</v>
      </c>
      <c r="B611" t="str">
        <f t="shared" ref="B611:B621" si="19">"&lt;prefix&gt;_&lt;mm&gt;10&lt;yy&gt;_&lt;ar&gt;"&amp;A611</f>
        <v>&lt;prefix&gt;_&lt;mm&gt;10&lt;yy&gt;_&lt;ar&gt;Unresolved Disputes by Carrier by month</v>
      </c>
    </row>
    <row r="612" spans="1:5" x14ac:dyDescent="0.25">
      <c r="A612" t="s">
        <v>1339</v>
      </c>
      <c r="B612" t="str">
        <f t="shared" si="19"/>
        <v>&lt;prefix&gt;_&lt;mm&gt;10&lt;yy&gt;_&lt;ar&gt;Usage Balancing - Company Totals</v>
      </c>
    </row>
    <row r="613" spans="1:5" x14ac:dyDescent="0.25">
      <c r="A613" t="s">
        <v>41</v>
      </c>
      <c r="B613" t="str">
        <f t="shared" si="19"/>
        <v>&lt;prefix&gt;_&lt;mm&gt;10&lt;yy&gt;_&lt;ar&gt;Usage Balancing - Company Totals with Full Detail</v>
      </c>
    </row>
    <row r="614" spans="1:5" x14ac:dyDescent="0.25">
      <c r="A614" t="s">
        <v>43</v>
      </c>
      <c r="B614" t="str">
        <f t="shared" si="19"/>
        <v>&lt;prefix&gt;_&lt;mm&gt;10&lt;yy&gt;_&lt;ar&gt;Usage Balancing - Company, Ban Totals</v>
      </c>
    </row>
    <row r="615" spans="1:5" x14ac:dyDescent="0.25">
      <c r="A615" t="s">
        <v>1340</v>
      </c>
      <c r="B615" t="str">
        <f t="shared" si="19"/>
        <v>&lt;prefix&gt;_&lt;mm&gt;10&lt;yy&gt;_&lt;ar&gt;Usage Balancing - Company, Ban, Clli Totals</v>
      </c>
    </row>
    <row r="616" spans="1:5" x14ac:dyDescent="0.25">
      <c r="A616" t="s">
        <v>1341</v>
      </c>
      <c r="B616" t="str">
        <f t="shared" si="19"/>
        <v>&lt;prefix&gt;_&lt;mm&gt;10&lt;yy&gt;_&lt;ar&gt;Usage Balancing - Company, Ban, Clli, TT Totals</v>
      </c>
    </row>
    <row r="617" spans="1:5" x14ac:dyDescent="0.25">
      <c r="A617" t="s">
        <v>135</v>
      </c>
      <c r="B617" t="str">
        <f t="shared" si="19"/>
        <v>&lt;prefix&gt;_&lt;mm&gt;10&lt;yy&gt;_&lt;ar&gt;Usage By Day Report</v>
      </c>
    </row>
    <row r="618" spans="1:5" x14ac:dyDescent="0.25">
      <c r="A618" t="s">
        <v>1342</v>
      </c>
      <c r="B618" t="str">
        <f t="shared" si="19"/>
        <v>&lt;prefix&gt;_&lt;mm&gt;10&lt;yy&gt;_&lt;ar&gt;Usage Totaling Rule</v>
      </c>
    </row>
    <row r="619" spans="1:5" x14ac:dyDescent="0.25">
      <c r="A619" t="s">
        <v>1011</v>
      </c>
      <c r="B619" t="str">
        <f t="shared" si="19"/>
        <v xml:space="preserve">&lt;prefix&gt;_&lt;mm&gt;10&lt;yy&gt;_&lt;ar&gt;Usage Verify by Size Report </v>
      </c>
    </row>
    <row r="620" spans="1:5" x14ac:dyDescent="0.25">
      <c r="A620" t="s">
        <v>1343</v>
      </c>
      <c r="B620" t="str">
        <f t="shared" si="19"/>
        <v>&lt;prefix&gt;_&lt;mm&gt;10&lt;yy&gt;_&lt;ar&gt;Wire Center Mileage Segment Report</v>
      </c>
    </row>
    <row r="621" spans="1:5" x14ac:dyDescent="0.25">
      <c r="A621" t="s">
        <v>1344</v>
      </c>
      <c r="B621" t="str">
        <f t="shared" si="19"/>
        <v>&lt;prefix&gt;_&lt;mm&gt;10&lt;yy&gt;_&lt;ar&gt;Wire Center Report</v>
      </c>
    </row>
    <row r="622" spans="1:5" x14ac:dyDescent="0.25">
      <c r="A622" s="2" t="s">
        <v>12</v>
      </c>
      <c r="B622" s="2" t="str">
        <f>"&lt;prefix&gt;_&lt;mm&gt;_25_&lt;yyyy&gt;_&lt;ar&gt;"&amp;A622</f>
        <v>&lt;prefix&gt;_&lt;mm&gt;_25_&lt;yyyy&gt;_&lt;ar&gt;AUR History Stats Report</v>
      </c>
      <c r="C622" s="20" t="s">
        <v>216</v>
      </c>
      <c r="D622" s="12">
        <v>1</v>
      </c>
    </row>
    <row r="623" spans="1:5" x14ac:dyDescent="0.25">
      <c r="A623" s="2" t="s">
        <v>18</v>
      </c>
      <c r="B623" s="2" t="str">
        <f>"&lt;prefix&gt;_&lt;mm&gt;_25_&lt;yyyy&gt;_&lt;ar&gt;"&amp;A623</f>
        <v>&lt;prefix&gt;_&lt;mm&gt;_25_&lt;yyyy&gt;_&lt;ar&gt;Detailed BAN Error Report</v>
      </c>
      <c r="C623" s="20" t="s">
        <v>231</v>
      </c>
      <c r="D623" s="12">
        <v>2</v>
      </c>
    </row>
    <row r="624" spans="1:5" x14ac:dyDescent="0.25">
      <c r="A624" s="3" t="s">
        <v>20</v>
      </c>
      <c r="B624" s="3" t="s">
        <v>1056</v>
      </c>
      <c r="C624" s="21" t="s">
        <v>231</v>
      </c>
      <c r="D624" s="22">
        <v>2</v>
      </c>
      <c r="E624" s="11"/>
    </row>
    <row r="625" spans="1:5" x14ac:dyDescent="0.25">
      <c r="A625" s="2" t="s">
        <v>22</v>
      </c>
      <c r="B625" s="2" t="str">
        <f t="shared" ref="B625:B630" si="20">"&lt;prefix&gt;_&lt;mm&gt;_25_&lt;yyyy&gt;_&lt;ar&gt;"&amp;A625</f>
        <v>&lt;prefix&gt;_&lt;mm&gt;_25_&lt;yyyy&gt;_&lt;ar&gt;Detailed CLLI Error Report</v>
      </c>
      <c r="C625" s="20" t="s">
        <v>238</v>
      </c>
      <c r="D625" s="12">
        <v>3</v>
      </c>
    </row>
    <row r="626" spans="1:5" x14ac:dyDescent="0.25">
      <c r="A626" s="2" t="s">
        <v>29</v>
      </c>
      <c r="B626" s="2" t="str">
        <f t="shared" si="20"/>
        <v>&lt;prefix&gt;_&lt;mm&gt;_25_&lt;yyyy&gt;_&lt;ar&gt;Exception Analysis Report</v>
      </c>
      <c r="C626" s="20" t="s">
        <v>248</v>
      </c>
      <c r="D626" s="12">
        <v>4</v>
      </c>
    </row>
    <row r="627" spans="1:5" x14ac:dyDescent="0.25">
      <c r="A627" s="2" t="s">
        <v>47</v>
      </c>
      <c r="B627" s="2" t="str">
        <f t="shared" si="20"/>
        <v>&lt;prefix&gt;_&lt;mm&gt;_25_&lt;yyyy&gt;_&lt;ar&gt;MOU Entries Error Report</v>
      </c>
      <c r="C627" s="20" t="s">
        <v>251</v>
      </c>
      <c r="D627" s="12">
        <v>5</v>
      </c>
    </row>
    <row r="628" spans="1:5" x14ac:dyDescent="0.25">
      <c r="A628" s="2" t="s">
        <v>27</v>
      </c>
      <c r="B628" s="2" t="str">
        <f t="shared" si="20"/>
        <v>&lt;prefix&gt;_&lt;mm&gt;_25_&lt;yyyy&gt;_&lt;ar&gt;Duplicate File Processing Report</v>
      </c>
      <c r="C628" s="20" t="s">
        <v>266</v>
      </c>
      <c r="D628" s="12">
        <v>6</v>
      </c>
    </row>
    <row r="629" spans="1:5" x14ac:dyDescent="0.25">
      <c r="A629" s="2" t="s">
        <v>1011</v>
      </c>
      <c r="B629" s="2" t="str">
        <f t="shared" si="20"/>
        <v xml:space="preserve">&lt;prefix&gt;_&lt;mm&gt;_25_&lt;yyyy&gt;_&lt;ar&gt;Usage Verify by Size Report </v>
      </c>
      <c r="C629" s="20" t="s">
        <v>272</v>
      </c>
      <c r="D629" s="12">
        <v>7</v>
      </c>
    </row>
    <row r="630" spans="1:5" x14ac:dyDescent="0.25">
      <c r="A630" s="4" t="s">
        <v>543</v>
      </c>
      <c r="B630" s="4" t="str">
        <f t="shared" si="20"/>
        <v>&lt;prefix&gt;_&lt;mm&gt;_25_&lt;yyyy&gt;_&lt;ar&gt;Usage by Day Report</v>
      </c>
      <c r="C630" s="23" t="s">
        <v>1057</v>
      </c>
      <c r="D630" s="24">
        <v>8</v>
      </c>
      <c r="E630" s="25" t="s">
        <v>1058</v>
      </c>
    </row>
    <row r="631" spans="1:5" x14ac:dyDescent="0.25">
      <c r="A631" s="3" t="s">
        <v>43</v>
      </c>
      <c r="B631" s="3" t="s">
        <v>1059</v>
      </c>
      <c r="C631" s="21" t="s">
        <v>1060</v>
      </c>
      <c r="D631" s="22">
        <v>9</v>
      </c>
      <c r="E631" s="11"/>
    </row>
    <row r="632" spans="1:5" x14ac:dyDescent="0.25">
      <c r="A632" s="2" t="s">
        <v>107</v>
      </c>
      <c r="B632" s="2" t="str">
        <f>"&lt;prefix&gt;_&lt;mm&gt;_25_&lt;yyyy&gt;_&lt;ar&gt;"&amp;A632</f>
        <v>&lt;prefix&gt;_&lt;mm&gt;_25_&lt;yyyy&gt;_&lt;ar&gt;Payment Report</v>
      </c>
      <c r="C632" s="20" t="s">
        <v>314</v>
      </c>
      <c r="D632" s="12">
        <v>10</v>
      </c>
    </row>
    <row r="633" spans="1:5" x14ac:dyDescent="0.25">
      <c r="A633" s="2" t="s">
        <v>7</v>
      </c>
      <c r="B633" s="2" t="str">
        <f>"&lt;prefix&gt;_&lt;mm&gt;_25_&lt;yyyy&gt;_&lt;ar&gt;"&amp;A633</f>
        <v>&lt;prefix&gt;_&lt;mm&gt;_25_&lt;yyyy&gt;_&lt;ar&gt;Adjustments Not Posted Report</v>
      </c>
      <c r="C633" s="20" t="s">
        <v>336</v>
      </c>
      <c r="D633" s="12">
        <v>11</v>
      </c>
    </row>
    <row r="634" spans="1:5" x14ac:dyDescent="0.25">
      <c r="A634" s="2" t="s">
        <v>32</v>
      </c>
      <c r="B634" s="2" t="str">
        <f>"&lt;prefix&gt;_&lt;mm&gt;_25_&lt;yyyy&gt;_&lt;ar&gt;"&amp;A634</f>
        <v>&lt;prefix&gt;_&lt;mm&gt;_25_&lt;yyyy&gt;_&lt;ar&gt;Factor Change Audit Report</v>
      </c>
      <c r="C634" s="20" t="s">
        <v>177</v>
      </c>
      <c r="D634" s="12">
        <v>12</v>
      </c>
    </row>
    <row r="635" spans="1:5" x14ac:dyDescent="0.25">
      <c r="A635" s="3" t="s">
        <v>34</v>
      </c>
      <c r="B635" s="3" t="s">
        <v>1061</v>
      </c>
      <c r="C635" s="21" t="s">
        <v>362</v>
      </c>
      <c r="D635" s="22">
        <v>13</v>
      </c>
      <c r="E635" s="11"/>
    </row>
    <row r="636" spans="1:5" x14ac:dyDescent="0.25">
      <c r="A636" s="2" t="s">
        <v>36</v>
      </c>
      <c r="B636" s="2" t="str">
        <f t="shared" ref="B636:B641" si="21">"&lt;prefix&gt;_&lt;mm&gt;_25_&lt;yyyy&gt;_&lt;ar&gt;"&amp;A636</f>
        <v>&lt;prefix&gt;_&lt;mm&gt;_25_&lt;yyyy&gt;_&lt;ar&gt;Factor Compare Report</v>
      </c>
      <c r="C636" s="20" t="s">
        <v>366</v>
      </c>
      <c r="D636" s="12">
        <v>14</v>
      </c>
    </row>
    <row r="637" spans="1:5" x14ac:dyDescent="0.25">
      <c r="A637" s="2" t="s">
        <v>39</v>
      </c>
      <c r="B637" s="2" t="str">
        <f t="shared" si="21"/>
        <v>&lt;prefix&gt;_&lt;mm&gt;_25_&lt;yyyy&gt;_&lt;ar&gt;SOC Change Audit Report</v>
      </c>
      <c r="C637" s="20" t="s">
        <v>368</v>
      </c>
      <c r="D637" s="12">
        <v>15</v>
      </c>
    </row>
    <row r="638" spans="1:5" x14ac:dyDescent="0.25">
      <c r="A638" s="2" t="s">
        <v>16</v>
      </c>
      <c r="B638" s="2" t="str">
        <f t="shared" si="21"/>
        <v>&lt;prefix&gt;_&lt;mm&gt;_25_&lt;yyyy&gt;_&lt;ar&gt;Bill Completion Check Report</v>
      </c>
      <c r="C638" s="20" t="s">
        <v>383</v>
      </c>
      <c r="D638" s="12">
        <v>16</v>
      </c>
    </row>
    <row r="639" spans="1:5" x14ac:dyDescent="0.25">
      <c r="A639" s="5" t="s">
        <v>122</v>
      </c>
      <c r="B639" s="5" t="str">
        <f t="shared" si="21"/>
        <v>&lt;prefix&gt;_&lt;mm&gt;_25_&lt;yyyy&gt;_&lt;ar&gt;Switched BANS Trending Report</v>
      </c>
      <c r="C639" s="26" t="s">
        <v>389</v>
      </c>
      <c r="D639" s="12">
        <v>17</v>
      </c>
      <c r="E639" t="s">
        <v>1062</v>
      </c>
    </row>
    <row r="640" spans="1:5" x14ac:dyDescent="0.25">
      <c r="A640" s="2" t="s">
        <v>10</v>
      </c>
      <c r="B640" s="2" t="str">
        <f t="shared" si="21"/>
        <v>&lt;prefix&gt;_&lt;mm&gt;_25_&lt;yyyy&gt;_&lt;ar&gt;Adjustment &amp; OCC Report</v>
      </c>
      <c r="C640" s="20" t="s">
        <v>1063</v>
      </c>
      <c r="D640" s="12">
        <v>18</v>
      </c>
    </row>
    <row r="641" spans="1:5" x14ac:dyDescent="0.25">
      <c r="A641" s="2" t="s">
        <v>63</v>
      </c>
      <c r="B641" s="2" t="str">
        <f t="shared" si="21"/>
        <v>&lt;prefix&gt;_&lt;mm&gt;_25_&lt;yyyy&gt;_&lt;ar&gt;Deletions Under Report</v>
      </c>
      <c r="C641" s="20" t="s">
        <v>1064</v>
      </c>
      <c r="D641" s="22">
        <v>19</v>
      </c>
      <c r="E641" s="11"/>
    </row>
    <row r="642" spans="1:5" x14ac:dyDescent="0.25">
      <c r="A642" s="3" t="s">
        <v>87</v>
      </c>
      <c r="B642" s="3" t="s">
        <v>1065</v>
      </c>
      <c r="C642" s="21" t="s">
        <v>767</v>
      </c>
      <c r="D642" s="22">
        <v>20</v>
      </c>
      <c r="E642" s="11"/>
    </row>
    <row r="643" spans="1:5" x14ac:dyDescent="0.25">
      <c r="A643" s="6" t="s">
        <v>23</v>
      </c>
      <c r="B643" s="6" t="s">
        <v>1066</v>
      </c>
      <c r="C643" s="27"/>
      <c r="D643" s="22">
        <v>21</v>
      </c>
      <c r="E643" s="11" t="s">
        <v>1067</v>
      </c>
    </row>
    <row r="644" spans="1:5" x14ac:dyDescent="0.25">
      <c r="A644" s="6" t="s">
        <v>30</v>
      </c>
      <c r="B644" s="6" t="s">
        <v>1068</v>
      </c>
      <c r="C644" s="27"/>
      <c r="D644" s="22">
        <v>22</v>
      </c>
      <c r="E644" s="11" t="s">
        <v>1067</v>
      </c>
    </row>
    <row r="645" spans="1:5" x14ac:dyDescent="0.25">
      <c r="A645" s="7" t="s">
        <v>46</v>
      </c>
      <c r="B645" s="7" t="str">
        <f>"&lt;prefix&gt;_&lt;mm&gt;_25_&lt;yyyy&gt;_&lt;ar&gt;"&amp;A645</f>
        <v>&lt;prefix&gt;_&lt;mm&gt;_25_&lt;yyyy&gt;_&lt;ar&gt;Billed by Period Report</v>
      </c>
      <c r="C645" s="28"/>
      <c r="D645" s="12">
        <v>23</v>
      </c>
      <c r="E645" t="s">
        <v>1067</v>
      </c>
    </row>
    <row r="646" spans="1:5" x14ac:dyDescent="0.25">
      <c r="A646" s="8" t="s">
        <v>49</v>
      </c>
      <c r="B646" s="8" t="s">
        <v>1069</v>
      </c>
      <c r="C646" s="29"/>
      <c r="D646" s="22">
        <v>24</v>
      </c>
      <c r="E646" s="11" t="s">
        <v>1062</v>
      </c>
    </row>
    <row r="647" spans="1:5" x14ac:dyDescent="0.25">
      <c r="A647" s="7" t="s">
        <v>127</v>
      </c>
      <c r="B647" s="7" t="str">
        <f t="shared" ref="B647:B678" si="22">"&lt;prefix&gt;_&lt;mm&gt;_25_&lt;yyyy&gt;_&lt;ar&gt;"&amp;A647</f>
        <v>&lt;prefix&gt;_&lt;mm&gt;_25_&lt;yyyy&gt;_&lt;ar&gt;Transaction Summary - bills only</v>
      </c>
      <c r="C647" s="28"/>
      <c r="D647" s="12">
        <v>25</v>
      </c>
      <c r="E647" s="11" t="s">
        <v>1067</v>
      </c>
    </row>
    <row r="648" spans="1:5" x14ac:dyDescent="0.25">
      <c r="A648" s="9" t="s">
        <v>83</v>
      </c>
      <c r="B648" s="9" t="str">
        <f t="shared" si="22"/>
        <v>&lt;prefix&gt;_&lt;mm&gt;_25_&lt;yyyy&gt;_&lt;ar&gt;Invoice Balances by Jurisdiction</v>
      </c>
      <c r="C648" s="30"/>
      <c r="D648" s="12">
        <v>26</v>
      </c>
      <c r="E648" t="s">
        <v>170</v>
      </c>
    </row>
    <row r="649" spans="1:5" x14ac:dyDescent="0.25">
      <c r="A649" s="9" t="s">
        <v>88</v>
      </c>
      <c r="B649" s="9" t="str">
        <f t="shared" si="22"/>
        <v>&lt;prefix&gt;_&lt;mm&gt;_25_&lt;yyyy&gt;_&lt;ar&gt;Invoice Register Report</v>
      </c>
      <c r="C649" s="30"/>
      <c r="D649" s="12">
        <v>27</v>
      </c>
      <c r="E649" t="s">
        <v>170</v>
      </c>
    </row>
    <row r="650" spans="1:5" x14ac:dyDescent="0.25">
      <c r="A650" t="s">
        <v>1345</v>
      </c>
      <c r="B650" t="str">
        <f t="shared" si="22"/>
        <v>&lt;prefix&gt;_&lt;mm&gt;_25_&lt;yyyy&gt;_&lt;ar&gt;ABRODV5_Reports_Table</v>
      </c>
      <c r="C650" s="18"/>
      <c r="D650" s="12"/>
    </row>
    <row r="651" spans="1:5" x14ac:dyDescent="0.25">
      <c r="A651" t="s">
        <v>1346</v>
      </c>
      <c r="B651" t="str">
        <f t="shared" si="22"/>
        <v>&lt;prefix&gt;_&lt;mm&gt;_25_&lt;yyyy&gt;_&lt;ar&gt;ABRODV5_Rpt_Argmnt</v>
      </c>
      <c r="C651" s="18"/>
      <c r="D651" s="12"/>
    </row>
    <row r="652" spans="1:5" x14ac:dyDescent="0.25">
      <c r="A652" t="s">
        <v>1231</v>
      </c>
      <c r="B652" t="str">
        <f t="shared" si="22"/>
        <v>&lt;prefix&gt;_&lt;mm&gt;_25_&lt;yyyy&gt;_&lt;ar&gt;Access MSG and MOU billed by CLLI,FG,CIC</v>
      </c>
      <c r="C652" s="18"/>
      <c r="D652" s="12"/>
    </row>
    <row r="653" spans="1:5" x14ac:dyDescent="0.25">
      <c r="A653" t="s">
        <v>13</v>
      </c>
      <c r="B653" t="str">
        <f t="shared" si="22"/>
        <v>&lt;prefix&gt;_&lt;mm&gt;_25_&lt;yyyy&gt;_&lt;ar&gt;Adjustment GL Trans by BAN Report</v>
      </c>
      <c r="C653" s="18"/>
      <c r="D653" s="12"/>
    </row>
    <row r="654" spans="1:5" x14ac:dyDescent="0.25">
      <c r="A654" t="s">
        <v>1232</v>
      </c>
      <c r="B654" t="str">
        <f t="shared" si="22"/>
        <v>&lt;prefix&gt;_&lt;mm&gt;_25_&lt;yyyy&gt;_&lt;ar&gt;Adjustments Detail Report - Posted</v>
      </c>
      <c r="C654" s="18"/>
      <c r="D654" s="12"/>
    </row>
    <row r="655" spans="1:5" x14ac:dyDescent="0.25">
      <c r="A655" t="s">
        <v>1233</v>
      </c>
      <c r="B655" t="str">
        <f t="shared" si="22"/>
        <v>&lt;prefix&gt;_&lt;mm&gt;_25_&lt;yyyy&gt;_&lt;ar&gt;Adjustments Detail Report - Unposted</v>
      </c>
      <c r="C655" s="18"/>
      <c r="D655" s="12"/>
    </row>
    <row r="656" spans="1:5" x14ac:dyDescent="0.25">
      <c r="A656" t="s">
        <v>1234</v>
      </c>
      <c r="B656" t="str">
        <f t="shared" si="22"/>
        <v>&lt;prefix&gt;_&lt;mm&gt;_25_&lt;yyyy&gt;_&lt;ar&gt;Aged Trial Balance by Company</v>
      </c>
      <c r="C656" s="18"/>
      <c r="D656" s="12"/>
    </row>
    <row r="657" spans="1:4" x14ac:dyDescent="0.25">
      <c r="A657" t="s">
        <v>1237</v>
      </c>
      <c r="B657" t="str">
        <f t="shared" si="22"/>
        <v>&lt;prefix&gt;_&lt;mm&gt;_25_&lt;yyyy&gt;_&lt;ar&gt;Amount billed-disputed-settled by month-carrier</v>
      </c>
      <c r="C657" s="18"/>
      <c r="D657" s="12"/>
    </row>
    <row r="658" spans="1:4" x14ac:dyDescent="0.25">
      <c r="A658" t="s">
        <v>1238</v>
      </c>
      <c r="B658" t="str">
        <f t="shared" si="22"/>
        <v>&lt;prefix&gt;_&lt;mm&gt;_25_&lt;yyyy&gt;_&lt;ar&gt;Amount billed-disputed-settled by qtr-carrier</v>
      </c>
      <c r="C658" s="18"/>
      <c r="D658" s="12"/>
    </row>
    <row r="659" spans="1:4" x14ac:dyDescent="0.25">
      <c r="A659" t="s">
        <v>9</v>
      </c>
      <c r="B659" t="str">
        <f t="shared" si="22"/>
        <v>&lt;prefix&gt;_&lt;mm&gt;_25_&lt;yyyy&gt;_&lt;ar&gt;AUR History Stats</v>
      </c>
      <c r="C659" s="18"/>
      <c r="D659" s="12"/>
    </row>
    <row r="660" spans="1:4" x14ac:dyDescent="0.25">
      <c r="A660" t="s">
        <v>1240</v>
      </c>
      <c r="B660" t="str">
        <f t="shared" si="22"/>
        <v>&lt;prefix&gt;_&lt;mm&gt;_25_&lt;yyyy&gt;_&lt;ar&gt;AUR History Stats (Seconds)</v>
      </c>
      <c r="C660" s="18"/>
      <c r="D660" s="12"/>
    </row>
    <row r="661" spans="1:4" x14ac:dyDescent="0.25">
      <c r="A661" t="s">
        <v>1241</v>
      </c>
      <c r="B661" t="str">
        <f t="shared" si="22"/>
        <v>&lt;prefix&gt;_&lt;mm&gt;_25_&lt;yyyy&gt;_&lt;ar&gt;AUR History Summary</v>
      </c>
      <c r="C661" s="18"/>
      <c r="D661" s="12"/>
    </row>
    <row r="662" spans="1:4" x14ac:dyDescent="0.25">
      <c r="A662" t="s">
        <v>1242</v>
      </c>
      <c r="B662" t="str">
        <f t="shared" si="22"/>
        <v>&lt;prefix&gt;_&lt;mm&gt;_25_&lt;yyyy&gt;_&lt;ar&gt;AUR History Summary by Day</v>
      </c>
      <c r="C662" s="18"/>
      <c r="D662" s="12"/>
    </row>
    <row r="663" spans="1:4" x14ac:dyDescent="0.25">
      <c r="A663" t="s">
        <v>1244</v>
      </c>
      <c r="B663" t="str">
        <f t="shared" si="22"/>
        <v>&lt;prefix&gt;_&lt;mm&gt;_25_&lt;yyyy&gt;_&lt;ar&gt;Billed Minutes by Inter-Intra State</v>
      </c>
      <c r="C663" s="18"/>
      <c r="D663" s="12"/>
    </row>
    <row r="664" spans="1:4" x14ac:dyDescent="0.25">
      <c r="A664" t="s">
        <v>1245</v>
      </c>
      <c r="B664" t="str">
        <f t="shared" si="22"/>
        <v>&lt;prefix&gt;_&lt;mm&gt;_25_&lt;yyyy&gt;_&lt;ar&gt;Billed Minutes by Jurisdiction</v>
      </c>
      <c r="C664" s="18"/>
      <c r="D664" s="12"/>
    </row>
    <row r="665" spans="1:4" x14ac:dyDescent="0.25">
      <c r="A665" t="s">
        <v>1247</v>
      </c>
      <c r="B665" t="str">
        <f t="shared" si="22"/>
        <v>&lt;prefix&gt;_&lt;mm&gt;_25_&lt;yyyy&gt;_&lt;ar&gt;Billed minutes by Quarter by Inter-Intra State</v>
      </c>
      <c r="C665" s="18"/>
      <c r="D665" s="12"/>
    </row>
    <row r="666" spans="1:4" x14ac:dyDescent="0.25">
      <c r="A666" t="s">
        <v>1248</v>
      </c>
      <c r="B666" t="str">
        <f t="shared" si="22"/>
        <v>&lt;prefix&gt;_&lt;mm&gt;_25_&lt;yyyy&gt;_&lt;ar&gt;Billed Minutes by Quarter by Jurisdiction</v>
      </c>
      <c r="C666" s="18"/>
      <c r="D666" s="12"/>
    </row>
    <row r="667" spans="1:4" x14ac:dyDescent="0.25">
      <c r="A667" t="s">
        <v>1249</v>
      </c>
      <c r="B667" t="str">
        <f t="shared" si="22"/>
        <v>&lt;prefix&gt;_&lt;mm&gt;_25_&lt;yyyy&gt;_&lt;ar&gt;Billed Msg MOU Rev by BAN by Jurisdiction</v>
      </c>
      <c r="C667" s="18"/>
      <c r="D667" s="12"/>
    </row>
    <row r="668" spans="1:4" x14ac:dyDescent="0.25">
      <c r="A668" t="s">
        <v>51</v>
      </c>
      <c r="B668" t="str">
        <f t="shared" si="22"/>
        <v>&lt;prefix&gt;_&lt;mm&gt;_25_&lt;yyyy&gt;_&lt;ar&gt;Billed Msg MOU Rev by CLLI by EMR Jurisdiction</v>
      </c>
      <c r="C668" s="18"/>
      <c r="D668" s="12"/>
    </row>
    <row r="669" spans="1:4" x14ac:dyDescent="0.25">
      <c r="A669" t="s">
        <v>1250</v>
      </c>
      <c r="B669" t="str">
        <f t="shared" si="22"/>
        <v>&lt;prefix&gt;_&lt;mm&gt;_25_&lt;yyyy&gt;_&lt;ar&gt;Billed Msg MOU Rev by CLLI by Jurisdiction</v>
      </c>
      <c r="C669" s="18"/>
      <c r="D669" s="12"/>
    </row>
    <row r="670" spans="1:4" x14ac:dyDescent="0.25">
      <c r="A670" t="s">
        <v>1251</v>
      </c>
      <c r="B670" t="str">
        <f t="shared" si="22"/>
        <v>&lt;prefix&gt;_&lt;mm&gt;_25_&lt;yyyy&gt;_&lt;ar&gt;CLNT aur_usage_by_day_co_v3</v>
      </c>
      <c r="C670" s="18"/>
      <c r="D670" s="12"/>
    </row>
    <row r="671" spans="1:4" x14ac:dyDescent="0.25">
      <c r="A671" t="s">
        <v>1252</v>
      </c>
      <c r="B671" t="str">
        <f t="shared" si="22"/>
        <v>&lt;prefix&gt;_&lt;mm&gt;_25_&lt;yyyy&gt;_&lt;ar&gt;CLNT billed_by_period_for_exp_4_v2</v>
      </c>
      <c r="C671" s="18"/>
      <c r="D671" s="12"/>
    </row>
    <row r="672" spans="1:4" x14ac:dyDescent="0.25">
      <c r="A672" t="s">
        <v>1253</v>
      </c>
      <c r="B672" t="str">
        <f t="shared" si="22"/>
        <v>&lt;prefix&gt;_&lt;mm&gt;_25_&lt;yyyy&gt;_&lt;ar&gt;CLNT cbeyond_m_m_r_to_export_v2</v>
      </c>
      <c r="C672" s="18"/>
      <c r="D672" s="12"/>
    </row>
    <row r="673" spans="1:4" x14ac:dyDescent="0.25">
      <c r="A673" t="s">
        <v>1254</v>
      </c>
      <c r="B673" t="str">
        <f t="shared" si="22"/>
        <v>&lt;prefix&gt;_&lt;mm&gt;_25_&lt;yyyy&gt;_&lt;ar&gt;CLNT ckt_billed_live_disco_v1</v>
      </c>
      <c r="C673" s="18"/>
      <c r="D673" s="12"/>
    </row>
    <row r="674" spans="1:4" x14ac:dyDescent="0.25">
      <c r="A674" t="s">
        <v>1255</v>
      </c>
      <c r="B674" t="str">
        <f t="shared" si="22"/>
        <v>&lt;prefix&gt;_&lt;mm&gt;_25_&lt;yyyy&gt;_&lt;ar&gt;CLNT gl_trans_from_adjustments_ban_v3</v>
      </c>
      <c r="C674" s="18"/>
      <c r="D674" s="12"/>
    </row>
    <row r="675" spans="1:4" x14ac:dyDescent="0.25">
      <c r="A675" t="s">
        <v>1256</v>
      </c>
      <c r="B675" t="str">
        <f t="shared" si="22"/>
        <v>&lt;prefix&gt;_&lt;mm&gt;_25_&lt;yyyy&gt;_&lt;ar&gt;CLNT gl_trans_from_occ_ban_v3</v>
      </c>
      <c r="C675" s="18"/>
      <c r="D675" s="12"/>
    </row>
    <row r="676" spans="1:4" x14ac:dyDescent="0.25">
      <c r="A676" t="s">
        <v>1257</v>
      </c>
      <c r="B676" t="str">
        <f t="shared" si="22"/>
        <v>&lt;prefix&gt;_&lt;mm&gt;_25_&lt;yyyy&gt;_&lt;ar&gt;CLNT invoice_balances_by_jur_w_lpc_v2</v>
      </c>
      <c r="C676" s="18"/>
      <c r="D676" s="12"/>
    </row>
    <row r="677" spans="1:4" x14ac:dyDescent="0.25">
      <c r="A677" t="s">
        <v>53</v>
      </c>
      <c r="B677" t="str">
        <f t="shared" si="22"/>
        <v>&lt;prefix&gt;_&lt;mm&gt;_25_&lt;yyyy&gt;_&lt;ar&gt;CLNT ly_invoice_balances_by_jur_cic</v>
      </c>
      <c r="C677" s="18"/>
      <c r="D677" s="12"/>
    </row>
    <row r="678" spans="1:4" x14ac:dyDescent="0.25">
      <c r="A678" t="s">
        <v>55</v>
      </c>
      <c r="B678" t="str">
        <f t="shared" si="22"/>
        <v>&lt;prefix&gt;_&lt;mm&gt;_25_&lt;yyyy&gt;_&lt;ar&gt;CLNT nt_ckt_billed_live_disco_v2</v>
      </c>
      <c r="C678" s="18"/>
      <c r="D678" s="12"/>
    </row>
    <row r="679" spans="1:4" x14ac:dyDescent="0.25">
      <c r="A679" t="s">
        <v>1258</v>
      </c>
      <c r="B679" t="str">
        <f t="shared" ref="B679:B710" si="23">"&lt;prefix&gt;_&lt;mm&gt;_25_&lt;yyyy&gt;_&lt;ar&gt;"&amp;A679</f>
        <v>&lt;prefix&gt;_&lt;mm&gt;_25_&lt;yyyy&gt;_&lt;ar&gt;CLNT nt_fa_acctg_detail_rpt_v1</v>
      </c>
      <c r="C679" s="18"/>
      <c r="D679" s="12"/>
    </row>
    <row r="680" spans="1:4" x14ac:dyDescent="0.25">
      <c r="A680" t="s">
        <v>1259</v>
      </c>
      <c r="B680" t="str">
        <f t="shared" si="23"/>
        <v>&lt;prefix&gt;_&lt;mm&gt;_25_&lt;yyyy&gt;_&lt;ar&gt;CLNT nt_fa_acctg_rpt_v1</v>
      </c>
      <c r="C680" s="18"/>
      <c r="D680" s="12"/>
    </row>
    <row r="681" spans="1:4" x14ac:dyDescent="0.25">
      <c r="A681" t="s">
        <v>1260</v>
      </c>
      <c r="B681" t="str">
        <f t="shared" si="23"/>
        <v>&lt;prefix&gt;_&lt;mm&gt;_25_&lt;yyyy&gt;_&lt;ar&gt;CLNT nt_m_m_r_p_to_export_v1</v>
      </c>
      <c r="C681" s="18"/>
      <c r="D681" s="12"/>
    </row>
    <row r="682" spans="1:4" x14ac:dyDescent="0.25">
      <c r="A682" t="s">
        <v>1261</v>
      </c>
      <c r="B682" t="str">
        <f t="shared" si="23"/>
        <v>&lt;prefix&gt;_&lt;mm&gt;_25_&lt;yyyy&gt;_&lt;ar&gt;CLNT nt_m_m_r_to_export_v1</v>
      </c>
      <c r="C682" s="18"/>
      <c r="D682" s="12"/>
    </row>
    <row r="683" spans="1:4" x14ac:dyDescent="0.25">
      <c r="A683" t="s">
        <v>1262</v>
      </c>
      <c r="B683" t="str">
        <f t="shared" si="23"/>
        <v>&lt;prefix&gt;_&lt;mm&gt;_25_&lt;yyyy&gt;_&lt;ar&gt;CLNT nt_rev_analysis_clli_2</v>
      </c>
      <c r="C683" s="18"/>
      <c r="D683" s="12"/>
    </row>
    <row r="684" spans="1:4" x14ac:dyDescent="0.25">
      <c r="A684" t="s">
        <v>1263</v>
      </c>
      <c r="B684" t="str">
        <f t="shared" si="23"/>
        <v>&lt;prefix&gt;_&lt;mm&gt;_25_&lt;yyyy&gt;_&lt;ar&gt;CLNT payment_by_date8_v2</v>
      </c>
      <c r="C684" s="18"/>
      <c r="D684" s="12"/>
    </row>
    <row r="685" spans="1:4" x14ac:dyDescent="0.25">
      <c r="A685" t="s">
        <v>1264</v>
      </c>
      <c r="B685" t="str">
        <f t="shared" si="23"/>
        <v>&lt;prefix&gt;_&lt;mm&gt;_25_&lt;yyyy&gt;_&lt;ar&gt;CLNT r_aged_trial_bal_1v3</v>
      </c>
      <c r="C685" s="18"/>
      <c r="D685" s="12"/>
    </row>
    <row r="686" spans="1:4" x14ac:dyDescent="0.25">
      <c r="A686" t="s">
        <v>1265</v>
      </c>
      <c r="B686" t="str">
        <f t="shared" si="23"/>
        <v>&lt;prefix&gt;_&lt;mm&gt;_25_&lt;yyyy&gt;_&lt;ar&gt;CLNT r_aged_trial_bal_for_export_v2</v>
      </c>
      <c r="C686" s="18"/>
      <c r="D686" s="12"/>
    </row>
    <row r="687" spans="1:4" x14ac:dyDescent="0.25">
      <c r="A687" t="s">
        <v>1266</v>
      </c>
      <c r="B687" t="str">
        <f t="shared" si="23"/>
        <v>&lt;prefix&gt;_&lt;mm&gt;_25_&lt;yyyy&gt;_&lt;ar&gt;CLNT r_sce_3_v3_2</v>
      </c>
      <c r="C687" s="18"/>
      <c r="D687" s="12"/>
    </row>
    <row r="688" spans="1:4" x14ac:dyDescent="0.25">
      <c r="A688" t="s">
        <v>1267</v>
      </c>
      <c r="B688" t="str">
        <f t="shared" si="23"/>
        <v>&lt;prefix&gt;_&lt;mm&gt;_25_&lt;yyyy&gt;_&lt;ar&gt;CLNT r_transaction_summary_bills_v2</v>
      </c>
      <c r="C688" s="18"/>
      <c r="D688" s="12"/>
    </row>
    <row r="689" spans="1:4" x14ac:dyDescent="0.25">
      <c r="A689" t="s">
        <v>1268</v>
      </c>
      <c r="B689" t="str">
        <f t="shared" si="23"/>
        <v>&lt;prefix&gt;_&lt;mm&gt;_25_&lt;yyyy&gt;_&lt;ar&gt;CLNT sw_invoice_trending_v6</v>
      </c>
      <c r="C689" s="18"/>
      <c r="D689" s="12"/>
    </row>
    <row r="690" spans="1:4" x14ac:dyDescent="0.25">
      <c r="A690" t="s">
        <v>1269</v>
      </c>
      <c r="B690" t="str">
        <f t="shared" si="23"/>
        <v>&lt;prefix&gt;_&lt;mm&gt;_25_&lt;yyyy&gt;_&lt;ar&gt;Company Master Report</v>
      </c>
      <c r="C690" s="18"/>
      <c r="D690" s="12"/>
    </row>
    <row r="691" spans="1:4" x14ac:dyDescent="0.25">
      <c r="A691" t="s">
        <v>1347</v>
      </c>
      <c r="B691" t="str">
        <f t="shared" si="23"/>
        <v>&lt;prefix&gt;_&lt;mm&gt;_25_&lt;yyyy&gt;_&lt;ar&gt;Customer BAN Info 4 v3</v>
      </c>
      <c r="C691" s="18"/>
      <c r="D691" s="12"/>
    </row>
    <row r="692" spans="1:4" x14ac:dyDescent="0.25">
      <c r="A692" t="s">
        <v>1271</v>
      </c>
      <c r="B692" t="str">
        <f t="shared" si="23"/>
        <v>&lt;prefix&gt;_&lt;mm&gt;_25_&lt;yyyy&gt;_&lt;ar&gt;Dispute amounts by type by month</v>
      </c>
      <c r="C692" s="18"/>
      <c r="D692" s="12"/>
    </row>
    <row r="693" spans="1:4" x14ac:dyDescent="0.25">
      <c r="A693" t="s">
        <v>1272</v>
      </c>
      <c r="B693" t="str">
        <f t="shared" si="23"/>
        <v>&lt;prefix&gt;_&lt;mm&gt;_25_&lt;yyyy&gt;_&lt;ar&gt;Dispute amounts by type by month by carrier</v>
      </c>
      <c r="C693" s="18"/>
      <c r="D693" s="12"/>
    </row>
    <row r="694" spans="1:4" x14ac:dyDescent="0.25">
      <c r="A694" t="s">
        <v>1273</v>
      </c>
      <c r="B694" t="str">
        <f t="shared" si="23"/>
        <v>&lt;prefix&gt;_&lt;mm&gt;_25_&lt;yyyy&gt;_&lt;ar&gt;Dispute amounts by type by quarter</v>
      </c>
      <c r="C694" s="18"/>
      <c r="D694" s="12"/>
    </row>
    <row r="695" spans="1:4" x14ac:dyDescent="0.25">
      <c r="A695" t="s">
        <v>1274</v>
      </c>
      <c r="B695" t="str">
        <f t="shared" si="23"/>
        <v>&lt;prefix&gt;_&lt;mm&gt;_25_&lt;yyyy&gt;_&lt;ar&gt;Dispute amounts by type by quarter by carrier</v>
      </c>
      <c r="C695" s="18"/>
      <c r="D695" s="12"/>
    </row>
    <row r="696" spans="1:4" x14ac:dyDescent="0.25">
      <c r="A696" t="s">
        <v>1277</v>
      </c>
      <c r="B696" t="str">
        <f t="shared" si="23"/>
        <v>&lt;prefix&gt;_&lt;mm&gt;_25_&lt;yyyy&gt;_&lt;ar&gt;Dispute amounts-carrier-month for a given year</v>
      </c>
      <c r="C696" s="18"/>
      <c r="D696" s="12"/>
    </row>
    <row r="697" spans="1:4" x14ac:dyDescent="0.25">
      <c r="A697" t="s">
        <v>1278</v>
      </c>
      <c r="B697" t="str">
        <f t="shared" si="23"/>
        <v>&lt;prefix&gt;_&lt;mm&gt;_25_&lt;yyyy&gt;_&lt;ar&gt;Dispute amounts-carrier-qtr for a given year</v>
      </c>
      <c r="C697" s="18"/>
      <c r="D697" s="12"/>
    </row>
    <row r="698" spans="1:4" x14ac:dyDescent="0.25">
      <c r="A698" t="s">
        <v>70</v>
      </c>
      <c r="B698" t="str">
        <f t="shared" si="23"/>
        <v>&lt;prefix&gt;_&lt;mm&gt;_25_&lt;yyyy&gt;_&lt;ar&gt;FA Charges Summary</v>
      </c>
      <c r="C698" s="18"/>
      <c r="D698" s="12"/>
    </row>
    <row r="699" spans="1:4" x14ac:dyDescent="0.25">
      <c r="A699" t="s">
        <v>71</v>
      </c>
      <c r="B699" t="str">
        <f t="shared" si="23"/>
        <v>&lt;prefix&gt;_&lt;mm&gt;_25_&lt;yyyy&gt;_&lt;ar&gt;FA Circuit Charges by CIC by CLLI</v>
      </c>
      <c r="C699" s="18"/>
      <c r="D699" s="12"/>
    </row>
    <row r="700" spans="1:4" x14ac:dyDescent="0.25">
      <c r="A700" t="s">
        <v>69</v>
      </c>
      <c r="B700" t="str">
        <f t="shared" si="23"/>
        <v>&lt;prefix&gt;_&lt;mm&gt;_25_&lt;yyyy&gt;_&lt;ar&gt;Facility BANS Trending Report</v>
      </c>
      <c r="C700" s="18"/>
      <c r="D700" s="12"/>
    </row>
    <row r="701" spans="1:4" x14ac:dyDescent="0.25">
      <c r="A701" t="s">
        <v>37</v>
      </c>
      <c r="B701" t="str">
        <f t="shared" si="23"/>
        <v>&lt;prefix&gt;_&lt;mm&gt;_25_&lt;yyyy&gt;_&lt;ar&gt;Factor Matrix Report</v>
      </c>
      <c r="C701" s="18"/>
      <c r="D701" s="12"/>
    </row>
    <row r="702" spans="1:4" x14ac:dyDescent="0.25">
      <c r="A702" t="s">
        <v>78</v>
      </c>
      <c r="B702" t="str">
        <f t="shared" si="23"/>
        <v>&lt;prefix&gt;_&lt;mm&gt;_25_&lt;yyyy&gt;_&lt;ar&gt;Fulfillment Report</v>
      </c>
      <c r="C702" s="18"/>
      <c r="D702" s="12"/>
    </row>
    <row r="703" spans="1:4" x14ac:dyDescent="0.25">
      <c r="A703" t="s">
        <v>1281</v>
      </c>
      <c r="B703" t="str">
        <f t="shared" si="23"/>
        <v>&lt;prefix&gt;_&lt;mm&gt;_25_&lt;yyyy&gt;_&lt;ar&gt;Graph - Disputed Amounts by Carrier</v>
      </c>
      <c r="C703" s="18"/>
      <c r="D703" s="12"/>
    </row>
    <row r="704" spans="1:4" x14ac:dyDescent="0.25">
      <c r="A704" t="s">
        <v>1282</v>
      </c>
      <c r="B704" t="str">
        <f t="shared" si="23"/>
        <v>&lt;prefix&gt;_&lt;mm&gt;_25_&lt;yyyy&gt;_&lt;ar&gt;Graph - Disputed Amounts by Carrier by Date</v>
      </c>
      <c r="C704" s="18"/>
      <c r="D704" s="12"/>
    </row>
    <row r="705" spans="1:4" x14ac:dyDescent="0.25">
      <c r="A705" t="s">
        <v>1283</v>
      </c>
      <c r="B705" t="str">
        <f t="shared" si="23"/>
        <v>&lt;prefix&gt;_&lt;mm&gt;_25_&lt;yyyy&gt;_&lt;ar&gt;Graph - Disputed Amounts by dispute types</v>
      </c>
      <c r="C705" s="18"/>
      <c r="D705" s="12"/>
    </row>
    <row r="706" spans="1:4" x14ac:dyDescent="0.25">
      <c r="A706" t="s">
        <v>1284</v>
      </c>
      <c r="B706" t="str">
        <f t="shared" si="23"/>
        <v>&lt;prefix&gt;_&lt;mm&gt;_25_&lt;yyyy&gt;_&lt;ar&gt;Graph - Disputed Amounts vs Resolutions</v>
      </c>
      <c r="C706" s="18"/>
      <c r="D706" s="12"/>
    </row>
    <row r="707" spans="1:4" x14ac:dyDescent="0.25">
      <c r="A707" t="s">
        <v>1285</v>
      </c>
      <c r="B707" t="str">
        <f t="shared" si="23"/>
        <v>&lt;prefix&gt;_&lt;mm&gt;_25_&lt;yyyy&gt;_&lt;ar&gt;Graph - No. of Disputes by Carrier</v>
      </c>
      <c r="C707" s="18"/>
      <c r="D707" s="12"/>
    </row>
    <row r="708" spans="1:4" x14ac:dyDescent="0.25">
      <c r="A708" t="s">
        <v>1286</v>
      </c>
      <c r="B708" t="str">
        <f t="shared" si="23"/>
        <v>&lt;prefix&gt;_&lt;mm&gt;_25_&lt;yyyy&gt;_&lt;ar&gt;Graph - No. of Disputes by Carrier by Date</v>
      </c>
      <c r="C708" s="18"/>
      <c r="D708" s="12"/>
    </row>
    <row r="709" spans="1:4" x14ac:dyDescent="0.25">
      <c r="A709" t="s">
        <v>1348</v>
      </c>
      <c r="B709" t="str">
        <f t="shared" si="23"/>
        <v>&lt;prefix&gt;_&lt;mm&gt;_25_&lt;yyyy&gt;_&lt;ar&gt;Invoice AR Info Report</v>
      </c>
      <c r="C709" s="18"/>
      <c r="D709" s="12"/>
    </row>
    <row r="710" spans="1:4" x14ac:dyDescent="0.25">
      <c r="A710" t="s">
        <v>1289</v>
      </c>
      <c r="B710" t="str">
        <f t="shared" si="23"/>
        <v>&lt;prefix&gt;_&lt;mm&gt;_25_&lt;yyyy&gt;_&lt;ar&gt;Message Record Analysis</v>
      </c>
      <c r="C710" s="18"/>
      <c r="D710" s="12"/>
    </row>
    <row r="711" spans="1:4" x14ac:dyDescent="0.25">
      <c r="A711" t="s">
        <v>1290</v>
      </c>
      <c r="B711" t="str">
        <f t="shared" ref="B711:B742" si="24">"&lt;prefix&gt;_&lt;mm&gt;_25_&lt;yyyy&gt;_&lt;ar&gt;"&amp;A711</f>
        <v>&lt;prefix&gt;_&lt;mm&gt;_25_&lt;yyyy&gt;_&lt;ar&gt;Messages and minutes billed by FG,CIC</v>
      </c>
      <c r="C711" s="18"/>
      <c r="D711" s="12"/>
    </row>
    <row r="712" spans="1:4" x14ac:dyDescent="0.25">
      <c r="A712" t="s">
        <v>1291</v>
      </c>
      <c r="B712" t="str">
        <f t="shared" si="24"/>
        <v>&lt;prefix&gt;_&lt;mm&gt;_25_&lt;yyyy&gt;_&lt;ar&gt;Messages and minutes billed by FG,CIC(Local separa</v>
      </c>
      <c r="C712" s="18"/>
      <c r="D712" s="12"/>
    </row>
    <row r="713" spans="1:4" x14ac:dyDescent="0.25">
      <c r="A713" t="s">
        <v>1292</v>
      </c>
      <c r="B713" t="str">
        <f t="shared" si="24"/>
        <v>&lt;prefix&gt;_&lt;mm&gt;_25_&lt;yyyy&gt;_&lt;ar&gt;Minutes</v>
      </c>
      <c r="C713" s="18"/>
      <c r="D713" s="12"/>
    </row>
    <row r="714" spans="1:4" x14ac:dyDescent="0.25">
      <c r="A714" t="s">
        <v>92</v>
      </c>
      <c r="B714" t="str">
        <f t="shared" si="24"/>
        <v>&lt;prefix&gt;_&lt;mm&gt;_25_&lt;yyyy&gt;_&lt;ar&gt;Minutes and revenue billed by rate element</v>
      </c>
      <c r="C714" s="18"/>
      <c r="D714" s="12"/>
    </row>
    <row r="715" spans="1:4" x14ac:dyDescent="0.25">
      <c r="A715" t="s">
        <v>1293</v>
      </c>
      <c r="B715" t="str">
        <f t="shared" si="24"/>
        <v>&lt;prefix&gt;_&lt;mm&gt;_25_&lt;yyyy&gt;_&lt;ar&gt;Minutes billed by BAN, Orig- Term Inter-Intra Stat</v>
      </c>
      <c r="C715" s="18"/>
      <c r="D715" s="12"/>
    </row>
    <row r="716" spans="1:4" x14ac:dyDescent="0.25">
      <c r="A716" t="s">
        <v>100</v>
      </c>
      <c r="B716" t="str">
        <f t="shared" si="24"/>
        <v>&lt;prefix&gt;_&lt;mm&gt;_25_&lt;yyyy&gt;_&lt;ar&gt;NECA AS1000</v>
      </c>
      <c r="C716" s="18"/>
      <c r="D716" s="12"/>
    </row>
    <row r="717" spans="1:4" x14ac:dyDescent="0.25">
      <c r="A717" t="s">
        <v>101</v>
      </c>
      <c r="B717" t="str">
        <f t="shared" si="24"/>
        <v>&lt;prefix&gt;_&lt;mm&gt;_25_&lt;yyyy&gt;_&lt;ar&gt;NECA EC1050</v>
      </c>
      <c r="C717" s="18"/>
      <c r="D717" s="12"/>
    </row>
    <row r="718" spans="1:4" x14ac:dyDescent="0.25">
      <c r="A718" t="s">
        <v>1297</v>
      </c>
      <c r="B718" t="str">
        <f t="shared" si="24"/>
        <v>&lt;prefix&gt;_&lt;mm&gt;_25_&lt;yyyy&gt;_&lt;ar&gt;Non FA Rate Element as Billed Table Report</v>
      </c>
      <c r="C718" s="18"/>
      <c r="D718" s="12"/>
    </row>
    <row r="719" spans="1:4" x14ac:dyDescent="0.25">
      <c r="A719" t="s">
        <v>1298</v>
      </c>
      <c r="B719" t="str">
        <f t="shared" si="24"/>
        <v>&lt;prefix&gt;_&lt;mm&gt;_25_&lt;yyyy&gt;_&lt;ar&gt;OCC Detail Report - Posted</v>
      </c>
      <c r="C719" s="18"/>
      <c r="D719" s="12"/>
    </row>
    <row r="720" spans="1:4" x14ac:dyDescent="0.25">
      <c r="A720" t="s">
        <v>1299</v>
      </c>
      <c r="B720" t="str">
        <f t="shared" si="24"/>
        <v>&lt;prefix&gt;_&lt;mm&gt;_25_&lt;yyyy&gt;_&lt;ar&gt;OCC Detail Report - Unposted</v>
      </c>
      <c r="C720" s="18"/>
      <c r="D720" s="12"/>
    </row>
    <row r="721" spans="1:4" x14ac:dyDescent="0.25">
      <c r="A721" t="s">
        <v>1300</v>
      </c>
      <c r="B721" t="str">
        <f t="shared" si="24"/>
        <v>&lt;prefix&gt;_&lt;mm&gt;_25_&lt;yyyy&gt;_&lt;ar&gt;Partially Paid Invoices</v>
      </c>
      <c r="C721" s="18"/>
      <c r="D721" s="12"/>
    </row>
    <row r="722" spans="1:4" x14ac:dyDescent="0.25">
      <c r="A722" t="s">
        <v>1301</v>
      </c>
      <c r="B722" t="str">
        <f t="shared" si="24"/>
        <v>&lt;prefix&gt;_&lt;mm&gt;_25_&lt;yyyy&gt;_&lt;ar&gt;Payment Details by Check</v>
      </c>
      <c r="C722" s="18"/>
      <c r="D722" s="12"/>
    </row>
    <row r="723" spans="1:4" x14ac:dyDescent="0.25">
      <c r="A723" t="s">
        <v>1302</v>
      </c>
      <c r="B723" t="str">
        <f t="shared" si="24"/>
        <v>&lt;prefix&gt;_&lt;mm&gt;_25_&lt;yyyy&gt;_&lt;ar&gt;Payments by Payer by BAN</v>
      </c>
      <c r="C723" s="18"/>
      <c r="D723" s="12"/>
    </row>
    <row r="724" spans="1:4" x14ac:dyDescent="0.25">
      <c r="A724" t="s">
        <v>1303</v>
      </c>
      <c r="B724" t="str">
        <f t="shared" si="24"/>
        <v>&lt;prefix&gt;_&lt;mm&gt;_25_&lt;yyyy&gt;_&lt;ar&gt;Payments Not on Bill</v>
      </c>
      <c r="C724" s="18"/>
      <c r="D724" s="12"/>
    </row>
    <row r="725" spans="1:4" x14ac:dyDescent="0.25">
      <c r="A725" t="s">
        <v>1306</v>
      </c>
      <c r="B725" t="str">
        <f t="shared" si="24"/>
        <v>&lt;prefix&gt;_&lt;mm&gt;_25_&lt;yyyy&gt;_&lt;ar&gt;Percent of disputes-billed per month-year</v>
      </c>
      <c r="C725" s="18"/>
      <c r="D725" s="12"/>
    </row>
    <row r="726" spans="1:4" x14ac:dyDescent="0.25">
      <c r="A726" t="s">
        <v>1307</v>
      </c>
      <c r="B726" t="str">
        <f t="shared" si="24"/>
        <v>&lt;prefix&gt;_&lt;mm&gt;_25_&lt;yyyy&gt;_&lt;ar&gt;Percent of disputes-billed per qtr-year</v>
      </c>
      <c r="C726" s="18"/>
      <c r="D726" s="12"/>
    </row>
    <row r="727" spans="1:4" x14ac:dyDescent="0.25">
      <c r="A727" t="s">
        <v>1308</v>
      </c>
      <c r="B727" t="str">
        <f t="shared" si="24"/>
        <v>&lt;prefix&gt;_&lt;mm&gt;_25_&lt;yyyy&gt;_&lt;ar&gt;Post billing rate change adj. calc. - FA</v>
      </c>
      <c r="C727" s="18"/>
      <c r="D727" s="12"/>
    </row>
    <row r="728" spans="1:4" x14ac:dyDescent="0.25">
      <c r="A728" t="s">
        <v>1309</v>
      </c>
      <c r="B728" t="str">
        <f t="shared" si="24"/>
        <v>&lt;prefix&gt;_&lt;mm&gt;_25_&lt;yyyy&gt;_&lt;ar&gt;Post billing rate change adj. calc. - SW</v>
      </c>
      <c r="C728" s="18"/>
      <c r="D728" s="12"/>
    </row>
    <row r="729" spans="1:4" x14ac:dyDescent="0.25">
      <c r="A729" t="s">
        <v>1310</v>
      </c>
      <c r="B729" t="str">
        <f t="shared" si="24"/>
        <v>&lt;prefix&gt;_&lt;mm&gt;_25_&lt;yyyy&gt;_&lt;ar&gt;Rate Element Table Report</v>
      </c>
      <c r="C729" s="18"/>
      <c r="D729" s="12"/>
    </row>
    <row r="730" spans="1:4" x14ac:dyDescent="0.25">
      <c r="A730" t="s">
        <v>1311</v>
      </c>
      <c r="B730" t="str">
        <f t="shared" si="24"/>
        <v>&lt;prefix&gt;_&lt;mm&gt;_25_&lt;yyyy&gt;_&lt;ar&gt;Reconciliation of account balance over time</v>
      </c>
      <c r="C730" s="18"/>
      <c r="D730" s="12"/>
    </row>
    <row r="731" spans="1:4" x14ac:dyDescent="0.25">
      <c r="A731" t="s">
        <v>1312</v>
      </c>
      <c r="B731" t="str">
        <f t="shared" si="24"/>
        <v>&lt;prefix&gt;_&lt;mm&gt;_25_&lt;yyyy&gt;_&lt;ar&gt;Resolved Disputes by carrier</v>
      </c>
      <c r="C731" s="18"/>
      <c r="D731" s="12"/>
    </row>
    <row r="732" spans="1:4" x14ac:dyDescent="0.25">
      <c r="A732" t="s">
        <v>1313</v>
      </c>
      <c r="B732" t="str">
        <f t="shared" si="24"/>
        <v>&lt;prefix&gt;_&lt;mm&gt;_25_&lt;yyyy&gt;_&lt;ar&gt;Revenue</v>
      </c>
      <c r="C732" s="18"/>
      <c r="D732" s="12"/>
    </row>
    <row r="733" spans="1:4" x14ac:dyDescent="0.25">
      <c r="A733" t="s">
        <v>1349</v>
      </c>
      <c r="B733" t="str">
        <f t="shared" si="24"/>
        <v>&lt;prefix&gt;_&lt;mm&gt;_25_&lt;yyyy&gt;_&lt;ar&gt;Revenue Analysis7</v>
      </c>
      <c r="C733" s="18"/>
      <c r="D733" s="12"/>
    </row>
    <row r="734" spans="1:4" x14ac:dyDescent="0.25">
      <c r="A734" t="s">
        <v>1315</v>
      </c>
      <c r="B734" t="str">
        <f t="shared" si="24"/>
        <v>&lt;prefix&gt;_&lt;mm&gt;_25_&lt;yyyy&gt;_&lt;ar&gt;Revenue billed by BAN, Inter-Intra State</v>
      </c>
      <c r="C734" s="18"/>
      <c r="D734" s="12"/>
    </row>
    <row r="735" spans="1:4" x14ac:dyDescent="0.25">
      <c r="A735" t="s">
        <v>1316</v>
      </c>
      <c r="B735" t="str">
        <f t="shared" si="24"/>
        <v>&lt;prefix&gt;_&lt;mm&gt;_25_&lt;yyyy&gt;_&lt;ar&gt;Security Report by User</v>
      </c>
      <c r="C735" s="18"/>
      <c r="D735" s="12"/>
    </row>
    <row r="736" spans="1:4" x14ac:dyDescent="0.25">
      <c r="A736" t="s">
        <v>1317</v>
      </c>
      <c r="B736" t="str">
        <f t="shared" si="24"/>
        <v>&lt;prefix&gt;_&lt;mm&gt;_25_&lt;yyyy&gt;_&lt;ar&gt;Security Report by Window</v>
      </c>
      <c r="C736" s="18"/>
      <c r="D736" s="12"/>
    </row>
    <row r="737" spans="1:4" x14ac:dyDescent="0.25">
      <c r="A737" t="s">
        <v>1318</v>
      </c>
      <c r="B737" t="str">
        <f t="shared" si="24"/>
        <v>&lt;prefix&gt;_&lt;mm&gt;_25_&lt;yyyy&gt;_&lt;ar&gt;SOC Jurisdiction Table Report</v>
      </c>
      <c r="C737" s="18"/>
      <c r="D737" s="12"/>
    </row>
    <row r="738" spans="1:4" x14ac:dyDescent="0.25">
      <c r="A738" t="s">
        <v>1319</v>
      </c>
      <c r="B738" t="str">
        <f t="shared" si="24"/>
        <v>&lt;prefix&gt;_&lt;mm&gt;_25_&lt;yyyy&gt;_&lt;ar&gt;SOC Rate Comparison between companies</v>
      </c>
      <c r="C738" s="18"/>
      <c r="D738" s="12"/>
    </row>
    <row r="739" spans="1:4" x14ac:dyDescent="0.25">
      <c r="A739" t="s">
        <v>1320</v>
      </c>
      <c r="B739" t="str">
        <f t="shared" si="24"/>
        <v>&lt;prefix&gt;_&lt;mm&gt;_25_&lt;yyyy&gt;_&lt;ar&gt;SOC Tariff Table Report</v>
      </c>
      <c r="C739" s="18"/>
      <c r="D739" s="12"/>
    </row>
    <row r="740" spans="1:4" x14ac:dyDescent="0.25">
      <c r="A740" t="s">
        <v>1321</v>
      </c>
      <c r="B740" t="str">
        <f t="shared" si="24"/>
        <v>&lt;prefix&gt;_&lt;mm&gt;_25_&lt;yyyy&gt;_&lt;ar&gt;Summary of Adjustments Report</v>
      </c>
      <c r="C740" s="18"/>
      <c r="D740" s="12"/>
    </row>
    <row r="741" spans="1:4" x14ac:dyDescent="0.25">
      <c r="A741" t="s">
        <v>1322</v>
      </c>
      <c r="B741" t="str">
        <f t="shared" si="24"/>
        <v>&lt;prefix&gt;_&lt;mm&gt;_25_&lt;yyyy&gt;_&lt;ar&gt;Summary of OCCs Report</v>
      </c>
      <c r="C741" s="18"/>
      <c r="D741" s="12"/>
    </row>
    <row r="742" spans="1:4" x14ac:dyDescent="0.25">
      <c r="A742" t="s">
        <v>120</v>
      </c>
      <c r="B742" t="str">
        <f t="shared" si="24"/>
        <v>&lt;prefix&gt;_&lt;mm&gt;_25_&lt;yyyy&gt;_&lt;ar&gt;SW Usage Charges Summary</v>
      </c>
      <c r="C742" s="18"/>
      <c r="D742" s="12"/>
    </row>
    <row r="743" spans="1:4" x14ac:dyDescent="0.25">
      <c r="A743" t="s">
        <v>1323</v>
      </c>
      <c r="B743" t="str">
        <f t="shared" ref="B743:B762" si="25">"&lt;prefix&gt;_&lt;mm&gt;_25_&lt;yyyy&gt;_&lt;ar&gt;"&amp;A743</f>
        <v>&lt;prefix&gt;_&lt;mm&gt;_25_&lt;yyyy&gt;_&lt;ar&gt;SW Usage Charges Summary by CLLI</v>
      </c>
      <c r="C743" s="18"/>
      <c r="D743" s="12"/>
    </row>
    <row r="744" spans="1:4" x14ac:dyDescent="0.25">
      <c r="A744" t="s">
        <v>1324</v>
      </c>
      <c r="B744" t="str">
        <f t="shared" si="25"/>
        <v>&lt;prefix&gt;_&lt;mm&gt;_25_&lt;yyyy&gt;_&lt;ar&gt;SW Usage Statistics Summary</v>
      </c>
      <c r="C744" s="18"/>
      <c r="D744" s="12"/>
    </row>
    <row r="745" spans="1:4" x14ac:dyDescent="0.25">
      <c r="A745" t="s">
        <v>1326</v>
      </c>
      <c r="B745" t="str">
        <f t="shared" si="25"/>
        <v>&lt;prefix&gt;_&lt;mm&gt;_25_&lt;yyyy&gt;_&lt;ar&gt;Switched Billing Account - Factor Report</v>
      </c>
      <c r="C745" s="18"/>
      <c r="D745" s="12"/>
    </row>
    <row r="746" spans="1:4" x14ac:dyDescent="0.25">
      <c r="A746" t="s">
        <v>1327</v>
      </c>
      <c r="B746" t="str">
        <f t="shared" si="25"/>
        <v>&lt;prefix&gt;_&lt;mm&gt;_25_&lt;yyyy&gt;_&lt;ar&gt;Switched Billing Account - SOC Report</v>
      </c>
      <c r="C746" s="18"/>
      <c r="D746" s="12"/>
    </row>
    <row r="747" spans="1:4" x14ac:dyDescent="0.25">
      <c r="A747" t="s">
        <v>1328</v>
      </c>
      <c r="B747" t="str">
        <f t="shared" si="25"/>
        <v>&lt;prefix&gt;_&lt;mm&gt;_25_&lt;yyyy&gt;_&lt;ar&gt;Switched Billing Account - Wire Center Report</v>
      </c>
      <c r="C747" s="18"/>
      <c r="D747" s="12"/>
    </row>
    <row r="748" spans="1:4" x14ac:dyDescent="0.25">
      <c r="A748" t="s">
        <v>619</v>
      </c>
      <c r="B748" t="str">
        <f t="shared" si="25"/>
        <v>&lt;prefix&gt;_&lt;mm&gt;_25_&lt;yyyy&gt;_&lt;ar&gt;Transaction Detail Listing</v>
      </c>
      <c r="C748" s="18"/>
      <c r="D748" s="12"/>
    </row>
    <row r="749" spans="1:4" x14ac:dyDescent="0.25">
      <c r="A749" t="s">
        <v>616</v>
      </c>
      <c r="B749" t="str">
        <f t="shared" si="25"/>
        <v>&lt;prefix&gt;_&lt;mm&gt;_25_&lt;yyyy&gt;_&lt;ar&gt;Transaction Summary</v>
      </c>
      <c r="C749" s="18"/>
      <c r="D749" s="12"/>
    </row>
    <row r="750" spans="1:4" x14ac:dyDescent="0.25">
      <c r="A750" t="s">
        <v>1331</v>
      </c>
      <c r="B750" t="str">
        <f t="shared" si="25"/>
        <v>&lt;prefix&gt;_&lt;mm&gt;_25_&lt;yyyy&gt;_&lt;ar&gt;Transaction Summary - adjustments only</v>
      </c>
      <c r="C750" s="18"/>
      <c r="D750" s="12"/>
    </row>
    <row r="751" spans="1:4" x14ac:dyDescent="0.25">
      <c r="A751" t="s">
        <v>1332</v>
      </c>
      <c r="B751" t="str">
        <f t="shared" si="25"/>
        <v>&lt;prefix&gt;_&lt;mm&gt;_25_&lt;yyyy&gt;_&lt;ar&gt;Transaction Summary - receipts only</v>
      </c>
      <c r="C751" s="18"/>
      <c r="D751" s="12"/>
    </row>
    <row r="752" spans="1:4" x14ac:dyDescent="0.25">
      <c r="A752" t="s">
        <v>1335</v>
      </c>
      <c r="B752" t="str">
        <f t="shared" si="25"/>
        <v>&lt;prefix&gt;_&lt;mm&gt;_25_&lt;yyyy&gt;_&lt;ar&gt;Transaction Summary by transaction-bill type</v>
      </c>
      <c r="C752" s="18"/>
      <c r="D752" s="12"/>
    </row>
    <row r="753" spans="1:4" x14ac:dyDescent="0.25">
      <c r="A753" t="s">
        <v>1336</v>
      </c>
      <c r="B753" t="str">
        <f t="shared" si="25"/>
        <v>&lt;prefix&gt;_&lt;mm&gt;_25_&lt;yyyy&gt;_&lt;ar&gt;Unposted Adjustments</v>
      </c>
      <c r="C753" s="18"/>
      <c r="D753" s="12"/>
    </row>
    <row r="754" spans="1:4" x14ac:dyDescent="0.25">
      <c r="A754" t="s">
        <v>1337</v>
      </c>
      <c r="B754" t="str">
        <f t="shared" si="25"/>
        <v>&lt;prefix&gt;_&lt;mm&gt;_25_&lt;yyyy&gt;_&lt;ar&gt;Unresolved Disputes by Carrier by code</v>
      </c>
      <c r="C754" s="18"/>
      <c r="D754" s="12"/>
    </row>
    <row r="755" spans="1:4" x14ac:dyDescent="0.25">
      <c r="A755" t="s">
        <v>1338</v>
      </c>
      <c r="B755" t="str">
        <f t="shared" si="25"/>
        <v>&lt;prefix&gt;_&lt;mm&gt;_25_&lt;yyyy&gt;_&lt;ar&gt;Unresolved Disputes by Carrier by month</v>
      </c>
      <c r="C755" s="18"/>
      <c r="D755" s="12"/>
    </row>
    <row r="756" spans="1:4" x14ac:dyDescent="0.25">
      <c r="A756" t="s">
        <v>1339</v>
      </c>
      <c r="B756" t="str">
        <f t="shared" si="25"/>
        <v>&lt;prefix&gt;_&lt;mm&gt;_25_&lt;yyyy&gt;_&lt;ar&gt;Usage Balancing - Company Totals</v>
      </c>
      <c r="C756" s="18"/>
      <c r="D756" s="12"/>
    </row>
    <row r="757" spans="1:4" x14ac:dyDescent="0.25">
      <c r="A757" t="s">
        <v>41</v>
      </c>
      <c r="B757" t="str">
        <f t="shared" si="25"/>
        <v>&lt;prefix&gt;_&lt;mm&gt;_25_&lt;yyyy&gt;_&lt;ar&gt;Usage Balancing - Company Totals with Full Detail</v>
      </c>
      <c r="C757" s="18"/>
      <c r="D757" s="12"/>
    </row>
    <row r="758" spans="1:4" x14ac:dyDescent="0.25">
      <c r="A758" t="s">
        <v>1340</v>
      </c>
      <c r="B758" t="str">
        <f t="shared" si="25"/>
        <v>&lt;prefix&gt;_&lt;mm&gt;_25_&lt;yyyy&gt;_&lt;ar&gt;Usage Balancing - Company, Ban, Clli Totals</v>
      </c>
      <c r="C758" s="18"/>
      <c r="D758" s="12"/>
    </row>
    <row r="759" spans="1:4" x14ac:dyDescent="0.25">
      <c r="A759" t="s">
        <v>1341</v>
      </c>
      <c r="B759" t="str">
        <f t="shared" si="25"/>
        <v>&lt;prefix&gt;_&lt;mm&gt;_25_&lt;yyyy&gt;_&lt;ar&gt;Usage Balancing - Company, Ban, Clli, TT Totals</v>
      </c>
      <c r="C759" s="18"/>
      <c r="D759" s="12"/>
    </row>
    <row r="760" spans="1:4" x14ac:dyDescent="0.25">
      <c r="A760" t="s">
        <v>1342</v>
      </c>
      <c r="B760" t="str">
        <f t="shared" si="25"/>
        <v>&lt;prefix&gt;_&lt;mm&gt;_25_&lt;yyyy&gt;_&lt;ar&gt;Usage Totaling Rule</v>
      </c>
      <c r="C760" s="18"/>
      <c r="D760" s="12"/>
    </row>
    <row r="761" spans="1:4" x14ac:dyDescent="0.25">
      <c r="A761" t="s">
        <v>1343</v>
      </c>
      <c r="B761" t="str">
        <f t="shared" si="25"/>
        <v>&lt;prefix&gt;_&lt;mm&gt;_25_&lt;yyyy&gt;_&lt;ar&gt;Wire Center Mileage Segment Report</v>
      </c>
      <c r="C761" s="18"/>
      <c r="D761" s="12"/>
    </row>
    <row r="762" spans="1:4" x14ac:dyDescent="0.25">
      <c r="A762" t="s">
        <v>1344</v>
      </c>
      <c r="B762" t="str">
        <f t="shared" si="25"/>
        <v>&lt;prefix&gt;_&lt;mm&gt;_25_&lt;yyyy&gt;_&lt;ar&gt;Wire Center Report</v>
      </c>
      <c r="C762" s="18"/>
      <c r="D762" s="12"/>
    </row>
    <row r="763" spans="1:4" x14ac:dyDescent="0.25">
      <c r="A763" s="2" t="s">
        <v>12</v>
      </c>
      <c r="B763" s="2" t="str">
        <f>"&lt;prefix&gt;_&lt;mm&gt;_22_&lt;yy&gt;_&lt;ar&gt;"&amp;A763</f>
        <v>&lt;prefix&gt;_&lt;mm&gt;_22_&lt;yy&gt;_&lt;ar&gt;AUR History Stats Report</v>
      </c>
      <c r="C763" s="2" t="s">
        <v>216</v>
      </c>
      <c r="D763" s="12">
        <v>1</v>
      </c>
    </row>
    <row r="764" spans="1:4" x14ac:dyDescent="0.25">
      <c r="A764" s="2" t="s">
        <v>18</v>
      </c>
      <c r="B764" s="2" t="str">
        <f>"&lt;prefix&gt;_&lt;mm&gt;_22_&lt;yy&gt;_&lt;ar&gt;"&amp;A764</f>
        <v>&lt;prefix&gt;_&lt;mm&gt;_22_&lt;yy&gt;_&lt;ar&gt;Detailed BAN Error Report</v>
      </c>
      <c r="C764" s="2" t="s">
        <v>231</v>
      </c>
      <c r="D764" s="12">
        <v>2</v>
      </c>
    </row>
    <row r="765" spans="1:4" x14ac:dyDescent="0.25">
      <c r="A765" s="3" t="s">
        <v>20</v>
      </c>
      <c r="B765" s="3" t="s">
        <v>1070</v>
      </c>
      <c r="C765" s="3" t="s">
        <v>231</v>
      </c>
      <c r="D765" s="22">
        <v>2</v>
      </c>
    </row>
    <row r="766" spans="1:4" x14ac:dyDescent="0.25">
      <c r="A766" s="2" t="s">
        <v>22</v>
      </c>
      <c r="B766" s="2" t="str">
        <f t="shared" ref="B766:B771" si="26">"&lt;prefix&gt;_&lt;mm&gt;_22_&lt;yy&gt;_&lt;ar&gt;"&amp;A766</f>
        <v>&lt;prefix&gt;_&lt;mm&gt;_22_&lt;yy&gt;_&lt;ar&gt;Detailed CLLI Error Report</v>
      </c>
      <c r="C766" s="2" t="s">
        <v>238</v>
      </c>
      <c r="D766" s="12">
        <v>3</v>
      </c>
    </row>
    <row r="767" spans="1:4" x14ac:dyDescent="0.25">
      <c r="A767" s="2" t="s">
        <v>29</v>
      </c>
      <c r="B767" s="2" t="str">
        <f t="shared" si="26"/>
        <v>&lt;prefix&gt;_&lt;mm&gt;_22_&lt;yy&gt;_&lt;ar&gt;Exception Analysis Report</v>
      </c>
      <c r="C767" s="2" t="s">
        <v>248</v>
      </c>
      <c r="D767" s="12">
        <v>4</v>
      </c>
    </row>
    <row r="768" spans="1:4" x14ac:dyDescent="0.25">
      <c r="A768" s="2" t="s">
        <v>47</v>
      </c>
      <c r="B768" s="2" t="str">
        <f t="shared" si="26"/>
        <v>&lt;prefix&gt;_&lt;mm&gt;_22_&lt;yy&gt;_&lt;ar&gt;MOU Entries Error Report</v>
      </c>
      <c r="C768" s="2" t="s">
        <v>251</v>
      </c>
      <c r="D768" s="12">
        <v>5</v>
      </c>
    </row>
    <row r="769" spans="1:4" x14ac:dyDescent="0.25">
      <c r="A769" s="2" t="s">
        <v>27</v>
      </c>
      <c r="B769" s="2" t="str">
        <f t="shared" si="26"/>
        <v>&lt;prefix&gt;_&lt;mm&gt;_22_&lt;yy&gt;_&lt;ar&gt;Duplicate File Processing Report</v>
      </c>
      <c r="C769" s="2" t="s">
        <v>266</v>
      </c>
      <c r="D769" s="12">
        <v>6</v>
      </c>
    </row>
    <row r="770" spans="1:4" x14ac:dyDescent="0.25">
      <c r="A770" s="2" t="s">
        <v>45</v>
      </c>
      <c r="B770" s="2" t="str">
        <f t="shared" si="26"/>
        <v>&lt;prefix&gt;_&lt;mm&gt;_22_&lt;yy&gt;_&lt;ar&gt;Usage Verify by Size Report</v>
      </c>
      <c r="C770" s="2"/>
      <c r="D770" s="12">
        <v>7</v>
      </c>
    </row>
    <row r="771" spans="1:4" x14ac:dyDescent="0.25">
      <c r="A771" s="2" t="s">
        <v>543</v>
      </c>
      <c r="B771" s="2" t="str">
        <f t="shared" si="26"/>
        <v>&lt;prefix&gt;_&lt;mm&gt;_22_&lt;yy&gt;_&lt;ar&gt;Usage by Day Report</v>
      </c>
      <c r="C771" s="23" t="s">
        <v>1014</v>
      </c>
      <c r="D771" s="12">
        <v>8</v>
      </c>
    </row>
    <row r="772" spans="1:4" x14ac:dyDescent="0.25">
      <c r="A772" s="3" t="s">
        <v>43</v>
      </c>
      <c r="B772" s="3" t="s">
        <v>1071</v>
      </c>
      <c r="C772" s="3" t="s">
        <v>1060</v>
      </c>
      <c r="D772" s="22">
        <v>9</v>
      </c>
    </row>
    <row r="773" spans="1:4" x14ac:dyDescent="0.25">
      <c r="A773" s="2" t="s">
        <v>107</v>
      </c>
      <c r="B773" s="2" t="str">
        <f>"&lt;prefix&gt;_&lt;mm&gt;_22_&lt;yy&gt;_&lt;ar&gt;"&amp;A773</f>
        <v>&lt;prefix&gt;_&lt;mm&gt;_22_&lt;yy&gt;_&lt;ar&gt;Payment Report</v>
      </c>
      <c r="C773" s="31">
        <v>8</v>
      </c>
      <c r="D773" s="12">
        <v>10</v>
      </c>
    </row>
    <row r="774" spans="1:4" x14ac:dyDescent="0.25">
      <c r="A774" s="2" t="s">
        <v>7</v>
      </c>
      <c r="B774" s="2" t="str">
        <f>"&lt;prefix&gt;_&lt;mm&gt;_22_&lt;yy&gt;_&lt;ar&gt;"&amp;A774</f>
        <v>&lt;prefix&gt;_&lt;mm&gt;_22_&lt;yy&gt;_&lt;ar&gt;Adjustments Not Posted Report</v>
      </c>
      <c r="C774" s="2" t="s">
        <v>336</v>
      </c>
      <c r="D774" s="12">
        <v>11</v>
      </c>
    </row>
    <row r="775" spans="1:4" x14ac:dyDescent="0.25">
      <c r="A775" s="2" t="s">
        <v>34</v>
      </c>
      <c r="B775" s="3" t="s">
        <v>1072</v>
      </c>
      <c r="C775" s="2" t="s">
        <v>362</v>
      </c>
      <c r="D775" s="12">
        <v>12</v>
      </c>
    </row>
    <row r="776" spans="1:4" x14ac:dyDescent="0.25">
      <c r="A776" s="2" t="s">
        <v>32</v>
      </c>
      <c r="B776" s="2" t="str">
        <f>"&lt;prefix&gt;_&lt;mm&gt;_22_&lt;yy&gt;_&lt;ar&gt;"&amp;A776</f>
        <v>&lt;prefix&gt;_&lt;mm&gt;_22_&lt;yy&gt;_&lt;ar&gt;Factor Change Audit Report</v>
      </c>
      <c r="C776" s="2" t="s">
        <v>366</v>
      </c>
      <c r="D776" s="12">
        <v>13</v>
      </c>
    </row>
    <row r="777" spans="1:4" x14ac:dyDescent="0.25">
      <c r="A777" s="2" t="s">
        <v>39</v>
      </c>
      <c r="B777" s="2" t="str">
        <f>"&lt;prefix&gt;_&lt;mm&gt;_22_&lt;yy&gt;_&lt;ar&gt;"&amp;A777</f>
        <v>&lt;prefix&gt;_&lt;mm&gt;_22_&lt;yy&gt;_&lt;ar&gt;SOC Change Audit Report</v>
      </c>
      <c r="C777" s="2">
        <v>11</v>
      </c>
      <c r="D777" s="12">
        <v>14</v>
      </c>
    </row>
    <row r="778" spans="1:4" x14ac:dyDescent="0.25">
      <c r="A778" s="2" t="s">
        <v>16</v>
      </c>
      <c r="B778" s="2" t="str">
        <f>"&lt;prefix&gt;_&lt;mm&gt;_22_&lt;yy&gt;_&lt;ar&gt;"&amp;A778</f>
        <v>&lt;prefix&gt;_&lt;mm&gt;_22_&lt;yy&gt;_&lt;ar&gt;Bill Completion Check Report</v>
      </c>
      <c r="C778" s="2" t="s">
        <v>383</v>
      </c>
      <c r="D778" s="12">
        <v>15</v>
      </c>
    </row>
    <row r="779" spans="1:4" x14ac:dyDescent="0.25">
      <c r="A779" s="5" t="s">
        <v>122</v>
      </c>
      <c r="B779" s="5" t="str">
        <f>"&lt;prefix&gt;_&lt;mm&gt;_22_&lt;yy&gt;_&lt;ar&gt;"&amp;A779</f>
        <v>&lt;prefix&gt;_&lt;mm&gt;_22_&lt;yy&gt;_&lt;ar&gt;Switched BANS Trending Report</v>
      </c>
      <c r="C779" s="5" t="s">
        <v>1073</v>
      </c>
      <c r="D779" s="12">
        <v>16</v>
      </c>
    </row>
    <row r="780" spans="1:4" x14ac:dyDescent="0.25">
      <c r="A780" s="2" t="s">
        <v>13</v>
      </c>
      <c r="B780" s="2" t="str">
        <f>"&lt;prefix&gt;_&lt;mm&gt;_22_&lt;yy&gt;_&lt;ar&gt;"&amp;"Adjustments Report"</f>
        <v>&lt;prefix&gt;_&lt;mm&gt;_22_&lt;yy&gt;_&lt;ar&gt;Adjustments Report</v>
      </c>
      <c r="C780" s="2" t="s">
        <v>424</v>
      </c>
      <c r="D780" s="12">
        <v>17</v>
      </c>
    </row>
    <row r="781" spans="1:4" x14ac:dyDescent="0.25">
      <c r="A781" s="2" t="s">
        <v>102</v>
      </c>
      <c r="B781" s="2" t="str">
        <f>"&lt;prefix&gt;_&lt;mm&gt;_22_&lt;yy&gt;_&lt;ar&gt;"&amp;"OCCs Report"</f>
        <v>&lt;prefix&gt;_&lt;mm&gt;_22_&lt;yy&gt;_&lt;ar&gt;OCCs Report</v>
      </c>
      <c r="C781" s="2" t="s">
        <v>428</v>
      </c>
      <c r="D781" s="12">
        <v>18</v>
      </c>
    </row>
    <row r="782" spans="1:4" x14ac:dyDescent="0.25">
      <c r="A782" s="2" t="s">
        <v>62</v>
      </c>
      <c r="B782" s="2" t="s">
        <v>1074</v>
      </c>
      <c r="C782" s="2" t="s">
        <v>1075</v>
      </c>
      <c r="D782" s="12">
        <v>19</v>
      </c>
    </row>
    <row r="783" spans="1:4" x14ac:dyDescent="0.25">
      <c r="A783" s="3" t="s">
        <v>87</v>
      </c>
      <c r="B783" s="3" t="s">
        <v>1076</v>
      </c>
      <c r="C783" s="3" t="s">
        <v>767</v>
      </c>
      <c r="D783" s="22">
        <v>20</v>
      </c>
    </row>
    <row r="784" spans="1:4" x14ac:dyDescent="0.25">
      <c r="A784" s="7" t="s">
        <v>10</v>
      </c>
      <c r="B784" s="7" t="str">
        <f>"&lt;prefix&gt;_&lt;mm&gt;_22_&lt;yy&gt;_&lt;ar&gt;"&amp;A784</f>
        <v>&lt;prefix&gt;_&lt;mm&gt;_22_&lt;yy&gt;_&lt;ar&gt;Adjustment &amp; OCC Report</v>
      </c>
      <c r="C784" s="7"/>
      <c r="D784" s="12">
        <v>21</v>
      </c>
    </row>
    <row r="785" spans="1:4" x14ac:dyDescent="0.25">
      <c r="A785" s="6" t="s">
        <v>30</v>
      </c>
      <c r="B785" s="6" t="s">
        <v>1077</v>
      </c>
      <c r="C785" s="6"/>
      <c r="D785" s="22">
        <v>22</v>
      </c>
    </row>
    <row r="786" spans="1:4" x14ac:dyDescent="0.25">
      <c r="A786" s="7" t="s">
        <v>46</v>
      </c>
      <c r="B786" s="7" t="str">
        <f>"&lt;prefix&gt;_&lt;mm&gt;_22_&lt;yy&gt;_&lt;ar&gt;"&amp;A786</f>
        <v>&lt;prefix&gt;_&lt;mm&gt;_22_&lt;yy&gt;_&lt;ar&gt;Billed by Period Report</v>
      </c>
      <c r="C786" s="7"/>
      <c r="D786" s="12">
        <v>23</v>
      </c>
    </row>
    <row r="787" spans="1:4" x14ac:dyDescent="0.25">
      <c r="A787" s="7" t="s">
        <v>84</v>
      </c>
      <c r="B787" s="7" t="str">
        <f>"&lt;prefix&gt;_&lt;mm&gt;_22_&lt;yy&gt;_&lt;ar&gt;"&amp;"Invoice Balance Report"</f>
        <v>&lt;prefix&gt;_&lt;mm&gt;_22_&lt;yy&gt;_&lt;ar&gt;Invoice Balance Report</v>
      </c>
      <c r="C787" s="7"/>
      <c r="D787" s="12">
        <v>24</v>
      </c>
    </row>
    <row r="788" spans="1:4" x14ac:dyDescent="0.25">
      <c r="A788" s="8" t="s">
        <v>49</v>
      </c>
      <c r="B788" s="8" t="s">
        <v>1078</v>
      </c>
      <c r="C788" s="8"/>
      <c r="D788" s="22">
        <v>25</v>
      </c>
    </row>
    <row r="789" spans="1:4" x14ac:dyDescent="0.25">
      <c r="A789" s="6" t="s">
        <v>127</v>
      </c>
      <c r="B789" s="6" t="s">
        <v>1079</v>
      </c>
      <c r="C789" s="6"/>
      <c r="D789" s="22">
        <v>26</v>
      </c>
    </row>
    <row r="790" spans="1:4" x14ac:dyDescent="0.25">
      <c r="A790" t="s">
        <v>1350</v>
      </c>
      <c r="B790" t="str">
        <f t="shared" ref="B790:B821" si="27">"&lt;prefix&gt;_&lt;mm&gt;_22_&lt;yy&gt;_&lt;ar&gt;"&amp;A790</f>
        <v>&lt;prefix&gt;_&lt;mm&gt;_22_&lt;yy&gt;_&lt;ar&gt;Usage by Day Report - 3 Months</v>
      </c>
      <c r="D790" s="12"/>
    </row>
    <row r="791" spans="1:4" x14ac:dyDescent="0.25">
      <c r="A791" t="s">
        <v>1231</v>
      </c>
      <c r="B791" t="str">
        <f t="shared" si="27"/>
        <v>&lt;prefix&gt;_&lt;mm&gt;_22_&lt;yy&gt;_&lt;ar&gt;Access MSG and MOU billed by CLLI,FG,CIC</v>
      </c>
      <c r="D791" s="12"/>
    </row>
    <row r="792" spans="1:4" x14ac:dyDescent="0.25">
      <c r="A792" t="s">
        <v>14</v>
      </c>
      <c r="B792" t="str">
        <f t="shared" si="27"/>
        <v>&lt;prefix&gt;_&lt;mm&gt;_22_&lt;yy&gt;_&lt;ar&gt;Adjustment Report</v>
      </c>
      <c r="D792" s="12"/>
    </row>
    <row r="793" spans="1:4" x14ac:dyDescent="0.25">
      <c r="A793" t="s">
        <v>1232</v>
      </c>
      <c r="B793" t="str">
        <f t="shared" si="27"/>
        <v>&lt;prefix&gt;_&lt;mm&gt;_22_&lt;yy&gt;_&lt;ar&gt;Adjustments Detail Report - Posted</v>
      </c>
      <c r="D793" s="12"/>
    </row>
    <row r="794" spans="1:4" x14ac:dyDescent="0.25">
      <c r="A794" t="s">
        <v>1233</v>
      </c>
      <c r="B794" t="str">
        <f t="shared" si="27"/>
        <v>&lt;prefix&gt;_&lt;mm&gt;_22_&lt;yy&gt;_&lt;ar&gt;Adjustments Detail Report - Unposted</v>
      </c>
      <c r="D794" s="12"/>
    </row>
    <row r="795" spans="1:4" x14ac:dyDescent="0.25">
      <c r="A795" t="s">
        <v>1234</v>
      </c>
      <c r="B795" t="str">
        <f t="shared" si="27"/>
        <v>&lt;prefix&gt;_&lt;mm&gt;_22_&lt;yy&gt;_&lt;ar&gt;Aged Trial Balance by Company</v>
      </c>
      <c r="D795" s="12"/>
    </row>
    <row r="796" spans="1:4" x14ac:dyDescent="0.25">
      <c r="A796" t="s">
        <v>23</v>
      </c>
      <c r="B796" t="str">
        <f t="shared" si="27"/>
        <v>&lt;prefix&gt;_&lt;mm&gt;_22_&lt;yy&gt;_&lt;ar&gt;Aged Trial Balance for Export</v>
      </c>
      <c r="D796" s="12"/>
    </row>
    <row r="797" spans="1:4" x14ac:dyDescent="0.25">
      <c r="A797" t="s">
        <v>1235</v>
      </c>
      <c r="B797" t="str">
        <f t="shared" si="27"/>
        <v>&lt;prefix&gt;_&lt;mm&gt;_22_&lt;yy&gt;_&lt;ar&gt;Amount billed/disputed/settled by month/carrier</v>
      </c>
      <c r="D797" s="12"/>
    </row>
    <row r="798" spans="1:4" x14ac:dyDescent="0.25">
      <c r="A798" t="s">
        <v>1236</v>
      </c>
      <c r="B798" t="str">
        <f t="shared" si="27"/>
        <v>&lt;prefix&gt;_&lt;mm&gt;_22_&lt;yy&gt;_&lt;ar&gt;Amount billed/disputed/settled by qtr/carrier</v>
      </c>
      <c r="D798" s="12"/>
    </row>
    <row r="799" spans="1:4" x14ac:dyDescent="0.25">
      <c r="A799" t="s">
        <v>1237</v>
      </c>
      <c r="B799" t="str">
        <f t="shared" si="27"/>
        <v>&lt;prefix&gt;_&lt;mm&gt;_22_&lt;yy&gt;_&lt;ar&gt;Amount billed-disputed-settled by month-carrier</v>
      </c>
      <c r="D799" s="12"/>
    </row>
    <row r="800" spans="1:4" x14ac:dyDescent="0.25">
      <c r="A800" t="s">
        <v>1238</v>
      </c>
      <c r="B800" t="str">
        <f t="shared" si="27"/>
        <v>&lt;prefix&gt;_&lt;mm&gt;_22_&lt;yy&gt;_&lt;ar&gt;Amount billed-disputed-settled by qtr-carrier</v>
      </c>
      <c r="D800" s="12"/>
    </row>
    <row r="801" spans="1:4" x14ac:dyDescent="0.25">
      <c r="A801" t="s">
        <v>1239</v>
      </c>
      <c r="B801" t="str">
        <f t="shared" si="27"/>
        <v>&lt;prefix&gt;_&lt;mm&gt;_22_&lt;yy&gt;_&lt;ar&gt;AS1000 Report</v>
      </c>
      <c r="D801" s="12"/>
    </row>
    <row r="802" spans="1:4" x14ac:dyDescent="0.25">
      <c r="A802" t="s">
        <v>9</v>
      </c>
      <c r="B802" t="str">
        <f t="shared" si="27"/>
        <v>&lt;prefix&gt;_&lt;mm&gt;_22_&lt;yy&gt;_&lt;ar&gt;AUR History Stats</v>
      </c>
      <c r="D802" s="12"/>
    </row>
    <row r="803" spans="1:4" x14ac:dyDescent="0.25">
      <c r="A803" t="s">
        <v>1240</v>
      </c>
      <c r="B803" t="str">
        <f t="shared" si="27"/>
        <v>&lt;prefix&gt;_&lt;mm&gt;_22_&lt;yy&gt;_&lt;ar&gt;AUR History Stats (Seconds)</v>
      </c>
      <c r="D803" s="12"/>
    </row>
    <row r="804" spans="1:4" x14ac:dyDescent="0.25">
      <c r="A804" t="s">
        <v>1241</v>
      </c>
      <c r="B804" t="str">
        <f t="shared" si="27"/>
        <v>&lt;prefix&gt;_&lt;mm&gt;_22_&lt;yy&gt;_&lt;ar&gt;AUR History Summary</v>
      </c>
      <c r="D804" s="12"/>
    </row>
    <row r="805" spans="1:4" x14ac:dyDescent="0.25">
      <c r="A805" t="s">
        <v>1242</v>
      </c>
      <c r="B805" t="str">
        <f t="shared" si="27"/>
        <v>&lt;prefix&gt;_&lt;mm&gt;_22_&lt;yy&gt;_&lt;ar&gt;AUR History Summary by Day</v>
      </c>
      <c r="D805" s="12"/>
    </row>
    <row r="806" spans="1:4" x14ac:dyDescent="0.25">
      <c r="A806" t="s">
        <v>232</v>
      </c>
      <c r="B806" t="str">
        <f t="shared" si="27"/>
        <v>&lt;prefix&gt;_&lt;mm&gt;_22_&lt;yy&gt;_&lt;ar&gt;BAN Error Report</v>
      </c>
      <c r="D806" s="12"/>
    </row>
    <row r="807" spans="1:4" x14ac:dyDescent="0.25">
      <c r="A807" t="s">
        <v>1243</v>
      </c>
      <c r="B807" t="str">
        <f t="shared" si="27"/>
        <v>&lt;prefix&gt;_&lt;mm&gt;_22_&lt;yy&gt;_&lt;ar&gt;Billed Minutes by Inter/Intra State</v>
      </c>
      <c r="D807" s="12"/>
    </row>
    <row r="808" spans="1:4" x14ac:dyDescent="0.25">
      <c r="A808" t="s">
        <v>1244</v>
      </c>
      <c r="B808" t="str">
        <f t="shared" si="27"/>
        <v>&lt;prefix&gt;_&lt;mm&gt;_22_&lt;yy&gt;_&lt;ar&gt;Billed Minutes by Inter-Intra State</v>
      </c>
      <c r="D808" s="12"/>
    </row>
    <row r="809" spans="1:4" x14ac:dyDescent="0.25">
      <c r="A809" t="s">
        <v>1245</v>
      </c>
      <c r="B809" t="str">
        <f t="shared" si="27"/>
        <v>&lt;prefix&gt;_&lt;mm&gt;_22_&lt;yy&gt;_&lt;ar&gt;Billed Minutes by Jurisdiction</v>
      </c>
      <c r="D809" s="12"/>
    </row>
    <row r="810" spans="1:4" x14ac:dyDescent="0.25">
      <c r="A810" t="s">
        <v>1246</v>
      </c>
      <c r="B810" t="str">
        <f t="shared" si="27"/>
        <v>&lt;prefix&gt;_&lt;mm&gt;_22_&lt;yy&gt;_&lt;ar&gt;Billed minutes by Quarter by Inter/Intra State</v>
      </c>
      <c r="D810" s="12"/>
    </row>
    <row r="811" spans="1:4" x14ac:dyDescent="0.25">
      <c r="A811" t="s">
        <v>1247</v>
      </c>
      <c r="B811" t="str">
        <f t="shared" si="27"/>
        <v>&lt;prefix&gt;_&lt;mm&gt;_22_&lt;yy&gt;_&lt;ar&gt;Billed minutes by Quarter by Inter-Intra State</v>
      </c>
      <c r="D811" s="12"/>
    </row>
    <row r="812" spans="1:4" x14ac:dyDescent="0.25">
      <c r="A812" t="s">
        <v>1248</v>
      </c>
      <c r="B812" t="str">
        <f t="shared" si="27"/>
        <v>&lt;prefix&gt;_&lt;mm&gt;_22_&lt;yy&gt;_&lt;ar&gt;Billed Minutes by Quarter by Jurisdiction</v>
      </c>
      <c r="D812" s="12"/>
    </row>
    <row r="813" spans="1:4" x14ac:dyDescent="0.25">
      <c r="A813" t="s">
        <v>1249</v>
      </c>
      <c r="B813" t="str">
        <f t="shared" si="27"/>
        <v>&lt;prefix&gt;_&lt;mm&gt;_22_&lt;yy&gt;_&lt;ar&gt;Billed Msg MOU Rev by BAN by Jurisdiction</v>
      </c>
      <c r="D813" s="12"/>
    </row>
    <row r="814" spans="1:4" x14ac:dyDescent="0.25">
      <c r="A814" t="s">
        <v>51</v>
      </c>
      <c r="B814" t="str">
        <f t="shared" si="27"/>
        <v>&lt;prefix&gt;_&lt;mm&gt;_22_&lt;yy&gt;_&lt;ar&gt;Billed Msg MOU Rev by CLLI by EMR Jurisdiction</v>
      </c>
      <c r="D814" s="12"/>
    </row>
    <row r="815" spans="1:4" x14ac:dyDescent="0.25">
      <c r="A815" t="s">
        <v>1250</v>
      </c>
      <c r="B815" t="str">
        <f t="shared" si="27"/>
        <v>&lt;prefix&gt;_&lt;mm&gt;_22_&lt;yy&gt;_&lt;ar&gt;Billed Msg MOU Rev by CLLI by Jurisdiction</v>
      </c>
      <c r="D815" s="12"/>
    </row>
    <row r="816" spans="1:4" x14ac:dyDescent="0.25">
      <c r="A816" t="s">
        <v>1351</v>
      </c>
      <c r="B816" t="str">
        <f t="shared" si="27"/>
        <v>&lt;prefix&gt;_&lt;mm&gt;_22_&lt;yy&gt;_&lt;ar&gt;BNDTLV5_Reports_Table</v>
      </c>
      <c r="D816" s="12"/>
    </row>
    <row r="817" spans="1:4" x14ac:dyDescent="0.25">
      <c r="A817" t="s">
        <v>1352</v>
      </c>
      <c r="B817" t="str">
        <f t="shared" si="27"/>
        <v>&lt;prefix&gt;_&lt;mm&gt;_22_&lt;yy&gt;_&lt;ar&gt;BNDTLV5_Rpt_Argmnt</v>
      </c>
      <c r="D817" s="12"/>
    </row>
    <row r="818" spans="1:4" x14ac:dyDescent="0.25">
      <c r="A818" t="s">
        <v>239</v>
      </c>
      <c r="B818" t="str">
        <f t="shared" si="27"/>
        <v>&lt;prefix&gt;_&lt;mm&gt;_22_&lt;yy&gt;_&lt;ar&gt;CLLI Error Report</v>
      </c>
      <c r="D818" s="12"/>
    </row>
    <row r="819" spans="1:4" x14ac:dyDescent="0.25">
      <c r="A819" t="s">
        <v>1251</v>
      </c>
      <c r="B819" t="str">
        <f t="shared" si="27"/>
        <v>&lt;prefix&gt;_&lt;mm&gt;_22_&lt;yy&gt;_&lt;ar&gt;CLNT aur_usage_by_day_co_v3</v>
      </c>
      <c r="D819" s="12"/>
    </row>
    <row r="820" spans="1:4" x14ac:dyDescent="0.25">
      <c r="A820" t="s">
        <v>1252</v>
      </c>
      <c r="B820" t="str">
        <f t="shared" si="27"/>
        <v>&lt;prefix&gt;_&lt;mm&gt;_22_&lt;yy&gt;_&lt;ar&gt;CLNT billed_by_period_for_exp_4_v2</v>
      </c>
      <c r="D820" s="12"/>
    </row>
    <row r="821" spans="1:4" x14ac:dyDescent="0.25">
      <c r="A821" t="s">
        <v>1253</v>
      </c>
      <c r="B821" t="str">
        <f t="shared" si="27"/>
        <v>&lt;prefix&gt;_&lt;mm&gt;_22_&lt;yy&gt;_&lt;ar&gt;CLNT cbeyond_m_m_r_to_export_v2</v>
      </c>
      <c r="D821" s="12"/>
    </row>
    <row r="822" spans="1:4" x14ac:dyDescent="0.25">
      <c r="A822" t="s">
        <v>1254</v>
      </c>
      <c r="B822" t="str">
        <f t="shared" ref="B822:B853" si="28">"&lt;prefix&gt;_&lt;mm&gt;_22_&lt;yy&gt;_&lt;ar&gt;"&amp;A822</f>
        <v>&lt;prefix&gt;_&lt;mm&gt;_22_&lt;yy&gt;_&lt;ar&gt;CLNT ckt_billed_live_disco_v1</v>
      </c>
      <c r="D822" s="12"/>
    </row>
    <row r="823" spans="1:4" x14ac:dyDescent="0.25">
      <c r="A823" t="s">
        <v>1255</v>
      </c>
      <c r="B823" t="str">
        <f t="shared" si="28"/>
        <v>&lt;prefix&gt;_&lt;mm&gt;_22_&lt;yy&gt;_&lt;ar&gt;CLNT gl_trans_from_adjustments_ban_v3</v>
      </c>
      <c r="D823" s="12"/>
    </row>
    <row r="824" spans="1:4" x14ac:dyDescent="0.25">
      <c r="A824" t="s">
        <v>1256</v>
      </c>
      <c r="B824" t="str">
        <f t="shared" si="28"/>
        <v>&lt;prefix&gt;_&lt;mm&gt;_22_&lt;yy&gt;_&lt;ar&gt;CLNT gl_trans_from_occ_ban_v3</v>
      </c>
      <c r="D824" s="12"/>
    </row>
    <row r="825" spans="1:4" x14ac:dyDescent="0.25">
      <c r="A825" t="s">
        <v>1257</v>
      </c>
      <c r="B825" t="str">
        <f t="shared" si="28"/>
        <v>&lt;prefix&gt;_&lt;mm&gt;_22_&lt;yy&gt;_&lt;ar&gt;CLNT invoice_balances_by_jur_w_lpc_v2</v>
      </c>
      <c r="D825" s="12"/>
    </row>
    <row r="826" spans="1:4" x14ac:dyDescent="0.25">
      <c r="A826" t="s">
        <v>53</v>
      </c>
      <c r="B826" t="str">
        <f t="shared" si="28"/>
        <v>&lt;prefix&gt;_&lt;mm&gt;_22_&lt;yy&gt;_&lt;ar&gt;CLNT ly_invoice_balances_by_jur_cic</v>
      </c>
      <c r="D826" s="12"/>
    </row>
    <row r="827" spans="1:4" x14ac:dyDescent="0.25">
      <c r="A827" t="s">
        <v>55</v>
      </c>
      <c r="B827" t="str">
        <f t="shared" si="28"/>
        <v>&lt;prefix&gt;_&lt;mm&gt;_22_&lt;yy&gt;_&lt;ar&gt;CLNT nt_ckt_billed_live_disco_v2</v>
      </c>
      <c r="D827" s="12"/>
    </row>
    <row r="828" spans="1:4" x14ac:dyDescent="0.25">
      <c r="A828" t="s">
        <v>1258</v>
      </c>
      <c r="B828" t="str">
        <f t="shared" si="28"/>
        <v>&lt;prefix&gt;_&lt;mm&gt;_22_&lt;yy&gt;_&lt;ar&gt;CLNT nt_fa_acctg_detail_rpt_v1</v>
      </c>
      <c r="D828" s="12"/>
    </row>
    <row r="829" spans="1:4" x14ac:dyDescent="0.25">
      <c r="A829" t="s">
        <v>1259</v>
      </c>
      <c r="B829" t="str">
        <f t="shared" si="28"/>
        <v>&lt;prefix&gt;_&lt;mm&gt;_22_&lt;yy&gt;_&lt;ar&gt;CLNT nt_fa_acctg_rpt_v1</v>
      </c>
      <c r="D829" s="12"/>
    </row>
    <row r="830" spans="1:4" x14ac:dyDescent="0.25">
      <c r="A830" t="s">
        <v>1260</v>
      </c>
      <c r="B830" t="str">
        <f t="shared" si="28"/>
        <v>&lt;prefix&gt;_&lt;mm&gt;_22_&lt;yy&gt;_&lt;ar&gt;CLNT nt_m_m_r_p_to_export_v1</v>
      </c>
      <c r="D830" s="12"/>
    </row>
    <row r="831" spans="1:4" x14ac:dyDescent="0.25">
      <c r="A831" t="s">
        <v>1261</v>
      </c>
      <c r="B831" t="str">
        <f t="shared" si="28"/>
        <v>&lt;prefix&gt;_&lt;mm&gt;_22_&lt;yy&gt;_&lt;ar&gt;CLNT nt_m_m_r_to_export_v1</v>
      </c>
      <c r="D831" s="12"/>
    </row>
    <row r="832" spans="1:4" x14ac:dyDescent="0.25">
      <c r="A832" t="s">
        <v>1262</v>
      </c>
      <c r="B832" t="str">
        <f t="shared" si="28"/>
        <v>&lt;prefix&gt;_&lt;mm&gt;_22_&lt;yy&gt;_&lt;ar&gt;CLNT nt_rev_analysis_clli_2</v>
      </c>
      <c r="D832" s="12"/>
    </row>
    <row r="833" spans="1:4" x14ac:dyDescent="0.25">
      <c r="A833" t="s">
        <v>1263</v>
      </c>
      <c r="B833" t="str">
        <f t="shared" si="28"/>
        <v>&lt;prefix&gt;_&lt;mm&gt;_22_&lt;yy&gt;_&lt;ar&gt;CLNT payment_by_date8_v2</v>
      </c>
      <c r="D833" s="12"/>
    </row>
    <row r="834" spans="1:4" x14ac:dyDescent="0.25">
      <c r="A834" t="s">
        <v>1264</v>
      </c>
      <c r="B834" t="str">
        <f t="shared" si="28"/>
        <v>&lt;prefix&gt;_&lt;mm&gt;_22_&lt;yy&gt;_&lt;ar&gt;CLNT r_aged_trial_bal_1v3</v>
      </c>
      <c r="D834" s="12"/>
    </row>
    <row r="835" spans="1:4" x14ac:dyDescent="0.25">
      <c r="A835" t="s">
        <v>1265</v>
      </c>
      <c r="B835" t="str">
        <f t="shared" si="28"/>
        <v>&lt;prefix&gt;_&lt;mm&gt;_22_&lt;yy&gt;_&lt;ar&gt;CLNT r_aged_trial_bal_for_export_v2</v>
      </c>
      <c r="D835" s="12"/>
    </row>
    <row r="836" spans="1:4" x14ac:dyDescent="0.25">
      <c r="A836" t="s">
        <v>1266</v>
      </c>
      <c r="B836" t="str">
        <f t="shared" si="28"/>
        <v>&lt;prefix&gt;_&lt;mm&gt;_22_&lt;yy&gt;_&lt;ar&gt;CLNT r_sce_3_v3_2</v>
      </c>
      <c r="D836" s="12"/>
    </row>
    <row r="837" spans="1:4" x14ac:dyDescent="0.25">
      <c r="A837" t="s">
        <v>1267</v>
      </c>
      <c r="B837" t="str">
        <f t="shared" si="28"/>
        <v>&lt;prefix&gt;_&lt;mm&gt;_22_&lt;yy&gt;_&lt;ar&gt;CLNT r_transaction_summary_bills_v2</v>
      </c>
      <c r="D837" s="12"/>
    </row>
    <row r="838" spans="1:4" x14ac:dyDescent="0.25">
      <c r="A838" t="s">
        <v>1268</v>
      </c>
      <c r="B838" t="str">
        <f t="shared" si="28"/>
        <v>&lt;prefix&gt;_&lt;mm&gt;_22_&lt;yy&gt;_&lt;ar&gt;CLNT sw_invoice_trending_v6</v>
      </c>
      <c r="D838" s="12"/>
    </row>
    <row r="839" spans="1:4" x14ac:dyDescent="0.25">
      <c r="A839" t="s">
        <v>1269</v>
      </c>
      <c r="B839" t="str">
        <f t="shared" si="28"/>
        <v>&lt;prefix&gt;_&lt;mm&gt;_22_&lt;yy&gt;_&lt;ar&gt;Company Master Report</v>
      </c>
      <c r="D839" s="12"/>
    </row>
    <row r="840" spans="1:4" x14ac:dyDescent="0.25">
      <c r="A840" t="s">
        <v>1347</v>
      </c>
      <c r="B840" t="str">
        <f t="shared" si="28"/>
        <v>&lt;prefix&gt;_&lt;mm&gt;_22_&lt;yy&gt;_&lt;ar&gt;Customer BAN Info 4 v3</v>
      </c>
      <c r="D840" s="12"/>
    </row>
    <row r="841" spans="1:4" x14ac:dyDescent="0.25">
      <c r="A841" t="s">
        <v>1271</v>
      </c>
      <c r="B841" t="str">
        <f t="shared" si="28"/>
        <v>&lt;prefix&gt;_&lt;mm&gt;_22_&lt;yy&gt;_&lt;ar&gt;Dispute amounts by type by month</v>
      </c>
      <c r="D841" s="12"/>
    </row>
    <row r="842" spans="1:4" x14ac:dyDescent="0.25">
      <c r="A842" t="s">
        <v>1272</v>
      </c>
      <c r="B842" t="str">
        <f t="shared" si="28"/>
        <v>&lt;prefix&gt;_&lt;mm&gt;_22_&lt;yy&gt;_&lt;ar&gt;Dispute amounts by type by month by carrier</v>
      </c>
      <c r="D842" s="12"/>
    </row>
    <row r="843" spans="1:4" x14ac:dyDescent="0.25">
      <c r="A843" t="s">
        <v>1273</v>
      </c>
      <c r="B843" t="str">
        <f t="shared" si="28"/>
        <v>&lt;prefix&gt;_&lt;mm&gt;_22_&lt;yy&gt;_&lt;ar&gt;Dispute amounts by type by quarter</v>
      </c>
      <c r="D843" s="12"/>
    </row>
    <row r="844" spans="1:4" x14ac:dyDescent="0.25">
      <c r="A844" t="s">
        <v>1274</v>
      </c>
      <c r="B844" t="str">
        <f t="shared" si="28"/>
        <v>&lt;prefix&gt;_&lt;mm&gt;_22_&lt;yy&gt;_&lt;ar&gt;Dispute amounts by type by quarter by carrier</v>
      </c>
      <c r="D844" s="12"/>
    </row>
    <row r="845" spans="1:4" x14ac:dyDescent="0.25">
      <c r="A845" t="s">
        <v>1275</v>
      </c>
      <c r="B845" t="str">
        <f t="shared" si="28"/>
        <v>&lt;prefix&gt;_&lt;mm&gt;_22_&lt;yy&gt;_&lt;ar&gt;Dispute amounts/carrier/month for a given year</v>
      </c>
      <c r="D845" s="12"/>
    </row>
    <row r="846" spans="1:4" x14ac:dyDescent="0.25">
      <c r="A846" t="s">
        <v>1276</v>
      </c>
      <c r="B846" t="str">
        <f t="shared" si="28"/>
        <v>&lt;prefix&gt;_&lt;mm&gt;_22_&lt;yy&gt;_&lt;ar&gt;Dispute amounts/carrier/qtr for a given year</v>
      </c>
      <c r="D846" s="12"/>
    </row>
    <row r="847" spans="1:4" x14ac:dyDescent="0.25">
      <c r="A847" t="s">
        <v>1277</v>
      </c>
      <c r="B847" t="str">
        <f t="shared" si="28"/>
        <v>&lt;prefix&gt;_&lt;mm&gt;_22_&lt;yy&gt;_&lt;ar&gt;Dispute amounts-carrier-month for a given year</v>
      </c>
      <c r="D847" s="12"/>
    </row>
    <row r="848" spans="1:4" x14ac:dyDescent="0.25">
      <c r="A848" t="s">
        <v>1278</v>
      </c>
      <c r="B848" t="str">
        <f t="shared" si="28"/>
        <v>&lt;prefix&gt;_&lt;mm&gt;_22_&lt;yy&gt;_&lt;ar&gt;Dispute amounts-carrier-qtr for a given year</v>
      </c>
      <c r="D848" s="12"/>
    </row>
    <row r="849" spans="1:4" x14ac:dyDescent="0.25">
      <c r="A849" t="s">
        <v>1279</v>
      </c>
      <c r="B849" t="str">
        <f t="shared" si="28"/>
        <v>&lt;prefix&gt;_&lt;mm&gt;_22_&lt;yy&gt;_&lt;ar&gt;EC1050 Report</v>
      </c>
      <c r="D849" s="12"/>
    </row>
    <row r="850" spans="1:4" x14ac:dyDescent="0.25">
      <c r="A850" t="s">
        <v>70</v>
      </c>
      <c r="B850" t="str">
        <f t="shared" si="28"/>
        <v>&lt;prefix&gt;_&lt;mm&gt;_22_&lt;yy&gt;_&lt;ar&gt;FA Charges Summary</v>
      </c>
      <c r="D850" s="12"/>
    </row>
    <row r="851" spans="1:4" x14ac:dyDescent="0.25">
      <c r="A851" t="s">
        <v>71</v>
      </c>
      <c r="B851" t="str">
        <f t="shared" si="28"/>
        <v>&lt;prefix&gt;_&lt;mm&gt;_22_&lt;yy&gt;_&lt;ar&gt;FA Circuit Charges by CIC by CLLI</v>
      </c>
      <c r="D851" s="12"/>
    </row>
    <row r="852" spans="1:4" x14ac:dyDescent="0.25">
      <c r="A852" t="s">
        <v>69</v>
      </c>
      <c r="B852" t="str">
        <f t="shared" si="28"/>
        <v>&lt;prefix&gt;_&lt;mm&gt;_22_&lt;yy&gt;_&lt;ar&gt;Facility BANS Trending Report</v>
      </c>
      <c r="D852" s="12"/>
    </row>
    <row r="853" spans="1:4" x14ac:dyDescent="0.25">
      <c r="A853" t="s">
        <v>363</v>
      </c>
      <c r="B853" t="str">
        <f t="shared" si="28"/>
        <v>&lt;prefix&gt;_&lt;mm&gt;_22_&lt;yy&gt;_&lt;ar&gt;Factor Check Report</v>
      </c>
      <c r="D853" s="12"/>
    </row>
    <row r="854" spans="1:4" x14ac:dyDescent="0.25">
      <c r="A854" t="s">
        <v>1353</v>
      </c>
      <c r="B854" t="str">
        <f t="shared" ref="B854:B885" si="29">"&lt;prefix&gt;_&lt;mm&gt;_22_&lt;yy&gt;_&lt;ar&gt;"&amp;A854</f>
        <v>&lt;prefix&gt;_&lt;mm&gt;_22_&lt;yy&gt;_&lt;ar&gt;Fulfillment BAN List Report</v>
      </c>
      <c r="D854" s="12"/>
    </row>
    <row r="855" spans="1:4" x14ac:dyDescent="0.25">
      <c r="A855" t="s">
        <v>78</v>
      </c>
      <c r="B855" t="str">
        <f t="shared" si="29"/>
        <v>&lt;prefix&gt;_&lt;mm&gt;_22_&lt;yy&gt;_&lt;ar&gt;Fulfillment Report</v>
      </c>
      <c r="D855" s="12"/>
    </row>
    <row r="856" spans="1:4" x14ac:dyDescent="0.25">
      <c r="A856" t="s">
        <v>1281</v>
      </c>
      <c r="B856" t="str">
        <f t="shared" si="29"/>
        <v>&lt;prefix&gt;_&lt;mm&gt;_22_&lt;yy&gt;_&lt;ar&gt;Graph - Disputed Amounts by Carrier</v>
      </c>
      <c r="D856" s="12"/>
    </row>
    <row r="857" spans="1:4" x14ac:dyDescent="0.25">
      <c r="A857" t="s">
        <v>1282</v>
      </c>
      <c r="B857" t="str">
        <f t="shared" si="29"/>
        <v>&lt;prefix&gt;_&lt;mm&gt;_22_&lt;yy&gt;_&lt;ar&gt;Graph - Disputed Amounts by Carrier by Date</v>
      </c>
      <c r="D857" s="12"/>
    </row>
    <row r="858" spans="1:4" x14ac:dyDescent="0.25">
      <c r="A858" t="s">
        <v>1283</v>
      </c>
      <c r="B858" t="str">
        <f t="shared" si="29"/>
        <v>&lt;prefix&gt;_&lt;mm&gt;_22_&lt;yy&gt;_&lt;ar&gt;Graph - Disputed Amounts by dispute types</v>
      </c>
      <c r="D858" s="12"/>
    </row>
    <row r="859" spans="1:4" x14ac:dyDescent="0.25">
      <c r="A859" t="s">
        <v>1284</v>
      </c>
      <c r="B859" t="str">
        <f t="shared" si="29"/>
        <v>&lt;prefix&gt;_&lt;mm&gt;_22_&lt;yy&gt;_&lt;ar&gt;Graph - Disputed Amounts vs Resolutions</v>
      </c>
      <c r="D859" s="12"/>
    </row>
    <row r="860" spans="1:4" x14ac:dyDescent="0.25">
      <c r="A860" t="s">
        <v>1285</v>
      </c>
      <c r="B860" t="str">
        <f t="shared" si="29"/>
        <v>&lt;prefix&gt;_&lt;mm&gt;_22_&lt;yy&gt;_&lt;ar&gt;Graph - No. of Disputes by Carrier</v>
      </c>
      <c r="D860" s="12"/>
    </row>
    <row r="861" spans="1:4" x14ac:dyDescent="0.25">
      <c r="A861" t="s">
        <v>1286</v>
      </c>
      <c r="B861" t="str">
        <f t="shared" si="29"/>
        <v>&lt;prefix&gt;_&lt;mm&gt;_22_&lt;yy&gt;_&lt;ar&gt;Graph - No. of Disputes by Carrier by Date</v>
      </c>
      <c r="D861" s="12"/>
    </row>
    <row r="862" spans="1:4" x14ac:dyDescent="0.25">
      <c r="A862" t="s">
        <v>1348</v>
      </c>
      <c r="B862" t="str">
        <f t="shared" si="29"/>
        <v>&lt;prefix&gt;_&lt;mm&gt;_22_&lt;yy&gt;_&lt;ar&gt;Invoice AR Info Report</v>
      </c>
      <c r="D862" s="12"/>
    </row>
    <row r="863" spans="1:4" x14ac:dyDescent="0.25">
      <c r="A863" t="s">
        <v>1289</v>
      </c>
      <c r="B863" t="str">
        <f t="shared" si="29"/>
        <v>&lt;prefix&gt;_&lt;mm&gt;_22_&lt;yy&gt;_&lt;ar&gt;Message Record Analysis</v>
      </c>
      <c r="D863" s="12"/>
    </row>
    <row r="864" spans="1:4" x14ac:dyDescent="0.25">
      <c r="A864" t="s">
        <v>1290</v>
      </c>
      <c r="B864" t="str">
        <f t="shared" si="29"/>
        <v>&lt;prefix&gt;_&lt;mm&gt;_22_&lt;yy&gt;_&lt;ar&gt;Messages and minutes billed by FG,CIC</v>
      </c>
      <c r="D864" s="12"/>
    </row>
    <row r="865" spans="1:4" x14ac:dyDescent="0.25">
      <c r="A865" t="s">
        <v>1291</v>
      </c>
      <c r="B865" t="str">
        <f t="shared" si="29"/>
        <v>&lt;prefix&gt;_&lt;mm&gt;_22_&lt;yy&gt;_&lt;ar&gt;Messages and minutes billed by FG,CIC(Local separa</v>
      </c>
      <c r="D865" s="12"/>
    </row>
    <row r="866" spans="1:4" x14ac:dyDescent="0.25">
      <c r="A866" t="s">
        <v>1292</v>
      </c>
      <c r="B866" t="str">
        <f t="shared" si="29"/>
        <v>&lt;prefix&gt;_&lt;mm&gt;_22_&lt;yy&gt;_&lt;ar&gt;Minutes</v>
      </c>
      <c r="D866" s="12"/>
    </row>
    <row r="867" spans="1:4" x14ac:dyDescent="0.25">
      <c r="A867" t="s">
        <v>92</v>
      </c>
      <c r="B867" t="str">
        <f t="shared" si="29"/>
        <v>&lt;prefix&gt;_&lt;mm&gt;_22_&lt;yy&gt;_&lt;ar&gt;Minutes and revenue billed by rate element</v>
      </c>
      <c r="D867" s="12"/>
    </row>
    <row r="868" spans="1:4" x14ac:dyDescent="0.25">
      <c r="A868" t="s">
        <v>1293</v>
      </c>
      <c r="B868" t="str">
        <f t="shared" si="29"/>
        <v>&lt;prefix&gt;_&lt;mm&gt;_22_&lt;yy&gt;_&lt;ar&gt;Minutes billed by BAN, Orig- Term Inter-Intra Stat</v>
      </c>
      <c r="D868" s="12"/>
    </row>
    <row r="869" spans="1:4" x14ac:dyDescent="0.25">
      <c r="A869" t="s">
        <v>1294</v>
      </c>
      <c r="B869" t="str">
        <f t="shared" si="29"/>
        <v>&lt;prefix&gt;_&lt;mm&gt;_22_&lt;yy&gt;_&lt;ar&gt;Minutes billed by BAN, Orig/ Term Inter/Intra Stat</v>
      </c>
      <c r="D869" s="12"/>
    </row>
    <row r="870" spans="1:4" x14ac:dyDescent="0.25">
      <c r="A870" t="s">
        <v>100</v>
      </c>
      <c r="B870" t="str">
        <f t="shared" si="29"/>
        <v>&lt;prefix&gt;_&lt;mm&gt;_22_&lt;yy&gt;_&lt;ar&gt;NECA AS1000</v>
      </c>
      <c r="D870" s="12"/>
    </row>
    <row r="871" spans="1:4" x14ac:dyDescent="0.25">
      <c r="A871" t="s">
        <v>101</v>
      </c>
      <c r="B871" t="str">
        <f t="shared" si="29"/>
        <v>&lt;prefix&gt;_&lt;mm&gt;_22_&lt;yy&gt;_&lt;ar&gt;NECA EC1050</v>
      </c>
      <c r="D871" s="12"/>
    </row>
    <row r="872" spans="1:4" x14ac:dyDescent="0.25">
      <c r="A872" t="s">
        <v>1297</v>
      </c>
      <c r="B872" t="str">
        <f t="shared" si="29"/>
        <v>&lt;prefix&gt;_&lt;mm&gt;_22_&lt;yy&gt;_&lt;ar&gt;Non FA Rate Element as Billed Table Report</v>
      </c>
      <c r="D872" s="12"/>
    </row>
    <row r="873" spans="1:4" x14ac:dyDescent="0.25">
      <c r="A873" t="s">
        <v>105</v>
      </c>
      <c r="B873" t="str">
        <f t="shared" si="29"/>
        <v>&lt;prefix&gt;_&lt;mm&gt;_22_&lt;yy&gt;_&lt;ar&gt;OC&amp;C Report</v>
      </c>
      <c r="D873" s="12"/>
    </row>
    <row r="874" spans="1:4" x14ac:dyDescent="0.25">
      <c r="A874" t="s">
        <v>1298</v>
      </c>
      <c r="B874" t="str">
        <f t="shared" si="29"/>
        <v>&lt;prefix&gt;_&lt;mm&gt;_22_&lt;yy&gt;_&lt;ar&gt;OCC Detail Report - Posted</v>
      </c>
      <c r="D874" s="12"/>
    </row>
    <row r="875" spans="1:4" x14ac:dyDescent="0.25">
      <c r="A875" t="s">
        <v>1299</v>
      </c>
      <c r="B875" t="str">
        <f t="shared" si="29"/>
        <v>&lt;prefix&gt;_&lt;mm&gt;_22_&lt;yy&gt;_&lt;ar&gt;OCC Detail Report - Unposted</v>
      </c>
      <c r="D875" s="12"/>
    </row>
    <row r="876" spans="1:4" x14ac:dyDescent="0.25">
      <c r="A876" t="s">
        <v>1300</v>
      </c>
      <c r="B876" t="str">
        <f t="shared" si="29"/>
        <v>&lt;prefix&gt;_&lt;mm&gt;_22_&lt;yy&gt;_&lt;ar&gt;Partially Paid Invoices</v>
      </c>
      <c r="D876" s="12"/>
    </row>
    <row r="877" spans="1:4" x14ac:dyDescent="0.25">
      <c r="A877" t="s">
        <v>1301</v>
      </c>
      <c r="B877" t="str">
        <f t="shared" si="29"/>
        <v>&lt;prefix&gt;_&lt;mm&gt;_22_&lt;yy&gt;_&lt;ar&gt;Payment Details by Check</v>
      </c>
      <c r="D877" s="12"/>
    </row>
    <row r="878" spans="1:4" x14ac:dyDescent="0.25">
      <c r="A878" t="s">
        <v>1302</v>
      </c>
      <c r="B878" t="str">
        <f t="shared" si="29"/>
        <v>&lt;prefix&gt;_&lt;mm&gt;_22_&lt;yy&gt;_&lt;ar&gt;Payments by Payer by BAN</v>
      </c>
      <c r="D878" s="12"/>
    </row>
    <row r="879" spans="1:4" x14ac:dyDescent="0.25">
      <c r="A879" t="s">
        <v>1303</v>
      </c>
      <c r="B879" t="str">
        <f t="shared" si="29"/>
        <v>&lt;prefix&gt;_&lt;mm&gt;_22_&lt;yy&gt;_&lt;ar&gt;Payments Not on Bill</v>
      </c>
      <c r="D879" s="12"/>
    </row>
    <row r="880" spans="1:4" x14ac:dyDescent="0.25">
      <c r="A880" t="s">
        <v>1304</v>
      </c>
      <c r="B880" t="str">
        <f t="shared" si="29"/>
        <v>&lt;prefix&gt;_&lt;mm&gt;_22_&lt;yy&gt;_&lt;ar&gt;Percent of disputes/billed per month/year</v>
      </c>
      <c r="D880" s="12"/>
    </row>
    <row r="881" spans="1:4" x14ac:dyDescent="0.25">
      <c r="A881" t="s">
        <v>1305</v>
      </c>
      <c r="B881" t="str">
        <f t="shared" si="29"/>
        <v>&lt;prefix&gt;_&lt;mm&gt;_22_&lt;yy&gt;_&lt;ar&gt;Percent of disputes/billed per qtr/year</v>
      </c>
      <c r="D881" s="12"/>
    </row>
    <row r="882" spans="1:4" x14ac:dyDescent="0.25">
      <c r="A882" t="s">
        <v>1306</v>
      </c>
      <c r="B882" t="str">
        <f t="shared" si="29"/>
        <v>&lt;prefix&gt;_&lt;mm&gt;_22_&lt;yy&gt;_&lt;ar&gt;Percent of disputes-billed per month-year</v>
      </c>
      <c r="D882" s="12"/>
    </row>
    <row r="883" spans="1:4" x14ac:dyDescent="0.25">
      <c r="A883" t="s">
        <v>1307</v>
      </c>
      <c r="B883" t="str">
        <f t="shared" si="29"/>
        <v>&lt;prefix&gt;_&lt;mm&gt;_22_&lt;yy&gt;_&lt;ar&gt;Percent of disputes-billed per qtr-year</v>
      </c>
      <c r="D883" s="12"/>
    </row>
    <row r="884" spans="1:4" x14ac:dyDescent="0.25">
      <c r="A884" t="s">
        <v>1308</v>
      </c>
      <c r="B884" t="str">
        <f t="shared" si="29"/>
        <v>&lt;prefix&gt;_&lt;mm&gt;_22_&lt;yy&gt;_&lt;ar&gt;Post billing rate change adj. calc. - FA</v>
      </c>
      <c r="D884" s="12"/>
    </row>
    <row r="885" spans="1:4" x14ac:dyDescent="0.25">
      <c r="A885" t="s">
        <v>1309</v>
      </c>
      <c r="B885" t="str">
        <f t="shared" si="29"/>
        <v>&lt;prefix&gt;_&lt;mm&gt;_22_&lt;yy&gt;_&lt;ar&gt;Post billing rate change adj. calc. - SW</v>
      </c>
      <c r="D885" s="12"/>
    </row>
    <row r="886" spans="1:4" x14ac:dyDescent="0.25">
      <c r="A886" t="s">
        <v>1310</v>
      </c>
      <c r="B886" t="str">
        <f t="shared" ref="B886:B917" si="30">"&lt;prefix&gt;_&lt;mm&gt;_22_&lt;yy&gt;_&lt;ar&gt;"&amp;A886</f>
        <v>&lt;prefix&gt;_&lt;mm&gt;_22_&lt;yy&gt;_&lt;ar&gt;Rate Element Table Report</v>
      </c>
      <c r="D886" s="12"/>
    </row>
    <row r="887" spans="1:4" x14ac:dyDescent="0.25">
      <c r="A887" t="s">
        <v>1311</v>
      </c>
      <c r="B887" t="str">
        <f t="shared" si="30"/>
        <v>&lt;prefix&gt;_&lt;mm&gt;_22_&lt;yy&gt;_&lt;ar&gt;Reconciliation of account balance over time</v>
      </c>
      <c r="D887" s="12"/>
    </row>
    <row r="888" spans="1:4" x14ac:dyDescent="0.25">
      <c r="A888" t="s">
        <v>1312</v>
      </c>
      <c r="B888" t="str">
        <f t="shared" si="30"/>
        <v>&lt;prefix&gt;_&lt;mm&gt;_22_&lt;yy&gt;_&lt;ar&gt;Resolved Disputes by carrier</v>
      </c>
      <c r="D888" s="12"/>
    </row>
    <row r="889" spans="1:4" x14ac:dyDescent="0.25">
      <c r="A889" t="s">
        <v>1313</v>
      </c>
      <c r="B889" t="str">
        <f t="shared" si="30"/>
        <v>&lt;prefix&gt;_&lt;mm&gt;_22_&lt;yy&gt;_&lt;ar&gt;Revenue</v>
      </c>
      <c r="D889" s="12"/>
    </row>
    <row r="890" spans="1:4" x14ac:dyDescent="0.25">
      <c r="A890" t="s">
        <v>1314</v>
      </c>
      <c r="B890" t="str">
        <f t="shared" si="30"/>
        <v>&lt;prefix&gt;_&lt;mm&gt;_22_&lt;yy&gt;_&lt;ar&gt;Revenue billed by BAN, Inter/Intra State</v>
      </c>
      <c r="D890" s="12"/>
    </row>
    <row r="891" spans="1:4" x14ac:dyDescent="0.25">
      <c r="A891" t="s">
        <v>1315</v>
      </c>
      <c r="B891" t="str">
        <f t="shared" si="30"/>
        <v>&lt;prefix&gt;_&lt;mm&gt;_22_&lt;yy&gt;_&lt;ar&gt;Revenue billed by BAN, Inter-Intra State</v>
      </c>
      <c r="D891" s="12"/>
    </row>
    <row r="892" spans="1:4" x14ac:dyDescent="0.25">
      <c r="A892" t="s">
        <v>1316</v>
      </c>
      <c r="B892" t="str">
        <f t="shared" si="30"/>
        <v>&lt;prefix&gt;_&lt;mm&gt;_22_&lt;yy&gt;_&lt;ar&gt;Security Report by User</v>
      </c>
      <c r="D892" s="12"/>
    </row>
    <row r="893" spans="1:4" x14ac:dyDescent="0.25">
      <c r="A893" t="s">
        <v>1317</v>
      </c>
      <c r="B893" t="str">
        <f t="shared" si="30"/>
        <v>&lt;prefix&gt;_&lt;mm&gt;_22_&lt;yy&gt;_&lt;ar&gt;Security Report by Window</v>
      </c>
      <c r="D893" s="12"/>
    </row>
    <row r="894" spans="1:4" x14ac:dyDescent="0.25">
      <c r="A894" t="s">
        <v>1318</v>
      </c>
      <c r="B894" t="str">
        <f t="shared" si="30"/>
        <v>&lt;prefix&gt;_&lt;mm&gt;_22_&lt;yy&gt;_&lt;ar&gt;SOC Jurisdiction Table Report</v>
      </c>
      <c r="D894" s="12"/>
    </row>
    <row r="895" spans="1:4" x14ac:dyDescent="0.25">
      <c r="A895" t="s">
        <v>1319</v>
      </c>
      <c r="B895" t="str">
        <f t="shared" si="30"/>
        <v>&lt;prefix&gt;_&lt;mm&gt;_22_&lt;yy&gt;_&lt;ar&gt;SOC Rate Comparison between companies</v>
      </c>
      <c r="D895" s="12"/>
    </row>
    <row r="896" spans="1:4" x14ac:dyDescent="0.25">
      <c r="A896" t="s">
        <v>1320</v>
      </c>
      <c r="B896" t="str">
        <f t="shared" si="30"/>
        <v>&lt;prefix&gt;_&lt;mm&gt;_22_&lt;yy&gt;_&lt;ar&gt;SOC Tariff Table Report</v>
      </c>
      <c r="D896" s="12"/>
    </row>
    <row r="897" spans="1:4" x14ac:dyDescent="0.25">
      <c r="A897" t="s">
        <v>1321</v>
      </c>
      <c r="B897" t="str">
        <f t="shared" si="30"/>
        <v>&lt;prefix&gt;_&lt;mm&gt;_22_&lt;yy&gt;_&lt;ar&gt;Summary of Adjustments Report</v>
      </c>
      <c r="D897" s="12"/>
    </row>
    <row r="898" spans="1:4" x14ac:dyDescent="0.25">
      <c r="A898" t="s">
        <v>1322</v>
      </c>
      <c r="B898" t="str">
        <f t="shared" si="30"/>
        <v>&lt;prefix&gt;_&lt;mm&gt;_22_&lt;yy&gt;_&lt;ar&gt;Summary of OCCs Report</v>
      </c>
      <c r="D898" s="12"/>
    </row>
    <row r="899" spans="1:4" x14ac:dyDescent="0.25">
      <c r="A899" t="s">
        <v>120</v>
      </c>
      <c r="B899" t="str">
        <f t="shared" si="30"/>
        <v>&lt;prefix&gt;_&lt;mm&gt;_22_&lt;yy&gt;_&lt;ar&gt;SW Usage Charges Summary</v>
      </c>
      <c r="D899" s="12"/>
    </row>
    <row r="900" spans="1:4" x14ac:dyDescent="0.25">
      <c r="A900" t="s">
        <v>1323</v>
      </c>
      <c r="B900" t="str">
        <f t="shared" si="30"/>
        <v>&lt;prefix&gt;_&lt;mm&gt;_22_&lt;yy&gt;_&lt;ar&gt;SW Usage Charges Summary by CLLI</v>
      </c>
      <c r="D900" s="12"/>
    </row>
    <row r="901" spans="1:4" x14ac:dyDescent="0.25">
      <c r="A901" t="s">
        <v>1324</v>
      </c>
      <c r="B901" t="str">
        <f t="shared" si="30"/>
        <v>&lt;prefix&gt;_&lt;mm&gt;_22_&lt;yy&gt;_&lt;ar&gt;SW Usage Statistics Summary</v>
      </c>
      <c r="D901" s="12"/>
    </row>
    <row r="902" spans="1:4" x14ac:dyDescent="0.25">
      <c r="A902" t="s">
        <v>1326</v>
      </c>
      <c r="B902" t="str">
        <f t="shared" si="30"/>
        <v>&lt;prefix&gt;_&lt;mm&gt;_22_&lt;yy&gt;_&lt;ar&gt;Switched Billing Account - Factor Report</v>
      </c>
      <c r="D902" s="12"/>
    </row>
    <row r="903" spans="1:4" x14ac:dyDescent="0.25">
      <c r="A903" t="s">
        <v>1327</v>
      </c>
      <c r="B903" t="str">
        <f t="shared" si="30"/>
        <v>&lt;prefix&gt;_&lt;mm&gt;_22_&lt;yy&gt;_&lt;ar&gt;Switched Billing Account - SOC Report</v>
      </c>
      <c r="D903" s="12"/>
    </row>
    <row r="904" spans="1:4" x14ac:dyDescent="0.25">
      <c r="A904" t="s">
        <v>1328</v>
      </c>
      <c r="B904" t="str">
        <f t="shared" si="30"/>
        <v>&lt;prefix&gt;_&lt;mm&gt;_22_&lt;yy&gt;_&lt;ar&gt;Switched Billing Account - Wire Center Report</v>
      </c>
      <c r="D904" s="12"/>
    </row>
    <row r="905" spans="1:4" x14ac:dyDescent="0.25">
      <c r="A905" t="s">
        <v>1329</v>
      </c>
      <c r="B905" t="str">
        <f t="shared" si="30"/>
        <v>&lt;prefix&gt;_&lt;mm&gt;_22_&lt;yy&gt;_&lt;ar&gt;Tariff Element Tracking</v>
      </c>
      <c r="D905" s="12"/>
    </row>
    <row r="906" spans="1:4" x14ac:dyDescent="0.25">
      <c r="A906" t="s">
        <v>619</v>
      </c>
      <c r="B906" t="str">
        <f t="shared" si="30"/>
        <v>&lt;prefix&gt;_&lt;mm&gt;_22_&lt;yy&gt;_&lt;ar&gt;Transaction Detail Listing</v>
      </c>
      <c r="D906" s="12"/>
    </row>
    <row r="907" spans="1:4" x14ac:dyDescent="0.25">
      <c r="A907" t="s">
        <v>616</v>
      </c>
      <c r="B907" t="str">
        <f t="shared" si="30"/>
        <v>&lt;prefix&gt;_&lt;mm&gt;_22_&lt;yy&gt;_&lt;ar&gt;Transaction Summary</v>
      </c>
      <c r="D907" s="12"/>
    </row>
    <row r="908" spans="1:4" x14ac:dyDescent="0.25">
      <c r="A908" t="s">
        <v>1331</v>
      </c>
      <c r="B908" t="str">
        <f t="shared" si="30"/>
        <v>&lt;prefix&gt;_&lt;mm&gt;_22_&lt;yy&gt;_&lt;ar&gt;Transaction Summary - adjustments only</v>
      </c>
      <c r="D908" s="12"/>
    </row>
    <row r="909" spans="1:4" x14ac:dyDescent="0.25">
      <c r="A909" t="s">
        <v>1332</v>
      </c>
      <c r="B909" t="str">
        <f t="shared" si="30"/>
        <v>&lt;prefix&gt;_&lt;mm&gt;_22_&lt;yy&gt;_&lt;ar&gt;Transaction Summary - receipts only</v>
      </c>
      <c r="D909" s="12"/>
    </row>
    <row r="910" spans="1:4" x14ac:dyDescent="0.25">
      <c r="A910" t="s">
        <v>1333</v>
      </c>
      <c r="B910" t="str">
        <f t="shared" si="30"/>
        <v>&lt;prefix&gt;_&lt;mm&gt;_22_&lt;yy&gt;_&lt;ar&gt;Transaction Summary by transaction/bill type</v>
      </c>
      <c r="D910" s="12"/>
    </row>
    <row r="911" spans="1:4" x14ac:dyDescent="0.25">
      <c r="A911" t="s">
        <v>1334</v>
      </c>
      <c r="B911" t="str">
        <f t="shared" si="30"/>
        <v xml:space="preserve">&lt;prefix&gt;_&lt;mm&gt;_22_&lt;yy&gt;_&lt;ar&gt;Transaction Summary by transaction/bill type </v>
      </c>
      <c r="D911" s="12"/>
    </row>
    <row r="912" spans="1:4" x14ac:dyDescent="0.25">
      <c r="A912" t="s">
        <v>1335</v>
      </c>
      <c r="B912" t="str">
        <f t="shared" si="30"/>
        <v>&lt;prefix&gt;_&lt;mm&gt;_22_&lt;yy&gt;_&lt;ar&gt;Transaction Summary by transaction-bill type</v>
      </c>
      <c r="D912" s="12"/>
    </row>
    <row r="913" spans="1:4" x14ac:dyDescent="0.25">
      <c r="A913" t="s">
        <v>1336</v>
      </c>
      <c r="B913" t="str">
        <f t="shared" si="30"/>
        <v>&lt;prefix&gt;_&lt;mm&gt;_22_&lt;yy&gt;_&lt;ar&gt;Unposted Adjustments</v>
      </c>
      <c r="D913" s="12"/>
    </row>
    <row r="914" spans="1:4" x14ac:dyDescent="0.25">
      <c r="A914" t="s">
        <v>1337</v>
      </c>
      <c r="B914" t="str">
        <f t="shared" si="30"/>
        <v>&lt;prefix&gt;_&lt;mm&gt;_22_&lt;yy&gt;_&lt;ar&gt;Unresolved Disputes by Carrier by code</v>
      </c>
      <c r="D914" s="12"/>
    </row>
    <row r="915" spans="1:4" x14ac:dyDescent="0.25">
      <c r="A915" t="s">
        <v>1338</v>
      </c>
      <c r="B915" t="str">
        <f t="shared" si="30"/>
        <v>&lt;prefix&gt;_&lt;mm&gt;_22_&lt;yy&gt;_&lt;ar&gt;Unresolved Disputes by Carrier by month</v>
      </c>
      <c r="D915" s="12"/>
    </row>
    <row r="916" spans="1:4" x14ac:dyDescent="0.25">
      <c r="A916" t="s">
        <v>1339</v>
      </c>
      <c r="B916" t="str">
        <f t="shared" si="30"/>
        <v>&lt;prefix&gt;_&lt;mm&gt;_22_&lt;yy&gt;_&lt;ar&gt;Usage Balancing - Company Totals</v>
      </c>
      <c r="D916" s="12"/>
    </row>
    <row r="917" spans="1:4" x14ac:dyDescent="0.25">
      <c r="A917" t="s">
        <v>41</v>
      </c>
      <c r="B917" t="str">
        <f t="shared" si="30"/>
        <v>&lt;prefix&gt;_&lt;mm&gt;_22_&lt;yy&gt;_&lt;ar&gt;Usage Balancing - Company Totals with Full Detail</v>
      </c>
      <c r="D917" s="12"/>
    </row>
    <row r="918" spans="1:4" x14ac:dyDescent="0.25">
      <c r="A918" t="s">
        <v>1340</v>
      </c>
      <c r="B918" t="str">
        <f t="shared" ref="B918:B923" si="31">"&lt;prefix&gt;_&lt;mm&gt;_22_&lt;yy&gt;_&lt;ar&gt;"&amp;A918</f>
        <v>&lt;prefix&gt;_&lt;mm&gt;_22_&lt;yy&gt;_&lt;ar&gt;Usage Balancing - Company, Ban, Clli Totals</v>
      </c>
      <c r="D918" s="12"/>
    </row>
    <row r="919" spans="1:4" x14ac:dyDescent="0.25">
      <c r="A919" t="s">
        <v>1341</v>
      </c>
      <c r="B919" t="str">
        <f t="shared" si="31"/>
        <v>&lt;prefix&gt;_&lt;mm&gt;_22_&lt;yy&gt;_&lt;ar&gt;Usage Balancing - Company, Ban, Clli, TT Totals</v>
      </c>
      <c r="D919" s="12"/>
    </row>
    <row r="920" spans="1:4" x14ac:dyDescent="0.25">
      <c r="A920" t="s">
        <v>1342</v>
      </c>
      <c r="B920" t="str">
        <f t="shared" si="31"/>
        <v>&lt;prefix&gt;_&lt;mm&gt;_22_&lt;yy&gt;_&lt;ar&gt;Usage Totaling Rule</v>
      </c>
      <c r="D920" s="12"/>
    </row>
    <row r="921" spans="1:4" x14ac:dyDescent="0.25">
      <c r="A921" t="s">
        <v>1011</v>
      </c>
      <c r="B921" t="str">
        <f t="shared" si="31"/>
        <v xml:space="preserve">&lt;prefix&gt;_&lt;mm&gt;_22_&lt;yy&gt;_&lt;ar&gt;Usage Verify by Size Report </v>
      </c>
      <c r="D921" s="12"/>
    </row>
    <row r="922" spans="1:4" x14ac:dyDescent="0.25">
      <c r="A922" t="s">
        <v>1343</v>
      </c>
      <c r="B922" t="str">
        <f t="shared" si="31"/>
        <v>&lt;prefix&gt;_&lt;mm&gt;_22_&lt;yy&gt;_&lt;ar&gt;Wire Center Mileage Segment Report</v>
      </c>
      <c r="D922" s="12"/>
    </row>
    <row r="923" spans="1:4" x14ac:dyDescent="0.25">
      <c r="A923" t="s">
        <v>1344</v>
      </c>
      <c r="B923" t="str">
        <f t="shared" si="31"/>
        <v>&lt;prefix&gt;_&lt;mm&gt;_22_&lt;yy&gt;_&lt;ar&gt;Wire Center Report</v>
      </c>
      <c r="D923" s="12"/>
    </row>
    <row r="924" spans="1:4" x14ac:dyDescent="0.25">
      <c r="A924" s="3" t="s">
        <v>9</v>
      </c>
      <c r="B924" s="3" t="s">
        <v>1080</v>
      </c>
      <c r="C924" s="3" t="s">
        <v>216</v>
      </c>
      <c r="D924" s="22">
        <v>1</v>
      </c>
    </row>
    <row r="925" spans="1:4" x14ac:dyDescent="0.25">
      <c r="A925" s="3" t="s">
        <v>20</v>
      </c>
      <c r="B925" s="3" t="s">
        <v>1081</v>
      </c>
      <c r="C925" s="3" t="s">
        <v>231</v>
      </c>
      <c r="D925" s="22">
        <v>2</v>
      </c>
    </row>
    <row r="926" spans="1:4" x14ac:dyDescent="0.25">
      <c r="A926" s="2" t="s">
        <v>22</v>
      </c>
      <c r="B926" s="2" t="str">
        <f t="shared" ref="B926:B931" si="32">"&lt;prefix&gt;_&lt;mm&gt;&lt;cy&gt;&lt;yy&gt;_&lt;ar&gt;"&amp;A926</f>
        <v>&lt;prefix&gt;_&lt;mm&gt;&lt;cy&gt;&lt;yy&gt;_&lt;ar&gt;Detailed CLLI Error Report</v>
      </c>
      <c r="C926" s="2" t="s">
        <v>238</v>
      </c>
      <c r="D926" s="12">
        <v>3</v>
      </c>
    </row>
    <row r="927" spans="1:4" x14ac:dyDescent="0.25">
      <c r="A927" s="2" t="s">
        <v>29</v>
      </c>
      <c r="B927" s="2" t="str">
        <f t="shared" si="32"/>
        <v>&lt;prefix&gt;_&lt;mm&gt;&lt;cy&gt;&lt;yy&gt;_&lt;ar&gt;Exception Analysis Report</v>
      </c>
      <c r="C927" s="2" t="s">
        <v>248</v>
      </c>
      <c r="D927" s="12">
        <v>4</v>
      </c>
    </row>
    <row r="928" spans="1:4" x14ac:dyDescent="0.25">
      <c r="A928" s="2" t="s">
        <v>47</v>
      </c>
      <c r="B928" s="2" t="str">
        <f t="shared" si="32"/>
        <v>&lt;prefix&gt;_&lt;mm&gt;&lt;cy&gt;&lt;yy&gt;_&lt;ar&gt;MOU Entries Error Report</v>
      </c>
      <c r="C928" s="2" t="s">
        <v>251</v>
      </c>
      <c r="D928" s="12">
        <v>5</v>
      </c>
    </row>
    <row r="929" spans="1:4" x14ac:dyDescent="0.25">
      <c r="A929" s="2" t="s">
        <v>27</v>
      </c>
      <c r="B929" s="2" t="str">
        <f t="shared" si="32"/>
        <v>&lt;prefix&gt;_&lt;mm&gt;&lt;cy&gt;&lt;yy&gt;_&lt;ar&gt;Duplicate File Processing Report</v>
      </c>
      <c r="C929" s="2" t="s">
        <v>266</v>
      </c>
      <c r="D929" s="12">
        <v>6</v>
      </c>
    </row>
    <row r="930" spans="1:4" x14ac:dyDescent="0.25">
      <c r="A930" s="2" t="s">
        <v>45</v>
      </c>
      <c r="B930" s="2" t="str">
        <f t="shared" si="32"/>
        <v>&lt;prefix&gt;_&lt;mm&gt;&lt;cy&gt;&lt;yy&gt;_&lt;ar&gt;Usage Verify by Size Report</v>
      </c>
      <c r="C930" s="2" t="s">
        <v>272</v>
      </c>
      <c r="D930" s="12">
        <v>7</v>
      </c>
    </row>
    <row r="931" spans="1:4" x14ac:dyDescent="0.25">
      <c r="A931" s="2" t="s">
        <v>135</v>
      </c>
      <c r="B931" s="2" t="str">
        <f t="shared" si="32"/>
        <v>&lt;prefix&gt;_&lt;mm&gt;&lt;cy&gt;&lt;yy&gt;_&lt;ar&gt;Usage By Day Report</v>
      </c>
      <c r="C931" s="4" t="s">
        <v>1082</v>
      </c>
      <c r="D931" s="12">
        <v>8</v>
      </c>
    </row>
    <row r="932" spans="1:4" x14ac:dyDescent="0.25">
      <c r="A932" s="3" t="s">
        <v>43</v>
      </c>
      <c r="B932" s="3" t="s">
        <v>1083</v>
      </c>
      <c r="C932" s="3" t="s">
        <v>1060</v>
      </c>
      <c r="D932" s="22">
        <v>9</v>
      </c>
    </row>
    <row r="933" spans="1:4" x14ac:dyDescent="0.25">
      <c r="A933" s="2" t="s">
        <v>107</v>
      </c>
      <c r="B933" s="2" t="str">
        <f t="shared" ref="B933:B939" si="33">"&lt;prefix&gt;_&lt;mm&gt;&lt;cy&gt;&lt;yy&gt;_&lt;ar&gt;"&amp;A933</f>
        <v>&lt;prefix&gt;_&lt;mm&gt;&lt;cy&gt;&lt;yy&gt;_&lt;ar&gt;Payment Report</v>
      </c>
      <c r="C933" s="31">
        <v>8</v>
      </c>
      <c r="D933" s="12">
        <v>10</v>
      </c>
    </row>
    <row r="934" spans="1:4" x14ac:dyDescent="0.25">
      <c r="A934" s="2" t="s">
        <v>7</v>
      </c>
      <c r="B934" s="2" t="str">
        <f t="shared" si="33"/>
        <v>&lt;prefix&gt;_&lt;mm&gt;&lt;cy&gt;&lt;yy&gt;_&lt;ar&gt;Adjustments Not Posted Report</v>
      </c>
      <c r="C934" s="2" t="s">
        <v>336</v>
      </c>
      <c r="D934" s="12">
        <v>11</v>
      </c>
    </row>
    <row r="935" spans="1:4" x14ac:dyDescent="0.25">
      <c r="A935" s="2" t="s">
        <v>32</v>
      </c>
      <c r="B935" s="2" t="str">
        <f t="shared" si="33"/>
        <v>&lt;prefix&gt;_&lt;mm&gt;&lt;cy&gt;&lt;yy&gt;_&lt;ar&gt;Factor Change Audit Report</v>
      </c>
      <c r="C935" s="31">
        <v>10</v>
      </c>
      <c r="D935" s="12">
        <v>12</v>
      </c>
    </row>
    <row r="936" spans="1:4" x14ac:dyDescent="0.25">
      <c r="A936" s="2" t="s">
        <v>39</v>
      </c>
      <c r="B936" s="2" t="str">
        <f t="shared" si="33"/>
        <v>&lt;prefix&gt;_&lt;mm&gt;&lt;cy&gt;&lt;yy&gt;_&lt;ar&gt;SOC Change Audit Report</v>
      </c>
      <c r="C936" s="31">
        <v>11</v>
      </c>
      <c r="D936" s="12">
        <v>14</v>
      </c>
    </row>
    <row r="937" spans="1:4" x14ac:dyDescent="0.25">
      <c r="A937" s="2" t="s">
        <v>16</v>
      </c>
      <c r="B937" s="2" t="str">
        <f t="shared" si="33"/>
        <v>&lt;prefix&gt;_&lt;mm&gt;&lt;cy&gt;&lt;yy&gt;_&lt;ar&gt;Bill Completion Check Report</v>
      </c>
      <c r="C937" s="2" t="s">
        <v>383</v>
      </c>
      <c r="D937" s="12">
        <v>15</v>
      </c>
    </row>
    <row r="938" spans="1:4" x14ac:dyDescent="0.25">
      <c r="A938" s="5" t="s">
        <v>419</v>
      </c>
      <c r="B938" s="5" t="str">
        <f t="shared" si="33"/>
        <v>&lt;prefix&gt;_&lt;mm&gt;&lt;cy&gt;&lt;yy&gt;_&lt;ar&gt;Switched BANs Trending Report</v>
      </c>
      <c r="C938" s="5" t="s">
        <v>1084</v>
      </c>
      <c r="D938" s="12">
        <v>16</v>
      </c>
    </row>
    <row r="939" spans="1:4" x14ac:dyDescent="0.25">
      <c r="A939" s="10" t="s">
        <v>422</v>
      </c>
      <c r="B939" s="10" t="str">
        <f t="shared" si="33"/>
        <v>&lt;prefix&gt;_&lt;mm&gt;&lt;cy&gt;&lt;yy&gt;_&lt;ar&gt;Facility BANs Trending Report</v>
      </c>
      <c r="C939" s="10" t="s">
        <v>1084</v>
      </c>
      <c r="D939" s="12">
        <v>16</v>
      </c>
    </row>
    <row r="940" spans="1:4" x14ac:dyDescent="0.25">
      <c r="A940" s="3" t="s">
        <v>19</v>
      </c>
      <c r="B940" s="3" t="s">
        <v>1085</v>
      </c>
      <c r="C940" s="3" t="s">
        <v>424</v>
      </c>
      <c r="D940" s="22">
        <v>18</v>
      </c>
    </row>
    <row r="941" spans="1:4" x14ac:dyDescent="0.25">
      <c r="A941" s="3" t="s">
        <v>102</v>
      </c>
      <c r="B941" s="3" t="s">
        <v>1086</v>
      </c>
      <c r="C941" s="3" t="s">
        <v>428</v>
      </c>
      <c r="D941" s="22">
        <v>19</v>
      </c>
    </row>
    <row r="942" spans="1:4" x14ac:dyDescent="0.25">
      <c r="A942" s="3" t="s">
        <v>60</v>
      </c>
      <c r="B942" s="3" t="s">
        <v>1087</v>
      </c>
      <c r="C942" s="3" t="s">
        <v>767</v>
      </c>
      <c r="D942" s="22">
        <v>20</v>
      </c>
    </row>
    <row r="943" spans="1:4" x14ac:dyDescent="0.25">
      <c r="A943" s="6" t="s">
        <v>23</v>
      </c>
      <c r="B943" s="6" t="s">
        <v>1088</v>
      </c>
      <c r="C943" s="6"/>
      <c r="D943" s="22">
        <v>21</v>
      </c>
    </row>
    <row r="944" spans="1:4" x14ac:dyDescent="0.25">
      <c r="A944" s="7" t="s">
        <v>1089</v>
      </c>
      <c r="B944" s="7" t="str">
        <f>"&lt;prefix&gt;_&lt;mm&gt;&lt;cy&gt;&lt;yy&gt;_&lt;ar&gt;"&amp;A944</f>
        <v>&lt;prefix&gt;_&lt;mm&gt;&lt;cy&gt;&lt;yy&gt;_&lt;ar&gt;Billed By Period</v>
      </c>
      <c r="C944" s="7"/>
      <c r="D944" s="12">
        <v>22</v>
      </c>
    </row>
    <row r="945" spans="1:4" x14ac:dyDescent="0.25">
      <c r="A945" s="6" t="s">
        <v>92</v>
      </c>
      <c r="B945" s="6" t="s">
        <v>1090</v>
      </c>
      <c r="C945" s="6"/>
      <c r="D945" s="22">
        <v>23</v>
      </c>
    </row>
    <row r="946" spans="1:4" x14ac:dyDescent="0.25">
      <c r="A946" s="8" t="s">
        <v>49</v>
      </c>
      <c r="B946" s="8" t="s">
        <v>1091</v>
      </c>
      <c r="C946" s="32"/>
      <c r="D946" s="22">
        <v>24</v>
      </c>
    </row>
    <row r="947" spans="1:4" x14ac:dyDescent="0.25">
      <c r="A947" s="6" t="s">
        <v>51</v>
      </c>
      <c r="B947" s="6" t="s">
        <v>1092</v>
      </c>
      <c r="C947" s="6"/>
      <c r="D947" s="22">
        <v>25</v>
      </c>
    </row>
    <row r="948" spans="1:4" x14ac:dyDescent="0.25">
      <c r="A948" s="7" t="s">
        <v>120</v>
      </c>
      <c r="B948" s="7" t="str">
        <f>"&lt;prefix&gt;_&lt;mm&gt;&lt;cy&gt;&lt;yy&gt;_&lt;ar&gt;"&amp;A948</f>
        <v>&lt;prefix&gt;_&lt;mm&gt;&lt;cy&gt;&lt;yy&gt;_&lt;ar&gt;SW Usage Charges Summary</v>
      </c>
      <c r="C948" s="7"/>
      <c r="D948" s="12">
        <v>26</v>
      </c>
    </row>
    <row r="949" spans="1:4" x14ac:dyDescent="0.25">
      <c r="A949" s="6" t="s">
        <v>127</v>
      </c>
      <c r="B949" s="6" t="s">
        <v>1093</v>
      </c>
      <c r="C949" s="6"/>
      <c r="D949" s="22">
        <v>27</v>
      </c>
    </row>
    <row r="950" spans="1:4" x14ac:dyDescent="0.25">
      <c r="A950" t="s">
        <v>1231</v>
      </c>
      <c r="B950" t="str">
        <f t="shared" ref="B950:B1013" si="34">"&lt;prefix&gt;_&lt;mm&gt;&lt;cy&gt;&lt;yy&gt;_&lt;ar&gt;"&amp;A950</f>
        <v>&lt;prefix&gt;_&lt;mm&gt;&lt;cy&gt;&lt;yy&gt;_&lt;ar&gt;Access MSG and MOU billed by CLLI,FG,CIC</v>
      </c>
      <c r="D950" s="12"/>
    </row>
    <row r="951" spans="1:4" x14ac:dyDescent="0.25">
      <c r="A951" t="s">
        <v>1232</v>
      </c>
      <c r="B951" t="str">
        <f t="shared" si="34"/>
        <v>&lt;prefix&gt;_&lt;mm&gt;&lt;cy&gt;&lt;yy&gt;_&lt;ar&gt;Adjustments Detail Report - Posted</v>
      </c>
      <c r="D951" s="12"/>
    </row>
    <row r="952" spans="1:4" x14ac:dyDescent="0.25">
      <c r="A952" t="s">
        <v>1233</v>
      </c>
      <c r="B952" t="str">
        <f t="shared" si="34"/>
        <v>&lt;prefix&gt;_&lt;mm&gt;&lt;cy&gt;&lt;yy&gt;_&lt;ar&gt;Adjustments Detail Report - Unposted</v>
      </c>
      <c r="D952" s="12"/>
    </row>
    <row r="953" spans="1:4" x14ac:dyDescent="0.25">
      <c r="A953" t="s">
        <v>30</v>
      </c>
      <c r="B953" t="str">
        <f t="shared" si="34"/>
        <v>&lt;prefix&gt;_&lt;mm&gt;&lt;cy&gt;&lt;yy&gt;_&lt;ar&gt;Aged trial Balance</v>
      </c>
      <c r="D953" s="12"/>
    </row>
    <row r="954" spans="1:4" x14ac:dyDescent="0.25">
      <c r="A954" t="s">
        <v>1234</v>
      </c>
      <c r="B954" t="str">
        <f t="shared" si="34"/>
        <v>&lt;prefix&gt;_&lt;mm&gt;&lt;cy&gt;&lt;yy&gt;_&lt;ar&gt;Aged Trial Balance by Company</v>
      </c>
      <c r="D954" s="12"/>
    </row>
    <row r="955" spans="1:4" x14ac:dyDescent="0.25">
      <c r="A955" t="s">
        <v>1354</v>
      </c>
      <c r="B955" t="str">
        <f t="shared" si="34"/>
        <v>&lt;prefix&gt;_&lt;mm&gt;&lt;cy&gt;&lt;yy&gt;_&lt;ar&gt;Aging (MOU) - 15-60-90</v>
      </c>
      <c r="D955" s="12"/>
    </row>
    <row r="956" spans="1:4" x14ac:dyDescent="0.25">
      <c r="A956" t="s">
        <v>1355</v>
      </c>
      <c r="B956" t="str">
        <f t="shared" si="34"/>
        <v>&lt;prefix&gt;_&lt;mm&gt;&lt;cy&gt;&lt;yy&gt;_&lt;ar&gt;Aging (PEGS) - 15-60-90</v>
      </c>
      <c r="C956" s="17"/>
      <c r="D956" s="12"/>
    </row>
    <row r="957" spans="1:4" x14ac:dyDescent="0.25">
      <c r="A957" t="s">
        <v>1356</v>
      </c>
      <c r="B957" t="str">
        <f t="shared" si="34"/>
        <v>&lt;prefix&gt;_&lt;mm&gt;&lt;cy&gt;&lt;yy&gt;_&lt;ar&gt;Aging (WOS) - 15-60-90</v>
      </c>
      <c r="D957" s="12"/>
    </row>
    <row r="958" spans="1:4" x14ac:dyDescent="0.25">
      <c r="A958" t="s">
        <v>1357</v>
      </c>
      <c r="B958" t="str">
        <f t="shared" si="34"/>
        <v>&lt;prefix&gt;_&lt;mm&gt;&lt;cy&gt;&lt;yy&gt;_&lt;ar&gt;All Record Type 720</v>
      </c>
      <c r="D958" s="12"/>
    </row>
    <row r="959" spans="1:4" x14ac:dyDescent="0.25">
      <c r="A959" t="s">
        <v>1235</v>
      </c>
      <c r="B959" t="str">
        <f t="shared" si="34"/>
        <v>&lt;prefix&gt;_&lt;mm&gt;&lt;cy&gt;&lt;yy&gt;_&lt;ar&gt;Amount billed/disputed/settled by month/carrier</v>
      </c>
      <c r="D959" s="12"/>
    </row>
    <row r="960" spans="1:4" x14ac:dyDescent="0.25">
      <c r="A960" t="s">
        <v>1236</v>
      </c>
      <c r="B960" t="str">
        <f t="shared" si="34"/>
        <v>&lt;prefix&gt;_&lt;mm&gt;&lt;cy&gt;&lt;yy&gt;_&lt;ar&gt;Amount billed/disputed/settled by qtr/carrier</v>
      </c>
      <c r="D960" s="12"/>
    </row>
    <row r="961" spans="1:4" x14ac:dyDescent="0.25">
      <c r="A961" t="s">
        <v>1239</v>
      </c>
      <c r="B961" t="str">
        <f t="shared" si="34"/>
        <v>&lt;prefix&gt;_&lt;mm&gt;&lt;cy&gt;&lt;yy&gt;_&lt;ar&gt;AS1000 Report</v>
      </c>
      <c r="D961" s="12"/>
    </row>
    <row r="962" spans="1:4" x14ac:dyDescent="0.25">
      <c r="A962" t="s">
        <v>1240</v>
      </c>
      <c r="B962" t="str">
        <f t="shared" si="34"/>
        <v>&lt;prefix&gt;_&lt;mm&gt;&lt;cy&gt;&lt;yy&gt;_&lt;ar&gt;AUR History Stats (Seconds)</v>
      </c>
      <c r="D962" s="12"/>
    </row>
    <row r="963" spans="1:4" x14ac:dyDescent="0.25">
      <c r="A963" t="s">
        <v>12</v>
      </c>
      <c r="B963" t="str">
        <f t="shared" si="34"/>
        <v>&lt;prefix&gt;_&lt;mm&gt;&lt;cy&gt;&lt;yy&gt;_&lt;ar&gt;AUR History Stats Report</v>
      </c>
      <c r="D963" s="12"/>
    </row>
    <row r="964" spans="1:4" x14ac:dyDescent="0.25">
      <c r="A964" t="s">
        <v>1241</v>
      </c>
      <c r="B964" t="str">
        <f t="shared" si="34"/>
        <v>&lt;prefix&gt;_&lt;mm&gt;&lt;cy&gt;&lt;yy&gt;_&lt;ar&gt;AUR History Summary</v>
      </c>
      <c r="D964" s="12"/>
    </row>
    <row r="965" spans="1:4" x14ac:dyDescent="0.25">
      <c r="A965" t="s">
        <v>1242</v>
      </c>
      <c r="B965" t="str">
        <f t="shared" si="34"/>
        <v>&lt;prefix&gt;_&lt;mm&gt;&lt;cy&gt;&lt;yy&gt;_&lt;ar&gt;AUR History Summary by Day</v>
      </c>
      <c r="D965" s="12"/>
    </row>
    <row r="966" spans="1:4" x14ac:dyDescent="0.25">
      <c r="A966" t="s">
        <v>1358</v>
      </c>
      <c r="B966" t="str">
        <f t="shared" si="34"/>
        <v>&lt;prefix&gt;_&lt;mm&gt;&lt;cy&gt;&lt;yy&gt;_&lt;ar&gt;BAS Change Value</v>
      </c>
      <c r="D966" s="12"/>
    </row>
    <row r="967" spans="1:4" x14ac:dyDescent="0.25">
      <c r="A967" t="s">
        <v>1359</v>
      </c>
      <c r="B967" t="str">
        <f t="shared" si="34"/>
        <v>&lt;prefix&gt;_&lt;mm&gt;&lt;cy&gt;&lt;yy&gt;_&lt;ar&gt;BAS Gary Trans</v>
      </c>
      <c r="D967" s="12"/>
    </row>
    <row r="968" spans="1:4" x14ac:dyDescent="0.25">
      <c r="A968" t="s">
        <v>1360</v>
      </c>
      <c r="B968" t="str">
        <f t="shared" si="34"/>
        <v>&lt;prefix&gt;_&lt;mm&gt;&lt;cy&gt;&lt;yy&gt;_&lt;ar&gt;BAS History by Trans ID</v>
      </c>
      <c r="D968" s="12"/>
    </row>
    <row r="969" spans="1:4" x14ac:dyDescent="0.25">
      <c r="A969" t="s">
        <v>1361</v>
      </c>
      <c r="B969" t="str">
        <f t="shared" si="34"/>
        <v>&lt;prefix&gt;_&lt;mm&gt;&lt;cy&gt;&lt;yy&gt;_&lt;ar&gt;BAS History Name</v>
      </c>
      <c r="D969" s="12"/>
    </row>
    <row r="970" spans="1:4" x14ac:dyDescent="0.25">
      <c r="A970" t="s">
        <v>1362</v>
      </c>
      <c r="B970" t="str">
        <f t="shared" si="34"/>
        <v>&lt;prefix&gt;_&lt;mm&gt;&lt;cy&gt;&lt;yy&gt;_&lt;ar&gt;Bill Guarantee IOS/72V</v>
      </c>
      <c r="D970" s="12"/>
    </row>
    <row r="971" spans="1:4" x14ac:dyDescent="0.25">
      <c r="A971" t="s">
        <v>1363</v>
      </c>
      <c r="B971" t="str">
        <f t="shared" si="34"/>
        <v>&lt;prefix&gt;_&lt;mm&gt;&lt;cy&gt;&lt;yy&gt;_&lt;ar&gt;Bill Guarantee IOS/72V (All Sites)</v>
      </c>
      <c r="D971" s="12"/>
    </row>
    <row r="972" spans="1:4" x14ac:dyDescent="0.25">
      <c r="A972" t="s">
        <v>1364</v>
      </c>
      <c r="B972" t="str">
        <f t="shared" si="34"/>
        <v>&lt;prefix&gt;_&lt;mm&gt;&lt;cy&gt;&lt;yy&gt;_&lt;ar&gt;Bill Guarantee OTS/CABSTT</v>
      </c>
      <c r="D972" s="12"/>
    </row>
    <row r="973" spans="1:4" x14ac:dyDescent="0.25">
      <c r="A973" t="s">
        <v>1365</v>
      </c>
      <c r="B973" t="str">
        <f t="shared" si="34"/>
        <v>&lt;prefix&gt;_&lt;mm&gt;&lt;cy&gt;&lt;yy&gt;_&lt;ar&gt;Bill Guarantee OTS/CABSTT (All Sites)</v>
      </c>
      <c r="D973" s="12"/>
    </row>
    <row r="974" spans="1:4" x14ac:dyDescent="0.25">
      <c r="A974" t="s">
        <v>1366</v>
      </c>
      <c r="B974" t="str">
        <f t="shared" si="34"/>
        <v>&lt;prefix&gt;_&lt;mm&gt;&lt;cy&gt;&lt;yy&gt;_&lt;ar&gt;Bill Guarantee Query 2</v>
      </c>
      <c r="D974" s="12"/>
    </row>
    <row r="975" spans="1:4" x14ac:dyDescent="0.25">
      <c r="A975" t="s">
        <v>1243</v>
      </c>
      <c r="B975" t="str">
        <f t="shared" si="34"/>
        <v>&lt;prefix&gt;_&lt;mm&gt;&lt;cy&gt;&lt;yy&gt;_&lt;ar&gt;Billed Minutes by Inter/Intra State</v>
      </c>
      <c r="D975" s="12"/>
    </row>
    <row r="976" spans="1:4" x14ac:dyDescent="0.25">
      <c r="A976" t="s">
        <v>1244</v>
      </c>
      <c r="B976" t="str">
        <f t="shared" si="34"/>
        <v>&lt;prefix&gt;_&lt;mm&gt;&lt;cy&gt;&lt;yy&gt;_&lt;ar&gt;Billed Minutes by Inter-Intra State</v>
      </c>
      <c r="C976" s="17"/>
      <c r="D976" s="12"/>
    </row>
    <row r="977" spans="1:4" x14ac:dyDescent="0.25">
      <c r="A977" t="s">
        <v>1245</v>
      </c>
      <c r="B977" t="str">
        <f t="shared" si="34"/>
        <v>&lt;prefix&gt;_&lt;mm&gt;&lt;cy&gt;&lt;yy&gt;_&lt;ar&gt;Billed Minutes by Jurisdiction</v>
      </c>
      <c r="D977" s="12"/>
    </row>
    <row r="978" spans="1:4" x14ac:dyDescent="0.25">
      <c r="A978" t="s">
        <v>1246</v>
      </c>
      <c r="B978" t="str">
        <f t="shared" si="34"/>
        <v>&lt;prefix&gt;_&lt;mm&gt;&lt;cy&gt;&lt;yy&gt;_&lt;ar&gt;Billed minutes by Quarter by Inter/Intra State</v>
      </c>
      <c r="D978" s="12"/>
    </row>
    <row r="979" spans="1:4" x14ac:dyDescent="0.25">
      <c r="A979" t="s">
        <v>1247</v>
      </c>
      <c r="B979" t="str">
        <f t="shared" si="34"/>
        <v>&lt;prefix&gt;_&lt;mm&gt;&lt;cy&gt;&lt;yy&gt;_&lt;ar&gt;Billed minutes by Quarter by Inter-Intra State</v>
      </c>
      <c r="D979" s="12"/>
    </row>
    <row r="980" spans="1:4" x14ac:dyDescent="0.25">
      <c r="A980" t="s">
        <v>1248</v>
      </c>
      <c r="B980" t="str">
        <f t="shared" si="34"/>
        <v>&lt;prefix&gt;_&lt;mm&gt;&lt;cy&gt;&lt;yy&gt;_&lt;ar&gt;Billed Minutes by Quarter by Jurisdiction</v>
      </c>
      <c r="D980" s="12"/>
    </row>
    <row r="981" spans="1:4" x14ac:dyDescent="0.25">
      <c r="A981" t="s">
        <v>1249</v>
      </c>
      <c r="B981" t="str">
        <f t="shared" si="34"/>
        <v>&lt;prefix&gt;_&lt;mm&gt;&lt;cy&gt;&lt;yy&gt;_&lt;ar&gt;Billed Msg MOU Rev by BAN by Jurisdiction</v>
      </c>
      <c r="C981" s="17"/>
      <c r="D981" s="12"/>
    </row>
    <row r="982" spans="1:4" x14ac:dyDescent="0.25">
      <c r="A982" t="s">
        <v>1250</v>
      </c>
      <c r="B982" t="str">
        <f t="shared" si="34"/>
        <v>&lt;prefix&gt;_&lt;mm&gt;&lt;cy&gt;&lt;yy&gt;_&lt;ar&gt;Billed Msg MOU Rev by CLLI by Jurisdiction</v>
      </c>
      <c r="D982" s="12"/>
    </row>
    <row r="983" spans="1:4" x14ac:dyDescent="0.25">
      <c r="A983" t="s">
        <v>1367</v>
      </c>
      <c r="B983" t="str">
        <f t="shared" si="34"/>
        <v>&lt;prefix&gt;_&lt;mm&gt;&lt;cy&gt;&lt;yy&gt;_&lt;ar&gt;BJS Error BK</v>
      </c>
      <c r="D983" s="12"/>
    </row>
    <row r="984" spans="1:4" x14ac:dyDescent="0.25">
      <c r="A984" t="s">
        <v>1368</v>
      </c>
      <c r="B984" t="str">
        <f t="shared" si="34"/>
        <v>&lt;prefix&gt;_&lt;mm&gt;&lt;cy&gt;&lt;yy&gt;_&lt;ar&gt;BJS IBIS with  Msgs and MOUs</v>
      </c>
      <c r="D984" s="12"/>
    </row>
    <row r="985" spans="1:4" x14ac:dyDescent="0.25">
      <c r="A985" t="s">
        <v>1369</v>
      </c>
      <c r="B985" t="str">
        <f t="shared" si="34"/>
        <v>&lt;prefix&gt;_&lt;mm&gt;&lt;cy&gt;&lt;yy&gt;_&lt;ar&gt;Bob Incoming Error Volumes</v>
      </c>
      <c r="D985" s="12"/>
    </row>
    <row r="986" spans="1:4" x14ac:dyDescent="0.25">
      <c r="A986" t="s">
        <v>1370</v>
      </c>
      <c r="B986" t="str">
        <f t="shared" si="34"/>
        <v>&lt;prefix&gt;_&lt;mm&gt;&lt;cy&gt;&lt;yy&gt;_&lt;ar&gt;Bob Snapshot by Case for Site RC</v>
      </c>
      <c r="D986" s="12"/>
    </row>
    <row r="987" spans="1:4" x14ac:dyDescent="0.25">
      <c r="A987" t="s">
        <v>1371</v>
      </c>
      <c r="B987" t="str">
        <f t="shared" si="34"/>
        <v>&lt;prefix&gt;_&lt;mm&gt;&lt;cy&gt;&lt;yy&gt;_&lt;ar&gt;Bob Snapshot for Specifc Site RC</v>
      </c>
      <c r="D987" s="12"/>
    </row>
    <row r="988" spans="1:4" x14ac:dyDescent="0.25">
      <c r="A988" t="s">
        <v>1372</v>
      </c>
      <c r="B988" t="str">
        <f t="shared" si="34"/>
        <v>&lt;prefix&gt;_&lt;mm&gt;&lt;cy&gt;&lt;yy&gt;_&lt;ar&gt;Bob Test for Res Code on Rules</v>
      </c>
      <c r="D988" s="12"/>
    </row>
    <row r="989" spans="1:4" x14ac:dyDescent="0.25">
      <c r="A989" t="s">
        <v>1373</v>
      </c>
      <c r="B989" t="str">
        <f t="shared" si="34"/>
        <v>&lt;prefix&gt;_&lt;mm&gt;&lt;cy&gt;&lt;yy&gt;_&lt;ar&gt;Bobs CLLI Search</v>
      </c>
      <c r="D989" s="12"/>
    </row>
    <row r="990" spans="1:4" x14ac:dyDescent="0.25">
      <c r="A990" t="s">
        <v>1374</v>
      </c>
      <c r="B990" t="str">
        <f t="shared" si="34"/>
        <v>&lt;prefix&gt;_&lt;mm&gt;&lt;cy&gt;&lt;yy&gt;_&lt;ar&gt;Bobs Pegs by Site</v>
      </c>
      <c r="D990" s="12"/>
    </row>
    <row r="991" spans="1:4" x14ac:dyDescent="0.25">
      <c r="A991" t="s">
        <v>1375</v>
      </c>
      <c r="B991" t="str">
        <f t="shared" si="34"/>
        <v>&lt;prefix&gt;_&lt;mm&gt;&lt;cy&gt;&lt;yy&gt;_&lt;ar&gt;BRAVO Usage - Charge NPANXX</v>
      </c>
      <c r="D991" s="12"/>
    </row>
    <row r="992" spans="1:4" x14ac:dyDescent="0.25">
      <c r="A992" t="s">
        <v>1376</v>
      </c>
      <c r="B992" t="str">
        <f t="shared" si="34"/>
        <v>&lt;prefix&gt;_&lt;mm&gt;&lt;cy&gt;&lt;yy&gt;_&lt;ar&gt;BRAVO Usage - Originating NPANXX</v>
      </c>
      <c r="D992" s="12"/>
    </row>
    <row r="993" spans="1:4" x14ac:dyDescent="0.25">
      <c r="A993" t="s">
        <v>1377</v>
      </c>
      <c r="B993" t="str">
        <f t="shared" si="34"/>
        <v>&lt;prefix&gt;_&lt;mm&gt;&lt;cy&gt;&lt;yy&gt;_&lt;ar&gt;BRAVO Usage - Terminating NPANXX</v>
      </c>
      <c r="D993" s="12"/>
    </row>
    <row r="994" spans="1:4" x14ac:dyDescent="0.25">
      <c r="A994" t="s">
        <v>1378</v>
      </c>
      <c r="B994" t="str">
        <f t="shared" si="34"/>
        <v>&lt;prefix&gt;_&lt;mm&gt;&lt;cy&gt;&lt;yy&gt;_&lt;ar&gt;Bridget Case Transactions</v>
      </c>
      <c r="D994" s="12"/>
    </row>
    <row r="995" spans="1:4" x14ac:dyDescent="0.25">
      <c r="A995" t="s">
        <v>1379</v>
      </c>
      <c r="B995" t="str">
        <f t="shared" si="34"/>
        <v>&lt;prefix&gt;_&lt;mm&gt;&lt;cy&gt;&lt;yy&gt;_&lt;ar&gt;Bridget CHG RL for Month all Sites</v>
      </c>
      <c r="D995" s="12"/>
    </row>
    <row r="996" spans="1:4" x14ac:dyDescent="0.25">
      <c r="A996" t="s">
        <v>1380</v>
      </c>
      <c r="B996" t="str">
        <f t="shared" si="34"/>
        <v>&lt;prefix&gt;_&lt;mm&gt;&lt;cy&gt;&lt;yy&gt;_&lt;ar&gt;Bridget CLLI CIC History</v>
      </c>
      <c r="D996" s="12"/>
    </row>
    <row r="997" spans="1:4" x14ac:dyDescent="0.25">
      <c r="A997" t="s">
        <v>1381</v>
      </c>
      <c r="B997" t="str">
        <f t="shared" si="34"/>
        <v>&lt;prefix&gt;_&lt;mm&gt;&lt;cy&gt;&lt;yy&gt;_&lt;ar&gt;Bridget Find Usage by CIC</v>
      </c>
      <c r="D997" s="12"/>
    </row>
    <row r="998" spans="1:4" x14ac:dyDescent="0.25">
      <c r="A998" t="s">
        <v>1382</v>
      </c>
      <c r="B998" t="str">
        <f t="shared" si="34"/>
        <v>&lt;prefix&gt;_&lt;mm&gt;&lt;cy&gt;&lt;yy&gt;_&lt;ar&gt;Bridget ICO CLEC on Case</v>
      </c>
      <c r="D998" s="12"/>
    </row>
    <row r="999" spans="1:4" x14ac:dyDescent="0.25">
      <c r="A999" t="s">
        <v>1383</v>
      </c>
      <c r="B999" t="str">
        <f t="shared" si="34"/>
        <v>&lt;prefix&gt;_&lt;mm&gt;&lt;cy&gt;&lt;yy&gt;_&lt;ar&gt;Bridget Other Held Usage</v>
      </c>
      <c r="D999" s="12"/>
    </row>
    <row r="1000" spans="1:4" x14ac:dyDescent="0.25">
      <c r="A1000" t="s">
        <v>1384</v>
      </c>
      <c r="B1000" t="str">
        <f t="shared" si="34"/>
        <v>&lt;prefix&gt;_&lt;mm&gt;&lt;cy&gt;&lt;yy&gt;_&lt;ar&gt;Bridget Other Usage</v>
      </c>
      <c r="D1000" s="12"/>
    </row>
    <row r="1001" spans="1:4" x14ac:dyDescent="0.25">
      <c r="A1001" t="s">
        <v>1385</v>
      </c>
      <c r="B1001" t="str">
        <f t="shared" si="34"/>
        <v>&lt;prefix&gt;_&lt;mm&gt;&lt;cy&gt;&lt;yy&gt;_&lt;ar&gt;Bridget Other Usage Older than ???</v>
      </c>
      <c r="D1001" s="12"/>
    </row>
    <row r="1002" spans="1:4" x14ac:dyDescent="0.25">
      <c r="A1002" t="s">
        <v>1386</v>
      </c>
      <c r="B1002" t="str">
        <f t="shared" si="34"/>
        <v>&lt;prefix&gt;_&lt;mm&gt;&lt;cy&gt;&lt;yy&gt;_&lt;ar&gt;Bridget R0 Aging Report</v>
      </c>
      <c r="D1002" s="12"/>
    </row>
    <row r="1003" spans="1:4" x14ac:dyDescent="0.25">
      <c r="A1003" t="s">
        <v>1387</v>
      </c>
      <c r="B1003" t="str">
        <f t="shared" si="34"/>
        <v>&lt;prefix&gt;_&lt;mm&gt;&lt;cy&gt;&lt;yy&gt;_&lt;ar&gt;Bridget Snapshot by Site with RC</v>
      </c>
      <c r="D1003" s="12"/>
    </row>
    <row r="1004" spans="1:4" x14ac:dyDescent="0.25">
      <c r="A1004" t="s">
        <v>1388</v>
      </c>
      <c r="B1004" t="str">
        <f t="shared" si="34"/>
        <v>&lt;prefix&gt;_&lt;mm&gt;&lt;cy&gt;&lt;yy&gt;_&lt;ar&gt;Bridget Snapshot by Site with RC with Case</v>
      </c>
      <c r="D1004" s="12"/>
    </row>
    <row r="1005" spans="1:4" x14ac:dyDescent="0.25">
      <c r="A1005" t="s">
        <v>1389</v>
      </c>
      <c r="B1005" t="str">
        <f t="shared" si="34"/>
        <v>&lt;prefix&gt;_&lt;mm&gt;&lt;cy&gt;&lt;yy&gt;_&lt;ar&gt;Bridget Transactions by RC</v>
      </c>
      <c r="D1005" s="12"/>
    </row>
    <row r="1006" spans="1:4" x14ac:dyDescent="0.25">
      <c r="A1006" t="s">
        <v>1390</v>
      </c>
      <c r="B1006" t="str">
        <f t="shared" si="34"/>
        <v>&lt;prefix&gt;_&lt;mm&gt;&lt;cy&gt;&lt;yy&gt;_&lt;ar&gt;Bridget User Activity for a Day</v>
      </c>
      <c r="D1006" s="12"/>
    </row>
    <row r="1007" spans="1:4" x14ac:dyDescent="0.25">
      <c r="A1007" t="s">
        <v>1391</v>
      </c>
      <c r="B1007" t="str">
        <f t="shared" si="34"/>
        <v>&lt;prefix&gt;_&lt;mm&gt;&lt;cy&gt;&lt;yy&gt;_&lt;ar&gt;Bridget WriteOff Delete Volumes with Res codes</v>
      </c>
      <c r="D1007" s="12"/>
    </row>
    <row r="1008" spans="1:4" x14ac:dyDescent="0.25">
      <c r="A1008" t="s">
        <v>1392</v>
      </c>
      <c r="B1008" t="str">
        <f t="shared" si="34"/>
        <v>&lt;prefix&gt;_&lt;mm&gt;&lt;cy&gt;&lt;yy&gt;_&lt;ar&gt;CMRS Detail Usage not Loaded by Site by Day</v>
      </c>
      <c r="D1008" s="12"/>
    </row>
    <row r="1009" spans="1:4" x14ac:dyDescent="0.25">
      <c r="A1009" t="s">
        <v>1269</v>
      </c>
      <c r="B1009" t="str">
        <f t="shared" si="34"/>
        <v>&lt;prefix&gt;_&lt;mm&gt;&lt;cy&gt;&lt;yy&gt;_&lt;ar&gt;Company Master Report</v>
      </c>
      <c r="D1009" s="12"/>
    </row>
    <row r="1010" spans="1:4" x14ac:dyDescent="0.25">
      <c r="A1010" t="s">
        <v>1347</v>
      </c>
      <c r="B1010" t="str">
        <f t="shared" si="34"/>
        <v>&lt;prefix&gt;_&lt;mm&gt;&lt;cy&gt;&lt;yy&gt;_&lt;ar&gt;Customer BAN Info 4 v3</v>
      </c>
      <c r="D1010" s="12"/>
    </row>
    <row r="1011" spans="1:4" x14ac:dyDescent="0.25">
      <c r="A1011" t="s">
        <v>1393</v>
      </c>
      <c r="B1011" t="str">
        <f t="shared" si="34"/>
        <v>&lt;prefix&gt;_&lt;mm&gt;&lt;cy&gt;&lt;yy&gt;_&lt;ar&gt;DA vs Other Reports</v>
      </c>
      <c r="D1011" s="12"/>
    </row>
    <row r="1012" spans="1:4" x14ac:dyDescent="0.25">
      <c r="A1012" t="s">
        <v>1394</v>
      </c>
      <c r="B1012" t="str">
        <f t="shared" si="34"/>
        <v>&lt;prefix&gt;_&lt;mm&gt;&lt;cy&gt;&lt;yy&gt;_&lt;ar&gt;Days Old Held</v>
      </c>
      <c r="D1012" s="12"/>
    </row>
    <row r="1013" spans="1:4" x14ac:dyDescent="0.25">
      <c r="A1013" t="s">
        <v>1395</v>
      </c>
      <c r="B1013" t="str">
        <f t="shared" si="34"/>
        <v>&lt;prefix&gt;_&lt;mm&gt;&lt;cy&gt;&lt;yy&gt;_&lt;ar&gt;Days Old Other</v>
      </c>
      <c r="D1013" s="12"/>
    </row>
    <row r="1014" spans="1:4" x14ac:dyDescent="0.25">
      <c r="A1014" t="s">
        <v>1271</v>
      </c>
      <c r="B1014" t="str">
        <f t="shared" ref="B1014:B1077" si="35">"&lt;prefix&gt;_&lt;mm&gt;&lt;cy&gt;&lt;yy&gt;_&lt;ar&gt;"&amp;A1014</f>
        <v>&lt;prefix&gt;_&lt;mm&gt;&lt;cy&gt;&lt;yy&gt;_&lt;ar&gt;Dispute amounts by type by month</v>
      </c>
      <c r="D1014" s="12"/>
    </row>
    <row r="1015" spans="1:4" x14ac:dyDescent="0.25">
      <c r="A1015" t="s">
        <v>1272</v>
      </c>
      <c r="B1015" t="str">
        <f t="shared" si="35"/>
        <v>&lt;prefix&gt;_&lt;mm&gt;&lt;cy&gt;&lt;yy&gt;_&lt;ar&gt;Dispute amounts by type by month by carrier</v>
      </c>
      <c r="D1015" s="12"/>
    </row>
    <row r="1016" spans="1:4" x14ac:dyDescent="0.25">
      <c r="A1016" t="s">
        <v>1273</v>
      </c>
      <c r="B1016" t="str">
        <f t="shared" si="35"/>
        <v>&lt;prefix&gt;_&lt;mm&gt;&lt;cy&gt;&lt;yy&gt;_&lt;ar&gt;Dispute amounts by type by quarter</v>
      </c>
      <c r="D1016" s="12"/>
    </row>
    <row r="1017" spans="1:4" x14ac:dyDescent="0.25">
      <c r="A1017" t="s">
        <v>1274</v>
      </c>
      <c r="B1017" t="str">
        <f t="shared" si="35"/>
        <v>&lt;prefix&gt;_&lt;mm&gt;&lt;cy&gt;&lt;yy&gt;_&lt;ar&gt;Dispute amounts by type by quarter by carrier</v>
      </c>
      <c r="D1017" s="12"/>
    </row>
    <row r="1018" spans="1:4" x14ac:dyDescent="0.25">
      <c r="A1018" t="s">
        <v>1275</v>
      </c>
      <c r="B1018" t="str">
        <f t="shared" si="35"/>
        <v>&lt;prefix&gt;_&lt;mm&gt;&lt;cy&gt;&lt;yy&gt;_&lt;ar&gt;Dispute amounts/carrier/month for a given year</v>
      </c>
      <c r="D1018" s="12"/>
    </row>
    <row r="1019" spans="1:4" x14ac:dyDescent="0.25">
      <c r="A1019" t="s">
        <v>1276</v>
      </c>
      <c r="B1019" t="str">
        <f t="shared" si="35"/>
        <v>&lt;prefix&gt;_&lt;mm&gt;&lt;cy&gt;&lt;yy&gt;_&lt;ar&gt;Dispute amounts/carrier/qtr for a given year</v>
      </c>
      <c r="D1019" s="12"/>
    </row>
    <row r="1020" spans="1:4" x14ac:dyDescent="0.25">
      <c r="A1020" t="s">
        <v>1279</v>
      </c>
      <c r="B1020" t="str">
        <f t="shared" si="35"/>
        <v>&lt;prefix&gt;_&lt;mm&gt;&lt;cy&gt;&lt;yy&gt;_&lt;ar&gt;EC1050 Report</v>
      </c>
      <c r="D1020" s="12"/>
    </row>
    <row r="1021" spans="1:4" x14ac:dyDescent="0.25">
      <c r="A1021" t="s">
        <v>70</v>
      </c>
      <c r="B1021" t="str">
        <f t="shared" si="35"/>
        <v>&lt;prefix&gt;_&lt;mm&gt;&lt;cy&gt;&lt;yy&gt;_&lt;ar&gt;FA Charges Summary</v>
      </c>
      <c r="D1021" s="12"/>
    </row>
    <row r="1022" spans="1:4" x14ac:dyDescent="0.25">
      <c r="A1022" t="s">
        <v>71</v>
      </c>
      <c r="B1022" t="str">
        <f t="shared" si="35"/>
        <v>&lt;prefix&gt;_&lt;mm&gt;&lt;cy&gt;&lt;yy&gt;_&lt;ar&gt;FA Circuit Charges by CIC by CLLI</v>
      </c>
      <c r="D1022" s="12"/>
    </row>
    <row r="1023" spans="1:4" x14ac:dyDescent="0.25">
      <c r="A1023" t="s">
        <v>1396</v>
      </c>
      <c r="B1023" t="str">
        <f t="shared" si="35"/>
        <v>&lt;prefix&gt;_&lt;mm&gt;&lt;cy&gt;&lt;yy&gt;_&lt;ar&gt;Factor Matrix - Check</v>
      </c>
      <c r="D1023" s="12"/>
    </row>
    <row r="1024" spans="1:4" x14ac:dyDescent="0.25">
      <c r="A1024" t="s">
        <v>78</v>
      </c>
      <c r="B1024" t="str">
        <f t="shared" si="35"/>
        <v>&lt;prefix&gt;_&lt;mm&gt;&lt;cy&gt;&lt;yy&gt;_&lt;ar&gt;Fulfillment Report</v>
      </c>
      <c r="D1024" s="12"/>
    </row>
    <row r="1025" spans="1:4" x14ac:dyDescent="0.25">
      <c r="A1025" t="s">
        <v>1397</v>
      </c>
      <c r="B1025" t="str">
        <f t="shared" si="35"/>
        <v>&lt;prefix&gt;_&lt;mm&gt;&lt;cy&gt;&lt;yy&gt;_&lt;ar&gt;FUSC Charge by Circuit</v>
      </c>
      <c r="D1025" s="12"/>
    </row>
    <row r="1026" spans="1:4" x14ac:dyDescent="0.25">
      <c r="A1026" t="s">
        <v>1398</v>
      </c>
      <c r="B1026" t="str">
        <f t="shared" si="35"/>
        <v>&lt;prefix&gt;_&lt;mm&gt;&lt;cy&gt;&lt;yy&gt;_&lt;ar&gt;GCI - Aging Through A Selected Date</v>
      </c>
      <c r="D1026" s="12"/>
    </row>
    <row r="1027" spans="1:4" x14ac:dyDescent="0.25">
      <c r="A1027" t="s">
        <v>1399</v>
      </c>
      <c r="B1027" t="str">
        <f t="shared" si="35"/>
        <v>&lt;prefix&gt;_&lt;mm&gt;&lt;cy&gt;&lt;yy&gt;_&lt;ar&gt;GCI - Aging Thru A Date BAN Total</v>
      </c>
      <c r="D1027" s="12"/>
    </row>
    <row r="1028" spans="1:4" x14ac:dyDescent="0.25">
      <c r="A1028" t="s">
        <v>1400</v>
      </c>
      <c r="B1028" t="str">
        <f t="shared" si="35"/>
        <v>&lt;prefix&gt;_&lt;mm&gt;&lt;cy&gt;&lt;yy&gt;_&lt;ar&gt;GCI - Aging Thru A Date Invoice Totals</v>
      </c>
      <c r="D1028" s="12"/>
    </row>
    <row r="1029" spans="1:4" x14ac:dyDescent="0.25">
      <c r="A1029" t="s">
        <v>1401</v>
      </c>
      <c r="B1029" t="str">
        <f t="shared" si="35"/>
        <v>&lt;prefix&gt;_&lt;mm&gt;&lt;cy&gt;&lt;yy&gt;_&lt;ar&gt;GCI - Mts 705 Report</v>
      </c>
      <c r="D1029" s="12"/>
    </row>
    <row r="1030" spans="1:4" x14ac:dyDescent="0.25">
      <c r="A1030" t="s">
        <v>1402</v>
      </c>
      <c r="B1030" t="str">
        <f t="shared" si="35"/>
        <v>&lt;prefix&gt;_&lt;mm&gt;&lt;cy&gt;&lt;yy&gt;_&lt;ar&gt;GCI - Posted Payments Thru A Date</v>
      </c>
      <c r="D1030" s="12"/>
    </row>
    <row r="1031" spans="1:4" x14ac:dyDescent="0.25">
      <c r="A1031" t="s">
        <v>1403</v>
      </c>
      <c r="B1031" t="str">
        <f t="shared" si="35"/>
        <v>&lt;prefix&gt;_&lt;mm&gt;&lt;cy&gt;&lt;yy&gt;_&lt;ar&gt;GCI Aging Thru A Date BAN Totals v2</v>
      </c>
      <c r="D1031" s="12"/>
    </row>
    <row r="1032" spans="1:4" x14ac:dyDescent="0.25">
      <c r="A1032" t="s">
        <v>1404</v>
      </c>
      <c r="B1032" t="str">
        <f t="shared" si="35"/>
        <v>&lt;prefix&gt;_&lt;mm&gt;&lt;cy&gt;&lt;yy&gt;_&lt;ar&gt;GCI Aging Thru A Date Invoice Totals v2</v>
      </c>
      <c r="D1032" s="12"/>
    </row>
    <row r="1033" spans="1:4" x14ac:dyDescent="0.25">
      <c r="A1033" t="s">
        <v>1405</v>
      </c>
      <c r="B1033" t="str">
        <f t="shared" si="35"/>
        <v>&lt;prefix&gt;_&lt;mm&gt;&lt;cy&gt;&lt;yy&gt;_&lt;ar&gt;GCI Aging Thru Date</v>
      </c>
      <c r="D1033" s="12"/>
    </row>
    <row r="1034" spans="1:4" x14ac:dyDescent="0.25">
      <c r="A1034" t="s">
        <v>1406</v>
      </c>
      <c r="B1034" t="str">
        <f t="shared" si="35"/>
        <v>&lt;prefix&gt;_&lt;mm&gt;&lt;cy&gt;&lt;yy&gt;_&lt;ar&gt;GCI FA 705 Report</v>
      </c>
      <c r="D1034" s="12"/>
    </row>
    <row r="1035" spans="1:4" x14ac:dyDescent="0.25">
      <c r="A1035" t="s">
        <v>1407</v>
      </c>
      <c r="B1035" t="str">
        <f t="shared" si="35"/>
        <v>&lt;prefix&gt;_&lt;mm&gt;&lt;cy&gt;&lt;yy&gt;_&lt;ar&gt;GCI GLExtract Accruals</v>
      </c>
      <c r="D1035" s="12"/>
    </row>
    <row r="1036" spans="1:4" x14ac:dyDescent="0.25">
      <c r="A1036" t="s">
        <v>1408</v>
      </c>
      <c r="B1036" t="str">
        <f t="shared" si="35"/>
        <v>&lt;prefix&gt;_&lt;mm&gt;&lt;cy&gt;&lt;yy&gt;_&lt;ar&gt;GCI GLExtract Accruals with Ban</v>
      </c>
      <c r="D1036" s="12"/>
    </row>
    <row r="1037" spans="1:4" x14ac:dyDescent="0.25">
      <c r="A1037" t="s">
        <v>1409</v>
      </c>
      <c r="B1037" t="str">
        <f t="shared" si="35"/>
        <v>&lt;prefix&gt;_&lt;mm&gt;&lt;cy&gt;&lt;yy&gt;_&lt;ar&gt;GCI GLExtract All</v>
      </c>
      <c r="D1037" s="12"/>
    </row>
    <row r="1038" spans="1:4" x14ac:dyDescent="0.25">
      <c r="A1038" t="s">
        <v>1410</v>
      </c>
      <c r="B1038" t="str">
        <f t="shared" si="35"/>
        <v>&lt;prefix&gt;_&lt;mm&gt;&lt;cy&gt;&lt;yy&gt;_&lt;ar&gt;GCI GLExtract GLFeed</v>
      </c>
      <c r="D1038" s="12"/>
    </row>
    <row r="1039" spans="1:4" x14ac:dyDescent="0.25">
      <c r="A1039" t="s">
        <v>1411</v>
      </c>
      <c r="B1039" t="str">
        <f t="shared" si="35"/>
        <v>&lt;prefix&gt;_&lt;mm&gt;&lt;cy&gt;&lt;yy&gt;_&lt;ar&gt;GCI GLExtract Payments</v>
      </c>
      <c r="D1039" s="12"/>
    </row>
    <row r="1040" spans="1:4" x14ac:dyDescent="0.25">
      <c r="A1040" t="s">
        <v>1412</v>
      </c>
      <c r="B1040" t="str">
        <f t="shared" si="35"/>
        <v>&lt;prefix&gt;_&lt;mm&gt;&lt;cy&gt;&lt;yy&gt;_&lt;ar&gt;GCI GLExtract Payments with Ban</v>
      </c>
      <c r="D1040" s="12"/>
    </row>
    <row r="1041" spans="1:4" x14ac:dyDescent="0.25">
      <c r="A1041" t="s">
        <v>1413</v>
      </c>
      <c r="B1041" t="str">
        <f t="shared" si="35"/>
        <v>&lt;prefix&gt;_&lt;mm&gt;&lt;cy&gt;&lt;yy&gt;_&lt;ar&gt;GCI GLExtract Revenue</v>
      </c>
      <c r="D1041" s="12"/>
    </row>
    <row r="1042" spans="1:4" x14ac:dyDescent="0.25">
      <c r="A1042" t="s">
        <v>1414</v>
      </c>
      <c r="B1042" t="str">
        <f t="shared" si="35"/>
        <v>&lt;prefix&gt;_&lt;mm&gt;&lt;cy&gt;&lt;yy&gt;_&lt;ar&gt;GCI GLExtract Revenue  with Ban</v>
      </c>
      <c r="D1042" s="12"/>
    </row>
    <row r="1043" spans="1:4" x14ac:dyDescent="0.25">
      <c r="A1043" t="s">
        <v>1415</v>
      </c>
      <c r="B1043" t="str">
        <f t="shared" si="35"/>
        <v>&lt;prefix&gt;_&lt;mm&gt;&lt;cy&gt;&lt;yy&gt;_&lt;ar&gt;GCI GLExtract Trailers</v>
      </c>
      <c r="D1043" s="12"/>
    </row>
    <row r="1044" spans="1:4" x14ac:dyDescent="0.25">
      <c r="A1044" t="s">
        <v>1416</v>
      </c>
      <c r="B1044" t="str">
        <f t="shared" si="35"/>
        <v>&lt;prefix&gt;_&lt;mm&gt;&lt;cy&gt;&lt;yy&gt;_&lt;ar&gt;GCI MTS 705 Report</v>
      </c>
      <c r="D1044" s="12"/>
    </row>
    <row r="1045" spans="1:4" x14ac:dyDescent="0.25">
      <c r="A1045" t="s">
        <v>1417</v>
      </c>
      <c r="B1045" t="str">
        <f t="shared" si="35"/>
        <v>&lt;prefix&gt;_&lt;mm&gt;&lt;cy&gt;&lt;yy&gt;_&lt;ar&gt;GCI Payment By Date8</v>
      </c>
      <c r="D1045" s="12"/>
    </row>
    <row r="1046" spans="1:4" x14ac:dyDescent="0.25">
      <c r="A1046" t="s">
        <v>1418</v>
      </c>
      <c r="B1046" t="str">
        <f t="shared" si="35"/>
        <v>&lt;prefix&gt;_&lt;mm&gt;&lt;cy&gt;&lt;yy&gt;_&lt;ar&gt;GCI SOC Tariff Report</v>
      </c>
      <c r="D1046" s="12"/>
    </row>
    <row r="1047" spans="1:4" x14ac:dyDescent="0.25">
      <c r="A1047" t="s">
        <v>1419</v>
      </c>
      <c r="B1047" t="str">
        <f t="shared" si="35"/>
        <v>&lt;prefix&gt;_&lt;mm&gt;&lt;cy&gt;&lt;yy&gt;_&lt;ar&gt;GCI SOC Tariff Report with Schedule</v>
      </c>
      <c r="D1047" s="12"/>
    </row>
    <row r="1048" spans="1:4" x14ac:dyDescent="0.25">
      <c r="A1048" t="s">
        <v>1420</v>
      </c>
      <c r="B1048" t="str">
        <f t="shared" si="35"/>
        <v>&lt;prefix&gt;_&lt;mm&gt;&lt;cy&gt;&lt;yy&gt;_&lt;ar&gt;GCI SW Order Info Report</v>
      </c>
      <c r="D1048" s="12"/>
    </row>
    <row r="1049" spans="1:4" x14ac:dyDescent="0.25">
      <c r="A1049" t="s">
        <v>1421</v>
      </c>
      <c r="B1049" t="str">
        <f t="shared" si="35"/>
        <v>&lt;prefix&gt;_&lt;mm&gt;&lt;cy&gt;&lt;yy&gt;_&lt;ar&gt;GCI Wire Center Configuration Report</v>
      </c>
      <c r="D1049" s="12"/>
    </row>
    <row r="1050" spans="1:4" x14ac:dyDescent="0.25">
      <c r="A1050" t="s">
        <v>1422</v>
      </c>
      <c r="B1050" t="str">
        <f t="shared" si="35"/>
        <v>&lt;prefix&gt;_&lt;mm&gt;&lt;cy&gt;&lt;yy&gt;_&lt;ar&gt;GCI Wire Center Configuration2 Report</v>
      </c>
      <c r="D1050" s="12"/>
    </row>
    <row r="1051" spans="1:4" x14ac:dyDescent="0.25">
      <c r="A1051" t="s">
        <v>1423</v>
      </c>
      <c r="B1051" t="str">
        <f t="shared" si="35"/>
        <v>&lt;prefix&gt;_&lt;mm&gt;&lt;cy&gt;&lt;yy&gt;_&lt;ar&gt;GCI Wire Center Confiruration Report2</v>
      </c>
      <c r="D1051" s="12"/>
    </row>
    <row r="1052" spans="1:4" x14ac:dyDescent="0.25">
      <c r="A1052" t="s">
        <v>1424</v>
      </c>
      <c r="B1052" t="str">
        <f t="shared" si="35"/>
        <v>&lt;prefix&gt;_&lt;mm&gt;&lt;cy&gt;&lt;yy&gt;_&lt;ar&gt;GCIV5_Reports_Table</v>
      </c>
      <c r="D1052" s="12"/>
    </row>
    <row r="1053" spans="1:4" x14ac:dyDescent="0.25">
      <c r="A1053" t="s">
        <v>1425</v>
      </c>
      <c r="B1053" t="str">
        <f t="shared" si="35"/>
        <v>&lt;prefix&gt;_&lt;mm&gt;&lt;cy&gt;&lt;yy&gt;_&lt;ar&gt;GCIV5_Rpt_Argmnt</v>
      </c>
      <c r="D1053" s="12"/>
    </row>
    <row r="1054" spans="1:4" x14ac:dyDescent="0.25">
      <c r="A1054" t="s">
        <v>1281</v>
      </c>
      <c r="B1054" t="str">
        <f t="shared" si="35"/>
        <v>&lt;prefix&gt;_&lt;mm&gt;&lt;cy&gt;&lt;yy&gt;_&lt;ar&gt;Graph - Disputed Amounts by Carrier</v>
      </c>
      <c r="D1054" s="12"/>
    </row>
    <row r="1055" spans="1:4" x14ac:dyDescent="0.25">
      <c r="A1055" t="s">
        <v>1282</v>
      </c>
      <c r="B1055" t="str">
        <f t="shared" si="35"/>
        <v>&lt;prefix&gt;_&lt;mm&gt;&lt;cy&gt;&lt;yy&gt;_&lt;ar&gt;Graph - Disputed Amounts by Carrier by Date</v>
      </c>
      <c r="D1055" s="12"/>
    </row>
    <row r="1056" spans="1:4" x14ac:dyDescent="0.25">
      <c r="A1056" t="s">
        <v>1283</v>
      </c>
      <c r="B1056" t="str">
        <f t="shared" si="35"/>
        <v>&lt;prefix&gt;_&lt;mm&gt;&lt;cy&gt;&lt;yy&gt;_&lt;ar&gt;Graph - Disputed Amounts by dispute types</v>
      </c>
      <c r="D1056" s="12"/>
    </row>
    <row r="1057" spans="1:4" x14ac:dyDescent="0.25">
      <c r="A1057" t="s">
        <v>1284</v>
      </c>
      <c r="B1057" t="str">
        <f t="shared" si="35"/>
        <v>&lt;prefix&gt;_&lt;mm&gt;&lt;cy&gt;&lt;yy&gt;_&lt;ar&gt;Graph - Disputed Amounts vs Resolutions</v>
      </c>
      <c r="D1057" s="12"/>
    </row>
    <row r="1058" spans="1:4" x14ac:dyDescent="0.25">
      <c r="A1058" t="s">
        <v>1285</v>
      </c>
      <c r="B1058" t="str">
        <f t="shared" si="35"/>
        <v>&lt;prefix&gt;_&lt;mm&gt;&lt;cy&gt;&lt;yy&gt;_&lt;ar&gt;Graph - No. of Disputes by Carrier</v>
      </c>
      <c r="D1058" s="12"/>
    </row>
    <row r="1059" spans="1:4" x14ac:dyDescent="0.25">
      <c r="A1059" t="s">
        <v>1286</v>
      </c>
      <c r="B1059" t="str">
        <f t="shared" si="35"/>
        <v>&lt;prefix&gt;_&lt;mm&gt;&lt;cy&gt;&lt;yy&gt;_&lt;ar&gt;Graph - No. of Disputes by Carrier by Date</v>
      </c>
      <c r="D1059" s="12"/>
    </row>
    <row r="1060" spans="1:4" x14ac:dyDescent="0.25">
      <c r="A1060" t="s">
        <v>1426</v>
      </c>
      <c r="B1060" t="str">
        <f t="shared" si="35"/>
        <v>&lt;prefix&gt;_&lt;mm&gt;&lt;cy&gt;&lt;yy&gt;_&lt;ar&gt;Greg Transactions Date Range</v>
      </c>
      <c r="D1060" s="12"/>
    </row>
    <row r="1061" spans="1:4" x14ac:dyDescent="0.25">
      <c r="A1061" t="s">
        <v>1427</v>
      </c>
      <c r="B1061" t="str">
        <f t="shared" si="35"/>
        <v>&lt;prefix&gt;_&lt;mm&gt;&lt;cy&gt;&lt;yy&gt;_&lt;ar&gt;Identify Invalid Sub-cases</v>
      </c>
      <c r="D1061" s="12"/>
    </row>
    <row r="1062" spans="1:4" x14ac:dyDescent="0.25">
      <c r="A1062" t="s">
        <v>1428</v>
      </c>
      <c r="B1062" t="str">
        <f t="shared" si="35"/>
        <v>&lt;prefix&gt;_&lt;mm&gt;&lt;cy&gt;&lt;yy&gt;_&lt;ar&gt;Invoice Balance by Juris</v>
      </c>
      <c r="D1062" s="12"/>
    </row>
    <row r="1063" spans="1:4" x14ac:dyDescent="0.25">
      <c r="A1063" t="s">
        <v>1429</v>
      </c>
      <c r="B1063" t="str">
        <f t="shared" si="35"/>
        <v>&lt;prefix&gt;_&lt;mm&gt;&lt;cy&gt;&lt;yy&gt;_&lt;ar&gt;Lisa DETAIL MPB TRANSACTIONS</v>
      </c>
      <c r="D1063" s="12"/>
    </row>
    <row r="1064" spans="1:4" x14ac:dyDescent="0.25">
      <c r="A1064" t="s">
        <v>1430</v>
      </c>
      <c r="B1064" t="str">
        <f t="shared" si="35"/>
        <v>&lt;prefix&gt;_&lt;mm&gt;&lt;cy&gt;&lt;yy&gt;_&lt;ar&gt;Lori R0 ATXDR</v>
      </c>
      <c r="D1064" s="12"/>
    </row>
    <row r="1065" spans="1:4" x14ac:dyDescent="0.25">
      <c r="A1065" t="s">
        <v>1289</v>
      </c>
      <c r="B1065" t="str">
        <f t="shared" si="35"/>
        <v>&lt;prefix&gt;_&lt;mm&gt;&lt;cy&gt;&lt;yy&gt;_&lt;ar&gt;Message Record Analysis</v>
      </c>
      <c r="D1065" s="12"/>
    </row>
    <row r="1066" spans="1:4" x14ac:dyDescent="0.25">
      <c r="A1066" t="s">
        <v>1290</v>
      </c>
      <c r="B1066" t="str">
        <f t="shared" si="35"/>
        <v>&lt;prefix&gt;_&lt;mm&gt;&lt;cy&gt;&lt;yy&gt;_&lt;ar&gt;Messages and minutes billed by FG,CIC</v>
      </c>
      <c r="D1066" s="12"/>
    </row>
    <row r="1067" spans="1:4" x14ac:dyDescent="0.25">
      <c r="A1067" t="s">
        <v>1291</v>
      </c>
      <c r="B1067" t="str">
        <f t="shared" si="35"/>
        <v>&lt;prefix&gt;_&lt;mm&gt;&lt;cy&gt;&lt;yy&gt;_&lt;ar&gt;Messages and minutes billed by FG,CIC(Local separa</v>
      </c>
      <c r="D1067" s="12"/>
    </row>
    <row r="1068" spans="1:4" x14ac:dyDescent="0.25">
      <c r="A1068" t="s">
        <v>1292</v>
      </c>
      <c r="B1068" t="str">
        <f t="shared" si="35"/>
        <v>&lt;prefix&gt;_&lt;mm&gt;&lt;cy&gt;&lt;yy&gt;_&lt;ar&gt;Minutes</v>
      </c>
      <c r="D1068" s="12"/>
    </row>
    <row r="1069" spans="1:4" x14ac:dyDescent="0.25">
      <c r="A1069" t="s">
        <v>1293</v>
      </c>
      <c r="B1069" t="str">
        <f t="shared" si="35"/>
        <v>&lt;prefix&gt;_&lt;mm&gt;&lt;cy&gt;&lt;yy&gt;_&lt;ar&gt;Minutes billed by BAN, Orig- Term Inter-Intra Stat</v>
      </c>
      <c r="D1069" s="12"/>
    </row>
    <row r="1070" spans="1:4" x14ac:dyDescent="0.25">
      <c r="A1070" t="s">
        <v>1294</v>
      </c>
      <c r="B1070" t="str">
        <f t="shared" si="35"/>
        <v>&lt;prefix&gt;_&lt;mm&gt;&lt;cy&gt;&lt;yy&gt;_&lt;ar&gt;Minutes billed by BAN, Orig/ Term Inter/Intra Stat</v>
      </c>
      <c r="D1070" s="12"/>
    </row>
    <row r="1071" spans="1:4" x14ac:dyDescent="0.25">
      <c r="A1071" t="s">
        <v>100</v>
      </c>
      <c r="B1071" t="str">
        <f t="shared" si="35"/>
        <v>&lt;prefix&gt;_&lt;mm&gt;&lt;cy&gt;&lt;yy&gt;_&lt;ar&gt;NECA AS1000</v>
      </c>
      <c r="D1071" s="12"/>
    </row>
    <row r="1072" spans="1:4" x14ac:dyDescent="0.25">
      <c r="A1072" t="s">
        <v>101</v>
      </c>
      <c r="B1072" t="str">
        <f t="shared" si="35"/>
        <v>&lt;prefix&gt;_&lt;mm&gt;&lt;cy&gt;&lt;yy&gt;_&lt;ar&gt;NECA EC1050</v>
      </c>
      <c r="D1072" s="12"/>
    </row>
    <row r="1073" spans="1:4" x14ac:dyDescent="0.25">
      <c r="A1073" t="s">
        <v>1431</v>
      </c>
      <c r="B1073" t="str">
        <f t="shared" si="35"/>
        <v>&lt;prefix&gt;_&lt;mm&gt;&lt;cy&gt;&lt;yy&gt;_&lt;ar&gt;Non Common  Usage Excluded from Toni EOM</v>
      </c>
      <c r="D1073" s="12"/>
    </row>
    <row r="1074" spans="1:4" x14ac:dyDescent="0.25">
      <c r="A1074" t="s">
        <v>1297</v>
      </c>
      <c r="B1074" t="str">
        <f t="shared" si="35"/>
        <v>&lt;prefix&gt;_&lt;mm&gt;&lt;cy&gt;&lt;yy&gt;_&lt;ar&gt;Non FA Rate Element as Billed Table Report</v>
      </c>
      <c r="D1074" s="12"/>
    </row>
    <row r="1075" spans="1:4" x14ac:dyDescent="0.25">
      <c r="A1075" t="s">
        <v>1298</v>
      </c>
      <c r="B1075" t="str">
        <f t="shared" si="35"/>
        <v>&lt;prefix&gt;_&lt;mm&gt;&lt;cy&gt;&lt;yy&gt;_&lt;ar&gt;OCC Detail Report - Posted</v>
      </c>
      <c r="D1075" s="12"/>
    </row>
    <row r="1076" spans="1:4" x14ac:dyDescent="0.25">
      <c r="A1076" t="s">
        <v>1299</v>
      </c>
      <c r="B1076" t="str">
        <f t="shared" si="35"/>
        <v>&lt;prefix&gt;_&lt;mm&gt;&lt;cy&gt;&lt;yy&gt;_&lt;ar&gt;OCC Detail Report - Unposted</v>
      </c>
      <c r="D1076" s="12"/>
    </row>
    <row r="1077" spans="1:4" x14ac:dyDescent="0.25">
      <c r="A1077" t="s">
        <v>1432</v>
      </c>
      <c r="B1077" t="str">
        <f t="shared" si="35"/>
        <v>&lt;prefix&gt;_&lt;mm&gt;&lt;cy&gt;&lt;yy&gt;_&lt;ar&gt;OLK TEST</v>
      </c>
      <c r="D1077" s="12"/>
    </row>
    <row r="1078" spans="1:4" x14ac:dyDescent="0.25">
      <c r="A1078" t="s">
        <v>1300</v>
      </c>
      <c r="B1078" t="str">
        <f t="shared" ref="B1078:B1141" si="36">"&lt;prefix&gt;_&lt;mm&gt;&lt;cy&gt;&lt;yy&gt;_&lt;ar&gt;"&amp;A1078</f>
        <v>&lt;prefix&gt;_&lt;mm&gt;&lt;cy&gt;&lt;yy&gt;_&lt;ar&gt;Partially Paid Invoices</v>
      </c>
      <c r="D1078" s="12"/>
    </row>
    <row r="1079" spans="1:4" x14ac:dyDescent="0.25">
      <c r="A1079" t="s">
        <v>1301</v>
      </c>
      <c r="B1079" t="str">
        <f t="shared" si="36"/>
        <v>&lt;prefix&gt;_&lt;mm&gt;&lt;cy&gt;&lt;yy&gt;_&lt;ar&gt;Payment Details by Check</v>
      </c>
      <c r="D1079" s="12"/>
    </row>
    <row r="1080" spans="1:4" x14ac:dyDescent="0.25">
      <c r="A1080" t="s">
        <v>1302</v>
      </c>
      <c r="B1080" t="str">
        <f t="shared" si="36"/>
        <v>&lt;prefix&gt;_&lt;mm&gt;&lt;cy&gt;&lt;yy&gt;_&lt;ar&gt;Payments by Payer by BAN</v>
      </c>
      <c r="D1080" s="12"/>
    </row>
    <row r="1081" spans="1:4" x14ac:dyDescent="0.25">
      <c r="A1081" t="s">
        <v>1303</v>
      </c>
      <c r="B1081" t="str">
        <f t="shared" si="36"/>
        <v>&lt;prefix&gt;_&lt;mm&gt;&lt;cy&gt;&lt;yy&gt;_&lt;ar&gt;Payments Not on Bill</v>
      </c>
      <c r="D1081" s="12"/>
    </row>
    <row r="1082" spans="1:4" x14ac:dyDescent="0.25">
      <c r="A1082" t="s">
        <v>1304</v>
      </c>
      <c r="B1082" t="str">
        <f t="shared" si="36"/>
        <v>&lt;prefix&gt;_&lt;mm&gt;&lt;cy&gt;&lt;yy&gt;_&lt;ar&gt;Percent of disputes/billed per month/year</v>
      </c>
      <c r="D1082" s="12"/>
    </row>
    <row r="1083" spans="1:4" x14ac:dyDescent="0.25">
      <c r="A1083" t="s">
        <v>1305</v>
      </c>
      <c r="B1083" t="str">
        <f t="shared" si="36"/>
        <v>&lt;prefix&gt;_&lt;mm&gt;&lt;cy&gt;&lt;yy&gt;_&lt;ar&gt;Percent of disputes/billed per qtr/year</v>
      </c>
      <c r="D1083" s="12"/>
    </row>
    <row r="1084" spans="1:4" x14ac:dyDescent="0.25">
      <c r="A1084" t="s">
        <v>1433</v>
      </c>
      <c r="B1084" t="str">
        <f t="shared" si="36"/>
        <v>&lt;prefix&gt;_&lt;mm&gt;&lt;cy&gt;&lt;yy&gt;_&lt;ar&gt;Pilot Count 800 DB</v>
      </c>
      <c r="D1084" s="12"/>
    </row>
    <row r="1085" spans="1:4" x14ac:dyDescent="0.25">
      <c r="A1085" t="s">
        <v>1434</v>
      </c>
      <c r="B1085" t="str">
        <f t="shared" si="36"/>
        <v>&lt;prefix&gt;_&lt;mm&gt;&lt;cy&gt;&lt;yy&gt;_&lt;ar&gt;Pilot Count all PEGS</v>
      </c>
      <c r="D1085" s="12"/>
    </row>
    <row r="1086" spans="1:4" x14ac:dyDescent="0.25">
      <c r="A1086" t="s">
        <v>1435</v>
      </c>
      <c r="B1086" t="str">
        <f t="shared" si="36"/>
        <v>&lt;prefix&gt;_&lt;mm&gt;&lt;cy&gt;&lt;yy&gt;_&lt;ar&gt;Pilot Count CNAM</v>
      </c>
      <c r="D1086" s="12"/>
    </row>
    <row r="1087" spans="1:4" x14ac:dyDescent="0.25">
      <c r="A1087" t="s">
        <v>1436</v>
      </c>
      <c r="B1087" t="str">
        <f t="shared" si="36"/>
        <v>&lt;prefix&gt;_&lt;mm&gt;&lt;cy&gt;&lt;yy&gt;_&lt;ar&gt;Pilot Count CNAM 2</v>
      </c>
      <c r="D1087" s="12"/>
    </row>
    <row r="1088" spans="1:4" x14ac:dyDescent="0.25">
      <c r="A1088" t="s">
        <v>1437</v>
      </c>
      <c r="B1088" t="str">
        <f t="shared" si="36"/>
        <v>&lt;prefix&gt;_&lt;mm&gt;&lt;cy&gt;&lt;yy&gt;_&lt;ar&gt;Pilot Count CNAM 3</v>
      </c>
      <c r="D1088" s="12"/>
    </row>
    <row r="1089" spans="1:4" x14ac:dyDescent="0.25">
      <c r="A1089" t="s">
        <v>1438</v>
      </c>
      <c r="B1089" t="str">
        <f t="shared" si="36"/>
        <v>&lt;prefix&gt;_&lt;mm&gt;&lt;cy&gt;&lt;yy&gt;_&lt;ar&gt;Pilot Count CNAM BS</v>
      </c>
      <c r="D1089" s="12"/>
    </row>
    <row r="1090" spans="1:4" x14ac:dyDescent="0.25">
      <c r="A1090" t="s">
        <v>1439</v>
      </c>
      <c r="B1090" t="str">
        <f t="shared" si="36"/>
        <v>&lt;prefix&gt;_&lt;mm&gt;&lt;cy&gt;&lt;yy&gt;_&lt;ar&gt;Pilot Count CNAM Date</v>
      </c>
      <c r="D1090" s="12"/>
    </row>
    <row r="1091" spans="1:4" x14ac:dyDescent="0.25">
      <c r="A1091" t="s">
        <v>1440</v>
      </c>
      <c r="B1091" t="str">
        <f t="shared" si="36"/>
        <v>&lt;prefix&gt;_&lt;mm&gt;&lt;cy&gt;&lt;yy&gt;_&lt;ar&gt;Pilot Count FGK</v>
      </c>
      <c r="D1091" s="12"/>
    </row>
    <row r="1092" spans="1:4" x14ac:dyDescent="0.25">
      <c r="A1092" t="s">
        <v>1441</v>
      </c>
      <c r="B1092" t="str">
        <f t="shared" si="36"/>
        <v>&lt;prefix&gt;_&lt;mm&gt;&lt;cy&gt;&lt;yy&gt;_&lt;ar&gt;Pilot Count FGS</v>
      </c>
      <c r="D1092" s="12"/>
    </row>
    <row r="1093" spans="1:4" x14ac:dyDescent="0.25">
      <c r="A1093" t="s">
        <v>1442</v>
      </c>
      <c r="B1093" t="str">
        <f t="shared" si="36"/>
        <v>&lt;prefix&gt;_&lt;mm&gt;&lt;cy&gt;&lt;yy&gt;_&lt;ar&gt;Pilot Count LIDB</v>
      </c>
      <c r="D1093" s="12"/>
    </row>
    <row r="1094" spans="1:4" x14ac:dyDescent="0.25">
      <c r="A1094" t="s">
        <v>1443</v>
      </c>
      <c r="B1094" t="str">
        <f t="shared" si="36"/>
        <v>&lt;prefix&gt;_&lt;mm&gt;&lt;cy&gt;&lt;yy&gt;_&lt;ar&gt;Pilot Count LIDB 254</v>
      </c>
      <c r="D1094" s="12"/>
    </row>
    <row r="1095" spans="1:4" x14ac:dyDescent="0.25">
      <c r="A1095" t="s">
        <v>1444</v>
      </c>
      <c r="B1095" t="str">
        <f t="shared" si="36"/>
        <v>&lt;prefix&gt;_&lt;mm&gt;&lt;cy&gt;&lt;yy&gt;_&lt;ar&gt;Pilot Count LNPQFH</v>
      </c>
      <c r="D1095" s="12"/>
    </row>
    <row r="1096" spans="1:4" x14ac:dyDescent="0.25">
      <c r="A1096" t="s">
        <v>1445</v>
      </c>
      <c r="B1096" t="str">
        <f t="shared" si="36"/>
        <v>&lt;prefix&gt;_&lt;mm&gt;&lt;cy&gt;&lt;yy&gt;_&lt;ar&gt;Pilot Count Trigger Link</v>
      </c>
      <c r="D1096" s="12"/>
    </row>
    <row r="1097" spans="1:4" x14ac:dyDescent="0.25">
      <c r="A1097" t="s">
        <v>1446</v>
      </c>
      <c r="B1097" t="str">
        <f t="shared" si="36"/>
        <v>&lt;prefix&gt;_&lt;mm&gt;&lt;cy&gt;&lt;yy&gt;_&lt;ar&gt;Pilot Count VSN</v>
      </c>
      <c r="D1097" s="12"/>
    </row>
    <row r="1098" spans="1:4" x14ac:dyDescent="0.25">
      <c r="A1098" t="s">
        <v>1447</v>
      </c>
      <c r="B1098" t="str">
        <f t="shared" si="36"/>
        <v>&lt;prefix&gt;_&lt;mm&gt;&lt;cy&gt;&lt;yy&gt;_&lt;ar&gt;Pilot History 4</v>
      </c>
      <c r="D1098" s="12"/>
    </row>
    <row r="1099" spans="1:4" x14ac:dyDescent="0.25">
      <c r="A1099" t="s">
        <v>1448</v>
      </c>
      <c r="B1099" t="str">
        <f t="shared" si="36"/>
        <v>&lt;prefix&gt;_&lt;mm&gt;&lt;cy&gt;&lt;yy&gt;_&lt;ar&gt;Pilot IBIS MOU Count 03</v>
      </c>
      <c r="D1099" s="12"/>
    </row>
    <row r="1100" spans="1:4" x14ac:dyDescent="0.25">
      <c r="A1100" t="s">
        <v>1308</v>
      </c>
      <c r="B1100" t="str">
        <f t="shared" si="36"/>
        <v>&lt;prefix&gt;_&lt;mm&gt;&lt;cy&gt;&lt;yy&gt;_&lt;ar&gt;Post billing rate change adj. calc. - FA</v>
      </c>
      <c r="D1100" s="12"/>
    </row>
    <row r="1101" spans="1:4" x14ac:dyDescent="0.25">
      <c r="A1101" t="s">
        <v>1309</v>
      </c>
      <c r="B1101" t="str">
        <f t="shared" si="36"/>
        <v>&lt;prefix&gt;_&lt;mm&gt;&lt;cy&gt;&lt;yy&gt;_&lt;ar&gt;Post billing rate change adj. calc. - SW</v>
      </c>
      <c r="D1101" s="12"/>
    </row>
    <row r="1102" spans="1:4" x14ac:dyDescent="0.25">
      <c r="A1102" t="s">
        <v>1449</v>
      </c>
      <c r="B1102" t="str">
        <f t="shared" si="36"/>
        <v>&lt;prefix&gt;_&lt;mm&gt;&lt;cy&gt;&lt;yy&gt;_&lt;ar&gt;R0 Errors by NPA NXX Office</v>
      </c>
      <c r="D1102" s="12"/>
    </row>
    <row r="1103" spans="1:4" x14ac:dyDescent="0.25">
      <c r="A1103" t="s">
        <v>1450</v>
      </c>
      <c r="B1103" t="str">
        <f t="shared" si="36"/>
        <v>&lt;prefix&gt;_&lt;mm&gt;&lt;cy&gt;&lt;yy&gt;_&lt;ar&gt;R0 Errors by Orig NPX NXX Office</v>
      </c>
      <c r="D1103" s="12"/>
    </row>
    <row r="1104" spans="1:4" x14ac:dyDescent="0.25">
      <c r="A1104" t="s">
        <v>1310</v>
      </c>
      <c r="B1104" t="str">
        <f t="shared" si="36"/>
        <v>&lt;prefix&gt;_&lt;mm&gt;&lt;cy&gt;&lt;yy&gt;_&lt;ar&gt;Rate Element Table Report</v>
      </c>
      <c r="D1104" s="12"/>
    </row>
    <row r="1105" spans="1:4" x14ac:dyDescent="0.25">
      <c r="A1105" t="s">
        <v>1311</v>
      </c>
      <c r="B1105" t="str">
        <f t="shared" si="36"/>
        <v>&lt;prefix&gt;_&lt;mm&gt;&lt;cy&gt;&lt;yy&gt;_&lt;ar&gt;Reconciliation of account balance over time</v>
      </c>
      <c r="D1105" s="12"/>
    </row>
    <row r="1106" spans="1:4" x14ac:dyDescent="0.25">
      <c r="A1106" t="s">
        <v>1312</v>
      </c>
      <c r="B1106" t="str">
        <f t="shared" si="36"/>
        <v>&lt;prefix&gt;_&lt;mm&gt;&lt;cy&gt;&lt;yy&gt;_&lt;ar&gt;Resolved Disputes by carrier</v>
      </c>
      <c r="D1106" s="12"/>
    </row>
    <row r="1107" spans="1:4" x14ac:dyDescent="0.25">
      <c r="A1107" t="s">
        <v>1313</v>
      </c>
      <c r="B1107" t="str">
        <f t="shared" si="36"/>
        <v>&lt;prefix&gt;_&lt;mm&gt;&lt;cy&gt;&lt;yy&gt;_&lt;ar&gt;Revenue</v>
      </c>
      <c r="D1107" s="12"/>
    </row>
    <row r="1108" spans="1:4" x14ac:dyDescent="0.25">
      <c r="A1108" t="s">
        <v>1314</v>
      </c>
      <c r="B1108" t="str">
        <f t="shared" si="36"/>
        <v>&lt;prefix&gt;_&lt;mm&gt;&lt;cy&gt;&lt;yy&gt;_&lt;ar&gt;Revenue billed by BAN, Inter/Intra State</v>
      </c>
      <c r="D1108" s="12"/>
    </row>
    <row r="1109" spans="1:4" x14ac:dyDescent="0.25">
      <c r="A1109" t="s">
        <v>1315</v>
      </c>
      <c r="B1109" t="str">
        <f t="shared" si="36"/>
        <v>&lt;prefix&gt;_&lt;mm&gt;&lt;cy&gt;&lt;yy&gt;_&lt;ar&gt;Revenue billed by BAN, Inter-Intra State</v>
      </c>
      <c r="D1109" s="12"/>
    </row>
    <row r="1110" spans="1:4" x14ac:dyDescent="0.25">
      <c r="A1110" t="s">
        <v>1451</v>
      </c>
      <c r="B1110" t="str">
        <f t="shared" si="36"/>
        <v>&lt;prefix&gt;_&lt;mm&gt;&lt;cy&gt;&lt;yy&gt;_&lt;ar&gt;Rules that Expire within 30 days</v>
      </c>
      <c r="D1110" s="12"/>
    </row>
    <row r="1111" spans="1:4" x14ac:dyDescent="0.25">
      <c r="A1111" t="s">
        <v>1316</v>
      </c>
      <c r="B1111" t="str">
        <f t="shared" si="36"/>
        <v>&lt;prefix&gt;_&lt;mm&gt;&lt;cy&gt;&lt;yy&gt;_&lt;ar&gt;Security Report by User</v>
      </c>
      <c r="D1111" s="12"/>
    </row>
    <row r="1112" spans="1:4" x14ac:dyDescent="0.25">
      <c r="A1112" t="s">
        <v>1317</v>
      </c>
      <c r="B1112" t="str">
        <f t="shared" si="36"/>
        <v>&lt;prefix&gt;_&lt;mm&gt;&lt;cy&gt;&lt;yy&gt;_&lt;ar&gt;Security Report by Window</v>
      </c>
      <c r="D1112" s="12"/>
    </row>
    <row r="1113" spans="1:4" x14ac:dyDescent="0.25">
      <c r="A1113" t="s">
        <v>1452</v>
      </c>
      <c r="B1113" t="str">
        <f t="shared" si="36"/>
        <v>&lt;prefix&gt;_&lt;mm&gt;&lt;cy&gt;&lt;yy&gt;_&lt;ar&gt;Snapshot Internal with RC</v>
      </c>
      <c r="D1113" s="12"/>
    </row>
    <row r="1114" spans="1:4" x14ac:dyDescent="0.25">
      <c r="A1114" t="s">
        <v>1453</v>
      </c>
      <c r="B1114" t="str">
        <f t="shared" si="36"/>
        <v>&lt;prefix&gt;_&lt;mm&gt;&lt;cy&gt;&lt;yy&gt;_&lt;ar&gt;Snapshot Internal with RC First</v>
      </c>
      <c r="D1114" s="12"/>
    </row>
    <row r="1115" spans="1:4" x14ac:dyDescent="0.25">
      <c r="A1115" t="s">
        <v>1454</v>
      </c>
      <c r="B1115" t="str">
        <f t="shared" si="36"/>
        <v>&lt;prefix&gt;_&lt;mm&gt;&lt;cy&gt;&lt;yy&gt;_&lt;ar&gt;Snapshot Internal with RC Pegs</v>
      </c>
      <c r="D1115" s="12"/>
    </row>
    <row r="1116" spans="1:4" x14ac:dyDescent="0.25">
      <c r="A1116" t="s">
        <v>1455</v>
      </c>
      <c r="B1116" t="str">
        <f t="shared" si="36"/>
        <v>&lt;prefix&gt;_&lt;mm&gt;&lt;cy&gt;&lt;yy&gt;_&lt;ar&gt;Snapshot Internal with RC Pegs First</v>
      </c>
      <c r="D1116" s="12"/>
    </row>
    <row r="1117" spans="1:4" x14ac:dyDescent="0.25">
      <c r="A1117" t="s">
        <v>1318</v>
      </c>
      <c r="B1117" t="str">
        <f t="shared" si="36"/>
        <v>&lt;prefix&gt;_&lt;mm&gt;&lt;cy&gt;&lt;yy&gt;_&lt;ar&gt;SOC Jurisdiction Table Report</v>
      </c>
      <c r="D1117" s="12"/>
    </row>
    <row r="1118" spans="1:4" x14ac:dyDescent="0.25">
      <c r="A1118" t="s">
        <v>1319</v>
      </c>
      <c r="B1118" t="str">
        <f t="shared" si="36"/>
        <v>&lt;prefix&gt;_&lt;mm&gt;&lt;cy&gt;&lt;yy&gt;_&lt;ar&gt;SOC Rate Comparison between companies</v>
      </c>
      <c r="D1118" s="12"/>
    </row>
    <row r="1119" spans="1:4" x14ac:dyDescent="0.25">
      <c r="A1119" t="s">
        <v>1320</v>
      </c>
      <c r="B1119" t="str">
        <f t="shared" si="36"/>
        <v>&lt;prefix&gt;_&lt;mm&gt;&lt;cy&gt;&lt;yy&gt;_&lt;ar&gt;SOC Tariff Table Report</v>
      </c>
      <c r="D1119" s="12"/>
    </row>
    <row r="1120" spans="1:4" x14ac:dyDescent="0.25">
      <c r="A1120" t="s">
        <v>1456</v>
      </c>
      <c r="B1120" t="str">
        <f t="shared" si="36"/>
        <v>&lt;prefix&gt;_&lt;mm&gt;&lt;cy&gt;&lt;yy&gt;_&lt;ar&gt;SOCs on BAN Report</v>
      </c>
      <c r="D1120" s="12"/>
    </row>
    <row r="1121" spans="1:4" x14ac:dyDescent="0.25">
      <c r="A1121" t="s">
        <v>1321</v>
      </c>
      <c r="B1121" t="str">
        <f t="shared" si="36"/>
        <v>&lt;prefix&gt;_&lt;mm&gt;&lt;cy&gt;&lt;yy&gt;_&lt;ar&gt;Summary of Adjustments Report</v>
      </c>
      <c r="D1121" s="12"/>
    </row>
    <row r="1122" spans="1:4" x14ac:dyDescent="0.25">
      <c r="A1122" t="s">
        <v>1322</v>
      </c>
      <c r="B1122" t="str">
        <f t="shared" si="36"/>
        <v>&lt;prefix&gt;_&lt;mm&gt;&lt;cy&gt;&lt;yy&gt;_&lt;ar&gt;Summary of OCCs Report</v>
      </c>
      <c r="D1122" s="12"/>
    </row>
    <row r="1123" spans="1:4" x14ac:dyDescent="0.25">
      <c r="A1123" t="s">
        <v>1323</v>
      </c>
      <c r="B1123" t="str">
        <f t="shared" si="36"/>
        <v>&lt;prefix&gt;_&lt;mm&gt;&lt;cy&gt;&lt;yy&gt;_&lt;ar&gt;SW Usage Charges Summary by CLLI</v>
      </c>
      <c r="D1123" s="12"/>
    </row>
    <row r="1124" spans="1:4" x14ac:dyDescent="0.25">
      <c r="A1124" t="s">
        <v>1324</v>
      </c>
      <c r="B1124" t="str">
        <f t="shared" si="36"/>
        <v>&lt;prefix&gt;_&lt;mm&gt;&lt;cy&gt;&lt;yy&gt;_&lt;ar&gt;SW Usage Statistics Summary</v>
      </c>
      <c r="D1124" s="12"/>
    </row>
    <row r="1125" spans="1:4" x14ac:dyDescent="0.25">
      <c r="A1125" t="s">
        <v>1326</v>
      </c>
      <c r="B1125" t="str">
        <f t="shared" si="36"/>
        <v>&lt;prefix&gt;_&lt;mm&gt;&lt;cy&gt;&lt;yy&gt;_&lt;ar&gt;Switched Billing Account - Factor Report</v>
      </c>
      <c r="D1125" s="12"/>
    </row>
    <row r="1126" spans="1:4" x14ac:dyDescent="0.25">
      <c r="A1126" t="s">
        <v>1327</v>
      </c>
      <c r="B1126" t="str">
        <f t="shared" si="36"/>
        <v>&lt;prefix&gt;_&lt;mm&gt;&lt;cy&gt;&lt;yy&gt;_&lt;ar&gt;Switched Billing Account - SOC Report</v>
      </c>
      <c r="D1126" s="12"/>
    </row>
    <row r="1127" spans="1:4" x14ac:dyDescent="0.25">
      <c r="A1127" t="s">
        <v>1328</v>
      </c>
      <c r="B1127" t="str">
        <f t="shared" si="36"/>
        <v>&lt;prefix&gt;_&lt;mm&gt;&lt;cy&gt;&lt;yy&gt;_&lt;ar&gt;Switched Billing Account - Wire Center Report</v>
      </c>
      <c r="D1127" s="12"/>
    </row>
    <row r="1128" spans="1:4" x14ac:dyDescent="0.25">
      <c r="A1128" t="s">
        <v>1329</v>
      </c>
      <c r="B1128" t="str">
        <f t="shared" si="36"/>
        <v>&lt;prefix&gt;_&lt;mm&gt;&lt;cy&gt;&lt;yy&gt;_&lt;ar&gt;Tariff Element Tracking</v>
      </c>
      <c r="D1128" s="12"/>
    </row>
    <row r="1129" spans="1:4" x14ac:dyDescent="0.25">
      <c r="A1129" t="s">
        <v>619</v>
      </c>
      <c r="B1129" t="str">
        <f t="shared" si="36"/>
        <v>&lt;prefix&gt;_&lt;mm&gt;&lt;cy&gt;&lt;yy&gt;_&lt;ar&gt;Transaction Detail Listing</v>
      </c>
      <c r="D1129" s="12"/>
    </row>
    <row r="1130" spans="1:4" x14ac:dyDescent="0.25">
      <c r="A1130" t="s">
        <v>1457</v>
      </c>
      <c r="B1130" t="str">
        <f t="shared" si="36"/>
        <v>&lt;prefix&gt;_&lt;mm&gt;&lt;cy&gt;&lt;yy&gt;_&lt;ar&gt;Transaction Report by Case</v>
      </c>
      <c r="D1130" s="12"/>
    </row>
    <row r="1131" spans="1:4" x14ac:dyDescent="0.25">
      <c r="A1131" t="s">
        <v>1458</v>
      </c>
      <c r="B1131" t="str">
        <f t="shared" si="36"/>
        <v>&lt;prefix&gt;_&lt;mm&gt;&lt;cy&gt;&lt;yy&gt;_&lt;ar&gt;Transaction Report by Employee</v>
      </c>
      <c r="D1131" s="12"/>
    </row>
    <row r="1132" spans="1:4" x14ac:dyDescent="0.25">
      <c r="A1132" t="s">
        <v>1459</v>
      </c>
      <c r="B1132" t="str">
        <f t="shared" si="36"/>
        <v>&lt;prefix&gt;_&lt;mm&gt;&lt;cy&gt;&lt;yy&gt;_&lt;ar&gt;Transaction Report by Employee w/ Case Definition</v>
      </c>
      <c r="D1132" s="12"/>
    </row>
    <row r="1133" spans="1:4" x14ac:dyDescent="0.25">
      <c r="A1133" t="s">
        <v>1460</v>
      </c>
      <c r="B1133" t="str">
        <f t="shared" si="36"/>
        <v>&lt;prefix&gt;_&lt;mm&gt;&lt;cy&gt;&lt;yy&gt;_&lt;ar&gt;Transaction Report by Site</v>
      </c>
      <c r="D1133" s="12"/>
    </row>
    <row r="1134" spans="1:4" x14ac:dyDescent="0.25">
      <c r="A1134" t="s">
        <v>616</v>
      </c>
      <c r="B1134" t="str">
        <f t="shared" si="36"/>
        <v>&lt;prefix&gt;_&lt;mm&gt;&lt;cy&gt;&lt;yy&gt;_&lt;ar&gt;Transaction Summary</v>
      </c>
      <c r="D1134" s="12"/>
    </row>
    <row r="1135" spans="1:4" x14ac:dyDescent="0.25">
      <c r="A1135" t="s">
        <v>1331</v>
      </c>
      <c r="B1135" t="str">
        <f t="shared" si="36"/>
        <v>&lt;prefix&gt;_&lt;mm&gt;&lt;cy&gt;&lt;yy&gt;_&lt;ar&gt;Transaction Summary - adjustments only</v>
      </c>
      <c r="D1135" s="12"/>
    </row>
    <row r="1136" spans="1:4" x14ac:dyDescent="0.25">
      <c r="A1136" t="s">
        <v>1332</v>
      </c>
      <c r="B1136" t="str">
        <f t="shared" si="36"/>
        <v>&lt;prefix&gt;_&lt;mm&gt;&lt;cy&gt;&lt;yy&gt;_&lt;ar&gt;Transaction Summary - receipts only</v>
      </c>
      <c r="D1136" s="12"/>
    </row>
    <row r="1137" spans="1:4" x14ac:dyDescent="0.25">
      <c r="A1137" t="s">
        <v>1333</v>
      </c>
      <c r="B1137" t="str">
        <f t="shared" si="36"/>
        <v>&lt;prefix&gt;_&lt;mm&gt;&lt;cy&gt;&lt;yy&gt;_&lt;ar&gt;Transaction Summary by transaction/bill type</v>
      </c>
      <c r="D1137" s="12"/>
    </row>
    <row r="1138" spans="1:4" x14ac:dyDescent="0.25">
      <c r="A1138" t="s">
        <v>1334</v>
      </c>
      <c r="B1138" t="str">
        <f t="shared" si="36"/>
        <v xml:space="preserve">&lt;prefix&gt;_&lt;mm&gt;&lt;cy&gt;&lt;yy&gt;_&lt;ar&gt;Transaction Summary by transaction/bill type </v>
      </c>
      <c r="D1138" s="12"/>
    </row>
    <row r="1139" spans="1:4" x14ac:dyDescent="0.25">
      <c r="A1139" t="s">
        <v>1335</v>
      </c>
      <c r="B1139" t="str">
        <f t="shared" si="36"/>
        <v>&lt;prefix&gt;_&lt;mm&gt;&lt;cy&gt;&lt;yy&gt;_&lt;ar&gt;Transaction Summary by transaction-bill type</v>
      </c>
      <c r="D1139" s="12"/>
    </row>
    <row r="1140" spans="1:4" x14ac:dyDescent="0.25">
      <c r="A1140" t="s">
        <v>1461</v>
      </c>
      <c r="B1140" t="str">
        <f t="shared" si="36"/>
        <v>&lt;prefix&gt;_&lt;mm&gt;&lt;cy&gt;&lt;yy&gt;_&lt;ar&gt;Transactions by User by Date</v>
      </c>
      <c r="D1140" s="12"/>
    </row>
    <row r="1141" spans="1:4" x14ac:dyDescent="0.25">
      <c r="A1141" t="s">
        <v>1462</v>
      </c>
      <c r="B1141" t="str">
        <f t="shared" si="36"/>
        <v>&lt;prefix&gt;_&lt;mm&gt;&lt;cy&gt;&lt;yy&gt;_&lt;ar&gt;UNE Metrics Detail</v>
      </c>
      <c r="D1141" s="12"/>
    </row>
    <row r="1142" spans="1:4" x14ac:dyDescent="0.25">
      <c r="A1142" t="s">
        <v>1463</v>
      </c>
      <c r="B1142" t="str">
        <f t="shared" ref="B1142:B1155" si="37">"&lt;prefix&gt;_&lt;mm&gt;&lt;cy&gt;&lt;yy&gt;_&lt;ar&gt;"&amp;A1142</f>
        <v>&lt;prefix&gt;_&lt;mm&gt;&lt;cy&gt;&lt;yy&gt;_&lt;ar&gt;UNE Metrics Summary</v>
      </c>
      <c r="D1142" s="12"/>
    </row>
    <row r="1143" spans="1:4" x14ac:dyDescent="0.25">
      <c r="A1143" t="s">
        <v>1464</v>
      </c>
      <c r="B1143" t="str">
        <f t="shared" si="37"/>
        <v>&lt;prefix&gt;_&lt;mm&gt;&lt;cy&gt;&lt;yy&gt;_&lt;ar&gt;UNE Metrics Window</v>
      </c>
      <c r="D1143" s="12"/>
    </row>
    <row r="1144" spans="1:4" x14ac:dyDescent="0.25">
      <c r="A1144" t="s">
        <v>1336</v>
      </c>
      <c r="B1144" t="str">
        <f t="shared" si="37"/>
        <v>&lt;prefix&gt;_&lt;mm&gt;&lt;cy&gt;&lt;yy&gt;_&lt;ar&gt;Unposted Adjustments</v>
      </c>
      <c r="D1144" s="12"/>
    </row>
    <row r="1145" spans="1:4" x14ac:dyDescent="0.25">
      <c r="A1145" t="s">
        <v>1337</v>
      </c>
      <c r="B1145" t="str">
        <f t="shared" si="37"/>
        <v>&lt;prefix&gt;_&lt;mm&gt;&lt;cy&gt;&lt;yy&gt;_&lt;ar&gt;Unresolved Disputes by Carrier by code</v>
      </c>
      <c r="D1145" s="12"/>
    </row>
    <row r="1146" spans="1:4" x14ac:dyDescent="0.25">
      <c r="A1146" t="s">
        <v>1338</v>
      </c>
      <c r="B1146" t="str">
        <f t="shared" si="37"/>
        <v>&lt;prefix&gt;_&lt;mm&gt;&lt;cy&gt;&lt;yy&gt;_&lt;ar&gt;Unresolved Disputes by Carrier by month</v>
      </c>
      <c r="D1146" s="12"/>
    </row>
    <row r="1147" spans="1:4" x14ac:dyDescent="0.25">
      <c r="A1147" t="s">
        <v>1339</v>
      </c>
      <c r="B1147" t="str">
        <f t="shared" si="37"/>
        <v>&lt;prefix&gt;_&lt;mm&gt;&lt;cy&gt;&lt;yy&gt;_&lt;ar&gt;Usage Balancing - Company Totals</v>
      </c>
      <c r="D1147" s="12"/>
    </row>
    <row r="1148" spans="1:4" x14ac:dyDescent="0.25">
      <c r="A1148" t="s">
        <v>41</v>
      </c>
      <c r="B1148" t="str">
        <f t="shared" si="37"/>
        <v>&lt;prefix&gt;_&lt;mm&gt;&lt;cy&gt;&lt;yy&gt;_&lt;ar&gt;Usage Balancing - Company Totals with Full Detail</v>
      </c>
      <c r="D1148" s="12"/>
    </row>
    <row r="1149" spans="1:4" x14ac:dyDescent="0.25">
      <c r="A1149" t="s">
        <v>1340</v>
      </c>
      <c r="B1149" t="str">
        <f t="shared" si="37"/>
        <v>&lt;prefix&gt;_&lt;mm&gt;&lt;cy&gt;&lt;yy&gt;_&lt;ar&gt;Usage Balancing - Company, Ban, Clli Totals</v>
      </c>
      <c r="D1149" s="12"/>
    </row>
    <row r="1150" spans="1:4" x14ac:dyDescent="0.25">
      <c r="A1150" t="s">
        <v>1341</v>
      </c>
      <c r="B1150" t="str">
        <f t="shared" si="37"/>
        <v>&lt;prefix&gt;_&lt;mm&gt;&lt;cy&gt;&lt;yy&gt;_&lt;ar&gt;Usage Balancing - Company, Ban, Clli, TT Totals</v>
      </c>
      <c r="D1150" s="12"/>
    </row>
    <row r="1151" spans="1:4" x14ac:dyDescent="0.25">
      <c r="A1151" t="s">
        <v>1465</v>
      </c>
      <c r="B1151" t="str">
        <f t="shared" si="37"/>
        <v>&lt;prefix&gt;_&lt;mm&gt;&lt;cy&gt;&lt;yy&gt;_&lt;ar&gt;Usage by CIC</v>
      </c>
      <c r="D1151" s="12"/>
    </row>
    <row r="1152" spans="1:4" x14ac:dyDescent="0.25">
      <c r="A1152" t="s">
        <v>1342</v>
      </c>
      <c r="B1152" t="str">
        <f t="shared" si="37"/>
        <v>&lt;prefix&gt;_&lt;mm&gt;&lt;cy&gt;&lt;yy&gt;_&lt;ar&gt;Usage Totaling Rule</v>
      </c>
      <c r="D1152" s="12"/>
    </row>
    <row r="1153" spans="1:4" x14ac:dyDescent="0.25">
      <c r="A1153" t="s">
        <v>1466</v>
      </c>
      <c r="B1153" t="str">
        <f t="shared" si="37"/>
        <v>&lt;prefix&gt;_&lt;mm&gt;&lt;cy&gt;&lt;yy&gt;_&lt;ar&gt;User Activity for a Day</v>
      </c>
      <c r="D1153" s="12"/>
    </row>
    <row r="1154" spans="1:4" x14ac:dyDescent="0.25">
      <c r="A1154" t="s">
        <v>1343</v>
      </c>
      <c r="B1154" t="str">
        <f t="shared" si="37"/>
        <v>&lt;prefix&gt;_&lt;mm&gt;&lt;cy&gt;&lt;yy&gt;_&lt;ar&gt;Wire Center Mileage Segment Report</v>
      </c>
      <c r="D1154" s="12"/>
    </row>
    <row r="1155" spans="1:4" x14ac:dyDescent="0.25">
      <c r="A1155" t="s">
        <v>1344</v>
      </c>
      <c r="B1155" t="str">
        <f t="shared" si="37"/>
        <v>&lt;prefix&gt;_&lt;mm&gt;&lt;cy&gt;&lt;yy&gt;_&lt;ar&gt;Wire Center Report</v>
      </c>
      <c r="D1155" s="12"/>
    </row>
    <row r="1156" spans="1:4" x14ac:dyDescent="0.25">
      <c r="A1156" s="2" t="s">
        <v>107</v>
      </c>
      <c r="B1156" s="2" t="str">
        <f>"&lt;prefix&gt;_&lt;mm&gt;01&lt;yy&gt;_&lt;ar&gt;"&amp;A1156</f>
        <v>&lt;prefix&gt;_&lt;mm&gt;01&lt;yy&gt;_&lt;ar&gt;Payment Report</v>
      </c>
      <c r="C1156" s="31">
        <v>8</v>
      </c>
      <c r="D1156" s="12">
        <v>10</v>
      </c>
    </row>
    <row r="1157" spans="1:4" x14ac:dyDescent="0.25">
      <c r="A1157" s="2" t="s">
        <v>32</v>
      </c>
      <c r="B1157" s="2" t="str">
        <f>"&lt;prefix&gt;_&lt;mm&gt;01&lt;yy&gt;_&lt;ar&gt;"&amp;A1157</f>
        <v>&lt;prefix&gt;_&lt;mm&gt;01&lt;yy&gt;_&lt;ar&gt;Factor Change Audit Report</v>
      </c>
      <c r="C1157" s="31">
        <v>10</v>
      </c>
      <c r="D1157" s="12">
        <v>12</v>
      </c>
    </row>
    <row r="1158" spans="1:4" x14ac:dyDescent="0.25">
      <c r="A1158" s="2" t="s">
        <v>39</v>
      </c>
      <c r="B1158" s="2" t="str">
        <f>"&lt;prefix&gt;_&lt;mm&gt;01&lt;yy&gt;_&lt;ar&gt;"&amp;A1158</f>
        <v>&lt;prefix&gt;_&lt;mm&gt;01&lt;yy&gt;_&lt;ar&gt;SOC Change Audit Report</v>
      </c>
      <c r="C1158" s="31">
        <v>11</v>
      </c>
      <c r="D1158" s="12">
        <v>14</v>
      </c>
    </row>
    <row r="1159" spans="1:4" x14ac:dyDescent="0.25">
      <c r="A1159" s="3" t="s">
        <v>34</v>
      </c>
      <c r="B1159" s="3" t="s">
        <v>1094</v>
      </c>
      <c r="C1159" s="3" t="s">
        <v>362</v>
      </c>
      <c r="D1159" s="22">
        <v>13</v>
      </c>
    </row>
    <row r="1160" spans="1:4" x14ac:dyDescent="0.25">
      <c r="A1160" s="2" t="s">
        <v>16</v>
      </c>
      <c r="B1160" s="2" t="str">
        <f>"&lt;prefix&gt;_&lt;mm&gt;01&lt;yy&gt;_&lt;ar&gt;"&amp;A1160</f>
        <v>&lt;prefix&gt;_&lt;mm&gt;01&lt;yy&gt;_&lt;ar&gt;Bill Completion Check Report</v>
      </c>
      <c r="C1160" s="2" t="s">
        <v>383</v>
      </c>
      <c r="D1160" s="12">
        <v>15</v>
      </c>
    </row>
    <row r="1161" spans="1:4" x14ac:dyDescent="0.25">
      <c r="A1161" s="3" t="s">
        <v>13</v>
      </c>
      <c r="B1161" s="3" t="s">
        <v>1095</v>
      </c>
      <c r="C1161" s="3" t="s">
        <v>424</v>
      </c>
      <c r="D1161" s="22">
        <v>17</v>
      </c>
    </row>
    <row r="1162" spans="1:4" x14ac:dyDescent="0.25">
      <c r="A1162" s="3" t="s">
        <v>102</v>
      </c>
      <c r="B1162" s="3" t="s">
        <v>1096</v>
      </c>
      <c r="C1162" s="3" t="s">
        <v>428</v>
      </c>
      <c r="D1162" s="22">
        <v>18</v>
      </c>
    </row>
    <row r="1163" spans="1:4" x14ac:dyDescent="0.25">
      <c r="A1163" s="8" t="s">
        <v>49</v>
      </c>
      <c r="B1163" s="8" t="s">
        <v>1097</v>
      </c>
      <c r="C1163" s="8" t="s">
        <v>446</v>
      </c>
      <c r="D1163" s="22">
        <v>20</v>
      </c>
    </row>
    <row r="1164" spans="1:4" x14ac:dyDescent="0.25">
      <c r="A1164" s="3" t="s">
        <v>127</v>
      </c>
      <c r="B1164" s="3" t="s">
        <v>1098</v>
      </c>
      <c r="C1164" s="3" t="s">
        <v>450</v>
      </c>
      <c r="D1164" s="22">
        <v>21</v>
      </c>
    </row>
    <row r="1165" spans="1:4" x14ac:dyDescent="0.25">
      <c r="A1165" s="3" t="s">
        <v>86</v>
      </c>
      <c r="B1165" s="3" t="s">
        <v>1099</v>
      </c>
      <c r="C1165" s="3" t="s">
        <v>767</v>
      </c>
      <c r="D1165" s="22">
        <v>22</v>
      </c>
    </row>
    <row r="1166" spans="1:4" x14ac:dyDescent="0.25">
      <c r="A1166" s="2" t="s">
        <v>12</v>
      </c>
      <c r="B1166" s="2" t="str">
        <f>"&lt;prefix&gt;_&lt;mm&gt;01&lt;yy&gt;_&lt;ar&gt;"&amp;A1166</f>
        <v>&lt;prefix&gt;_&lt;mm&gt;01&lt;yy&gt;_&lt;ar&gt;AUR History Stats Report</v>
      </c>
      <c r="C1166" s="2" t="s">
        <v>216</v>
      </c>
      <c r="D1166" s="12">
        <v>1</v>
      </c>
    </row>
    <row r="1167" spans="1:4" x14ac:dyDescent="0.25">
      <c r="A1167" s="3" t="s">
        <v>18</v>
      </c>
      <c r="B1167" s="3" t="s">
        <v>1100</v>
      </c>
      <c r="C1167" s="3" t="s">
        <v>231</v>
      </c>
      <c r="D1167" s="22">
        <v>2</v>
      </c>
    </row>
    <row r="1168" spans="1:4" x14ac:dyDescent="0.25">
      <c r="A1168" s="3" t="s">
        <v>22</v>
      </c>
      <c r="B1168" s="3" t="s">
        <v>1101</v>
      </c>
      <c r="C1168" s="3" t="s">
        <v>238</v>
      </c>
      <c r="D1168" s="22">
        <v>3</v>
      </c>
    </row>
    <row r="1169" spans="1:4" x14ac:dyDescent="0.25">
      <c r="A1169" s="2" t="s">
        <v>29</v>
      </c>
      <c r="B1169" s="2" t="str">
        <f>"&lt;prefix&gt;_&lt;mm&gt;01&lt;yy&gt;_&lt;ar&gt;"&amp;A1169</f>
        <v>&lt;prefix&gt;_&lt;mm&gt;01&lt;yy&gt;_&lt;ar&gt;Exception Analysis Report</v>
      </c>
      <c r="C1169" s="2" t="s">
        <v>248</v>
      </c>
      <c r="D1169" s="12">
        <v>4</v>
      </c>
    </row>
    <row r="1170" spans="1:4" x14ac:dyDescent="0.25">
      <c r="A1170" s="2" t="s">
        <v>47</v>
      </c>
      <c r="B1170" s="2" t="str">
        <f>"&lt;prefix&gt;_&lt;mm&gt;01&lt;yy&gt;_&lt;ar&gt;"&amp;A1170</f>
        <v>&lt;prefix&gt;_&lt;mm&gt;01&lt;yy&gt;_&lt;ar&gt;MOU Entries Error Report</v>
      </c>
      <c r="C1170" s="2" t="s">
        <v>251</v>
      </c>
      <c r="D1170" s="12">
        <v>5</v>
      </c>
    </row>
    <row r="1171" spans="1:4" x14ac:dyDescent="0.25">
      <c r="A1171" s="2" t="s">
        <v>27</v>
      </c>
      <c r="B1171" s="2" t="str">
        <f>"&lt;prefix&gt;_&lt;mm&gt;01&lt;yy&gt;_&lt;ar&gt;"&amp;A1171</f>
        <v>&lt;prefix&gt;_&lt;mm&gt;01&lt;yy&gt;_&lt;ar&gt;Duplicate File Processing Report</v>
      </c>
      <c r="C1171" s="2" t="s">
        <v>266</v>
      </c>
      <c r="D1171" s="12">
        <v>6</v>
      </c>
    </row>
    <row r="1172" spans="1:4" x14ac:dyDescent="0.25">
      <c r="A1172" s="2" t="s">
        <v>1011</v>
      </c>
      <c r="B1172" s="2" t="str">
        <f>"&lt;prefix&gt;_&lt;mm&gt;01&lt;yy&gt;_&lt;ar&gt;"&amp;A1172</f>
        <v xml:space="preserve">&lt;prefix&gt;_&lt;mm&gt;01&lt;yy&gt;_&lt;ar&gt;Usage Verify by Size Report </v>
      </c>
      <c r="C1172" s="2" t="s">
        <v>272</v>
      </c>
      <c r="D1172" s="12">
        <v>7</v>
      </c>
    </row>
    <row r="1173" spans="1:4" x14ac:dyDescent="0.25">
      <c r="A1173" s="2" t="s">
        <v>543</v>
      </c>
      <c r="B1173" s="2" t="str">
        <f>"&lt;prefix&gt;_&lt;mm&gt;01&lt;yy&gt;_&lt;ar&gt;"&amp;A1173</f>
        <v>&lt;prefix&gt;_&lt;mm&gt;01&lt;yy&gt;_&lt;ar&gt;Usage by Day Report</v>
      </c>
      <c r="C1173" s="23" t="s">
        <v>1014</v>
      </c>
      <c r="D1173" s="12">
        <v>8</v>
      </c>
    </row>
    <row r="1174" spans="1:4" x14ac:dyDescent="0.25">
      <c r="A1174" s="3" t="s">
        <v>43</v>
      </c>
      <c r="B1174" s="3" t="s">
        <v>1102</v>
      </c>
      <c r="C1174" s="3" t="s">
        <v>1060</v>
      </c>
      <c r="D1174" s="22">
        <v>9</v>
      </c>
    </row>
    <row r="1175" spans="1:4" x14ac:dyDescent="0.25">
      <c r="A1175" s="2" t="s">
        <v>7</v>
      </c>
      <c r="B1175" s="2" t="str">
        <f>"&lt;prefix&gt;_&lt;mm&gt;01&lt;yy&gt;_&lt;ar&gt;"&amp;A1175</f>
        <v>&lt;prefix&gt;_&lt;mm&gt;01&lt;yy&gt;_&lt;ar&gt;Adjustments Not Posted Report</v>
      </c>
      <c r="C1175" s="2" t="s">
        <v>336</v>
      </c>
      <c r="D1175" s="12">
        <v>11</v>
      </c>
    </row>
    <row r="1176" spans="1:4" x14ac:dyDescent="0.25">
      <c r="A1176" s="6" t="s">
        <v>30</v>
      </c>
      <c r="B1176" s="6" t="s">
        <v>1103</v>
      </c>
      <c r="C1176" s="6"/>
      <c r="D1176" s="22">
        <v>23</v>
      </c>
    </row>
    <row r="1177" spans="1:4" x14ac:dyDescent="0.25">
      <c r="A1177" s="6" t="s">
        <v>48</v>
      </c>
      <c r="B1177" s="6" t="s">
        <v>1104</v>
      </c>
      <c r="C1177" s="6"/>
      <c r="D1177" s="22">
        <v>24</v>
      </c>
    </row>
    <row r="1178" spans="1:4" x14ac:dyDescent="0.25">
      <c r="A1178" s="6" t="s">
        <v>82</v>
      </c>
      <c r="B1178" s="6" t="s">
        <v>1105</v>
      </c>
      <c r="C1178" s="6"/>
      <c r="D1178" s="22">
        <v>25</v>
      </c>
    </row>
    <row r="1179" spans="1:4" x14ac:dyDescent="0.25">
      <c r="A1179" s="6" t="s">
        <v>97</v>
      </c>
      <c r="B1179" s="6" t="s">
        <v>1106</v>
      </c>
      <c r="C1179" s="6"/>
      <c r="D1179" s="22">
        <v>26</v>
      </c>
    </row>
    <row r="1180" spans="1:4" x14ac:dyDescent="0.25">
      <c r="A1180" s="6" t="s">
        <v>51</v>
      </c>
      <c r="B1180" s="6" t="s">
        <v>1107</v>
      </c>
      <c r="C1180" s="6"/>
      <c r="D1180" s="22">
        <v>27</v>
      </c>
    </row>
    <row r="1181" spans="1:4" x14ac:dyDescent="0.25">
      <c r="A1181" s="6" t="s">
        <v>113</v>
      </c>
      <c r="B1181" s="6" t="s">
        <v>1108</v>
      </c>
      <c r="C1181" s="6"/>
      <c r="D1181" s="22">
        <v>28</v>
      </c>
    </row>
    <row r="1182" spans="1:4" x14ac:dyDescent="0.25">
      <c r="A1182" s="6" t="s">
        <v>98</v>
      </c>
      <c r="B1182" s="6" t="str">
        <f>"&lt;prefix&gt;_&lt;mm&gt;01&lt;yy&gt;_&lt;ar&gt;"&amp;A1182</f>
        <v>&lt;prefix&gt;_&lt;mm&gt;01&lt;yy&gt;_&lt;ar&gt;MSG MOU REV with LPC</v>
      </c>
      <c r="D1182" s="12"/>
    </row>
    <row r="1183" spans="1:4" x14ac:dyDescent="0.25">
      <c r="A1183" s="5" t="s">
        <v>122</v>
      </c>
      <c r="B1183" s="5" t="str">
        <f>"&lt;prefix&gt;_&lt;mm&gt;01&lt;yy&gt;_&lt;ar&gt;"&amp;A1183</f>
        <v>&lt;prefix&gt;_&lt;mm&gt;01&lt;yy&gt;_&lt;ar&gt;Switched BANS Trending Report</v>
      </c>
      <c r="C1183" s="5"/>
      <c r="D1183" s="12">
        <v>16</v>
      </c>
    </row>
    <row r="1184" spans="1:4" x14ac:dyDescent="0.25">
      <c r="A1184" s="3" t="s">
        <v>23</v>
      </c>
      <c r="B1184" s="3" t="s">
        <v>1109</v>
      </c>
      <c r="C1184" s="3"/>
      <c r="D1184" s="22">
        <v>19</v>
      </c>
    </row>
    <row r="1185" spans="1:4" x14ac:dyDescent="0.25">
      <c r="A1185" t="s">
        <v>1231</v>
      </c>
      <c r="B1185" t="str">
        <f t="shared" ref="B1185:B1216" si="38">"&lt;prefix&gt;_&lt;mm&gt;01&lt;yy&gt;_&lt;ar&gt;"&amp;A1185</f>
        <v>&lt;prefix&gt;_&lt;mm&gt;01&lt;yy&gt;_&lt;ar&gt;Access MSG and MOU billed by CLLI,FG,CIC</v>
      </c>
      <c r="D1185" s="12"/>
    </row>
    <row r="1186" spans="1:4" x14ac:dyDescent="0.25">
      <c r="A1186" t="s">
        <v>6</v>
      </c>
      <c r="B1186" t="str">
        <f t="shared" si="38"/>
        <v>&lt;prefix&gt;_&lt;mm&gt;01&lt;yy&gt;_&lt;ar&gt;Accounting Detailed Report</v>
      </c>
      <c r="D1186" s="12"/>
    </row>
    <row r="1187" spans="1:4" x14ac:dyDescent="0.25">
      <c r="A1187" t="s">
        <v>8</v>
      </c>
      <c r="B1187" t="str">
        <f t="shared" si="38"/>
        <v>&lt;prefix&gt;_&lt;mm&gt;01&lt;yy&gt;_&lt;ar&gt;Accounting Report</v>
      </c>
      <c r="D1187" s="12"/>
    </row>
    <row r="1188" spans="1:4" x14ac:dyDescent="0.25">
      <c r="A1188" t="s">
        <v>17</v>
      </c>
      <c r="B1188" t="str">
        <f t="shared" si="38"/>
        <v>&lt;prefix&gt;_&lt;mm&gt;01&lt;yy&gt;_&lt;ar&gt;Adjustment GL Trans by BAN Report - New</v>
      </c>
      <c r="D1188" s="12"/>
    </row>
    <row r="1189" spans="1:4" x14ac:dyDescent="0.25">
      <c r="A1189" t="s">
        <v>1232</v>
      </c>
      <c r="B1189" t="str">
        <f t="shared" si="38"/>
        <v>&lt;prefix&gt;_&lt;mm&gt;01&lt;yy&gt;_&lt;ar&gt;Adjustments Detail Report - Posted</v>
      </c>
      <c r="D1189" s="12"/>
    </row>
    <row r="1190" spans="1:4" x14ac:dyDescent="0.25">
      <c r="A1190" t="s">
        <v>1233</v>
      </c>
      <c r="B1190" t="str">
        <f t="shared" si="38"/>
        <v>&lt;prefix&gt;_&lt;mm&gt;01&lt;yy&gt;_&lt;ar&gt;Adjustments Detail Report - Unposted</v>
      </c>
      <c r="D1190" s="12"/>
    </row>
    <row r="1191" spans="1:4" x14ac:dyDescent="0.25">
      <c r="A1191" t="s">
        <v>33</v>
      </c>
      <c r="B1191" t="str">
        <f t="shared" si="38"/>
        <v>&lt;prefix&gt;_&lt;mm&gt;01&lt;yy&gt;_&lt;ar&gt;Aged Trial Balance - New</v>
      </c>
      <c r="D1191" s="12"/>
    </row>
    <row r="1192" spans="1:4" x14ac:dyDescent="0.25">
      <c r="A1192" t="s">
        <v>1234</v>
      </c>
      <c r="B1192" t="str">
        <f t="shared" si="38"/>
        <v>&lt;prefix&gt;_&lt;mm&gt;01&lt;yy&gt;_&lt;ar&gt;Aged Trial Balance by Company</v>
      </c>
      <c r="D1192" s="12"/>
    </row>
    <row r="1193" spans="1:4" x14ac:dyDescent="0.25">
      <c r="A1193" t="s">
        <v>26</v>
      </c>
      <c r="B1193" t="str">
        <f t="shared" si="38"/>
        <v>&lt;prefix&gt;_&lt;mm&gt;01&lt;yy&gt;_&lt;ar&gt;Aged Trial Balance for Export - New</v>
      </c>
      <c r="D1193" s="12"/>
    </row>
    <row r="1194" spans="1:4" x14ac:dyDescent="0.25">
      <c r="A1194" t="s">
        <v>1235</v>
      </c>
      <c r="B1194" t="str">
        <f t="shared" si="38"/>
        <v>&lt;prefix&gt;_&lt;mm&gt;01&lt;yy&gt;_&lt;ar&gt;Amount billed/disputed/settled by month/carrier</v>
      </c>
      <c r="D1194" s="12"/>
    </row>
    <row r="1195" spans="1:4" x14ac:dyDescent="0.25">
      <c r="A1195" t="s">
        <v>1236</v>
      </c>
      <c r="B1195" t="str">
        <f t="shared" si="38"/>
        <v>&lt;prefix&gt;_&lt;mm&gt;01&lt;yy&gt;_&lt;ar&gt;Amount billed/disputed/settled by qtr/carrier</v>
      </c>
      <c r="D1195" s="12"/>
    </row>
    <row r="1196" spans="1:4" x14ac:dyDescent="0.25">
      <c r="A1196" t="s">
        <v>1237</v>
      </c>
      <c r="B1196" t="str">
        <f t="shared" si="38"/>
        <v>&lt;prefix&gt;_&lt;mm&gt;01&lt;yy&gt;_&lt;ar&gt;Amount billed-disputed-settled by month-carrier</v>
      </c>
      <c r="D1196" s="12"/>
    </row>
    <row r="1197" spans="1:4" x14ac:dyDescent="0.25">
      <c r="A1197" t="s">
        <v>1238</v>
      </c>
      <c r="B1197" t="str">
        <f t="shared" si="38"/>
        <v>&lt;prefix&gt;_&lt;mm&gt;01&lt;yy&gt;_&lt;ar&gt;Amount billed-disputed-settled by qtr-carrier</v>
      </c>
      <c r="D1197" s="12"/>
    </row>
    <row r="1198" spans="1:4" x14ac:dyDescent="0.25">
      <c r="A1198" t="s">
        <v>1239</v>
      </c>
      <c r="B1198" t="str">
        <f t="shared" si="38"/>
        <v>&lt;prefix&gt;_&lt;mm&gt;01&lt;yy&gt;_&lt;ar&gt;AS1000 Report</v>
      </c>
      <c r="D1198" s="12"/>
    </row>
    <row r="1199" spans="1:4" x14ac:dyDescent="0.25">
      <c r="A1199" t="s">
        <v>9</v>
      </c>
      <c r="B1199" t="str">
        <f t="shared" si="38"/>
        <v>&lt;prefix&gt;_&lt;mm&gt;01&lt;yy&gt;_&lt;ar&gt;AUR History Stats</v>
      </c>
      <c r="D1199" s="12"/>
    </row>
    <row r="1200" spans="1:4" x14ac:dyDescent="0.25">
      <c r="A1200" t="s">
        <v>1240</v>
      </c>
      <c r="B1200" t="str">
        <f t="shared" si="38"/>
        <v>&lt;prefix&gt;_&lt;mm&gt;01&lt;yy&gt;_&lt;ar&gt;AUR History Stats (Seconds)</v>
      </c>
      <c r="D1200" s="12"/>
    </row>
    <row r="1201" spans="1:4" x14ac:dyDescent="0.25">
      <c r="A1201" t="s">
        <v>1241</v>
      </c>
      <c r="B1201" t="str">
        <f t="shared" si="38"/>
        <v>&lt;prefix&gt;_&lt;mm&gt;01&lt;yy&gt;_&lt;ar&gt;AUR History Summary</v>
      </c>
      <c r="D1201" s="12"/>
    </row>
    <row r="1202" spans="1:4" x14ac:dyDescent="0.25">
      <c r="A1202" t="s">
        <v>1242</v>
      </c>
      <c r="B1202" t="str">
        <f t="shared" si="38"/>
        <v>&lt;prefix&gt;_&lt;mm&gt;01&lt;yy&gt;_&lt;ar&gt;AUR History Summary by Day</v>
      </c>
      <c r="D1202" s="12"/>
    </row>
    <row r="1203" spans="1:4" x14ac:dyDescent="0.25">
      <c r="A1203" t="s">
        <v>46</v>
      </c>
      <c r="B1203" t="str">
        <f t="shared" si="38"/>
        <v>&lt;prefix&gt;_&lt;mm&gt;01&lt;yy&gt;_&lt;ar&gt;Billed by Period Report</v>
      </c>
      <c r="D1203" s="12"/>
    </row>
    <row r="1204" spans="1:4" x14ac:dyDescent="0.25">
      <c r="A1204" t="s">
        <v>1243</v>
      </c>
      <c r="B1204" t="str">
        <f t="shared" si="38"/>
        <v>&lt;prefix&gt;_&lt;mm&gt;01&lt;yy&gt;_&lt;ar&gt;Billed Minutes by Inter/Intra State</v>
      </c>
      <c r="D1204" s="12"/>
    </row>
    <row r="1205" spans="1:4" x14ac:dyDescent="0.25">
      <c r="A1205" t="s">
        <v>1244</v>
      </c>
      <c r="B1205" t="str">
        <f t="shared" si="38"/>
        <v>&lt;prefix&gt;_&lt;mm&gt;01&lt;yy&gt;_&lt;ar&gt;Billed Minutes by Inter-Intra State</v>
      </c>
      <c r="D1205" s="12"/>
    </row>
    <row r="1206" spans="1:4" x14ac:dyDescent="0.25">
      <c r="A1206" t="s">
        <v>1245</v>
      </c>
      <c r="B1206" t="str">
        <f t="shared" si="38"/>
        <v>&lt;prefix&gt;_&lt;mm&gt;01&lt;yy&gt;_&lt;ar&gt;Billed Minutes by Jurisdiction</v>
      </c>
      <c r="D1206" s="12"/>
    </row>
    <row r="1207" spans="1:4" x14ac:dyDescent="0.25">
      <c r="A1207" t="s">
        <v>1246</v>
      </c>
      <c r="B1207" t="str">
        <f t="shared" si="38"/>
        <v>&lt;prefix&gt;_&lt;mm&gt;01&lt;yy&gt;_&lt;ar&gt;Billed minutes by Quarter by Inter/Intra State</v>
      </c>
      <c r="D1207" s="12"/>
    </row>
    <row r="1208" spans="1:4" x14ac:dyDescent="0.25">
      <c r="A1208" t="s">
        <v>1247</v>
      </c>
      <c r="B1208" t="str">
        <f t="shared" si="38"/>
        <v>&lt;prefix&gt;_&lt;mm&gt;01&lt;yy&gt;_&lt;ar&gt;Billed minutes by Quarter by Inter-Intra State</v>
      </c>
      <c r="D1208" s="12"/>
    </row>
    <row r="1209" spans="1:4" x14ac:dyDescent="0.25">
      <c r="A1209" t="s">
        <v>1248</v>
      </c>
      <c r="B1209" t="str">
        <f t="shared" si="38"/>
        <v>&lt;prefix&gt;_&lt;mm&gt;01&lt;yy&gt;_&lt;ar&gt;Billed Minutes by Quarter by Jurisdiction</v>
      </c>
      <c r="D1209" s="12"/>
    </row>
    <row r="1210" spans="1:4" x14ac:dyDescent="0.25">
      <c r="A1210" t="s">
        <v>1249</v>
      </c>
      <c r="B1210" t="str">
        <f t="shared" si="38"/>
        <v>&lt;prefix&gt;_&lt;mm&gt;01&lt;yy&gt;_&lt;ar&gt;Billed Msg MOU Rev by BAN by Jurisdiction</v>
      </c>
      <c r="D1210" s="12"/>
    </row>
    <row r="1211" spans="1:4" x14ac:dyDescent="0.25">
      <c r="A1211" t="s">
        <v>1250</v>
      </c>
      <c r="B1211" t="str">
        <f t="shared" si="38"/>
        <v>&lt;prefix&gt;_&lt;mm&gt;01&lt;yy&gt;_&lt;ar&gt;Billed Msg MOU Rev by CLLI by Jurisdiction</v>
      </c>
      <c r="D1211" s="12"/>
    </row>
    <row r="1212" spans="1:4" x14ac:dyDescent="0.25">
      <c r="A1212" t="s">
        <v>1254</v>
      </c>
      <c r="B1212" t="str">
        <f t="shared" si="38"/>
        <v>&lt;prefix&gt;_&lt;mm&gt;01&lt;yy&gt;_&lt;ar&gt;CLNT ckt_billed_live_disco_v1</v>
      </c>
      <c r="D1212" s="12"/>
    </row>
    <row r="1213" spans="1:4" x14ac:dyDescent="0.25">
      <c r="A1213" t="s">
        <v>1266</v>
      </c>
      <c r="B1213" t="str">
        <f t="shared" si="38"/>
        <v>&lt;prefix&gt;_&lt;mm&gt;01&lt;yy&gt;_&lt;ar&gt;CLNT r_sce_3_v3_2</v>
      </c>
      <c r="D1213" s="12"/>
    </row>
    <row r="1214" spans="1:4" x14ac:dyDescent="0.25">
      <c r="A1214" t="s">
        <v>1269</v>
      </c>
      <c r="B1214" t="str">
        <f t="shared" si="38"/>
        <v>&lt;prefix&gt;_&lt;mm&gt;01&lt;yy&gt;_&lt;ar&gt;Company Master Report</v>
      </c>
      <c r="D1214" s="12"/>
    </row>
    <row r="1215" spans="1:4" x14ac:dyDescent="0.25">
      <c r="A1215" t="s">
        <v>1347</v>
      </c>
      <c r="B1215" t="str">
        <f t="shared" si="38"/>
        <v>&lt;prefix&gt;_&lt;mm&gt;01&lt;yy&gt;_&lt;ar&gt;Customer BAN Info 4 v3</v>
      </c>
      <c r="D1215" s="12"/>
    </row>
    <row r="1216" spans="1:4" x14ac:dyDescent="0.25">
      <c r="A1216" t="s">
        <v>20</v>
      </c>
      <c r="B1216" t="str">
        <f t="shared" si="38"/>
        <v>&lt;prefix&gt;_&lt;mm&gt;01&lt;yy&gt;_&lt;ar&gt;Detailed BAN Error Report - with extra research</v>
      </c>
      <c r="D1216" s="12"/>
    </row>
    <row r="1217" spans="1:4" x14ac:dyDescent="0.25">
      <c r="A1217" t="s">
        <v>1271</v>
      </c>
      <c r="B1217" t="str">
        <f t="shared" ref="B1217:B1248" si="39">"&lt;prefix&gt;_&lt;mm&gt;01&lt;yy&gt;_&lt;ar&gt;"&amp;A1217</f>
        <v>&lt;prefix&gt;_&lt;mm&gt;01&lt;yy&gt;_&lt;ar&gt;Dispute amounts by type by month</v>
      </c>
      <c r="D1217" s="12"/>
    </row>
    <row r="1218" spans="1:4" x14ac:dyDescent="0.25">
      <c r="A1218" t="s">
        <v>1272</v>
      </c>
      <c r="B1218" t="str">
        <f t="shared" si="39"/>
        <v>&lt;prefix&gt;_&lt;mm&gt;01&lt;yy&gt;_&lt;ar&gt;Dispute amounts by type by month by carrier</v>
      </c>
      <c r="D1218" s="12"/>
    </row>
    <row r="1219" spans="1:4" x14ac:dyDescent="0.25">
      <c r="A1219" t="s">
        <v>1273</v>
      </c>
      <c r="B1219" t="str">
        <f t="shared" si="39"/>
        <v>&lt;prefix&gt;_&lt;mm&gt;01&lt;yy&gt;_&lt;ar&gt;Dispute amounts by type by quarter</v>
      </c>
      <c r="D1219" s="12"/>
    </row>
    <row r="1220" spans="1:4" x14ac:dyDescent="0.25">
      <c r="A1220" t="s">
        <v>1274</v>
      </c>
      <c r="B1220" t="str">
        <f t="shared" si="39"/>
        <v>&lt;prefix&gt;_&lt;mm&gt;01&lt;yy&gt;_&lt;ar&gt;Dispute amounts by type by quarter by carrier</v>
      </c>
      <c r="D1220" s="12"/>
    </row>
    <row r="1221" spans="1:4" x14ac:dyDescent="0.25">
      <c r="A1221" t="s">
        <v>1275</v>
      </c>
      <c r="B1221" t="str">
        <f t="shared" si="39"/>
        <v>&lt;prefix&gt;_&lt;mm&gt;01&lt;yy&gt;_&lt;ar&gt;Dispute amounts/carrier/month for a given year</v>
      </c>
      <c r="D1221" s="12"/>
    </row>
    <row r="1222" spans="1:4" x14ac:dyDescent="0.25">
      <c r="A1222" t="s">
        <v>1276</v>
      </c>
      <c r="B1222" t="str">
        <f t="shared" si="39"/>
        <v>&lt;prefix&gt;_&lt;mm&gt;01&lt;yy&gt;_&lt;ar&gt;Dispute amounts/carrier/qtr for a given year</v>
      </c>
      <c r="D1222" s="12"/>
    </row>
    <row r="1223" spans="1:4" x14ac:dyDescent="0.25">
      <c r="A1223" t="s">
        <v>1277</v>
      </c>
      <c r="B1223" t="str">
        <f t="shared" si="39"/>
        <v>&lt;prefix&gt;_&lt;mm&gt;01&lt;yy&gt;_&lt;ar&gt;Dispute amounts-carrier-month for a given year</v>
      </c>
      <c r="D1223" s="12"/>
    </row>
    <row r="1224" spans="1:4" x14ac:dyDescent="0.25">
      <c r="A1224" t="s">
        <v>1278</v>
      </c>
      <c r="B1224" t="str">
        <f t="shared" si="39"/>
        <v>&lt;prefix&gt;_&lt;mm&gt;01&lt;yy&gt;_&lt;ar&gt;Dispute amounts-carrier-qtr for a given year</v>
      </c>
      <c r="D1224" s="12"/>
    </row>
    <row r="1225" spans="1:4" x14ac:dyDescent="0.25">
      <c r="A1225" t="s">
        <v>1279</v>
      </c>
      <c r="B1225" t="str">
        <f t="shared" si="39"/>
        <v>&lt;prefix&gt;_&lt;mm&gt;01&lt;yy&gt;_&lt;ar&gt;EC1050 Report</v>
      </c>
      <c r="D1225" s="12"/>
    </row>
    <row r="1226" spans="1:4" x14ac:dyDescent="0.25">
      <c r="A1226" t="s">
        <v>70</v>
      </c>
      <c r="B1226" t="str">
        <f t="shared" si="39"/>
        <v>&lt;prefix&gt;_&lt;mm&gt;01&lt;yy&gt;_&lt;ar&gt;FA Charges Summary</v>
      </c>
      <c r="D1226" s="12"/>
    </row>
    <row r="1227" spans="1:4" x14ac:dyDescent="0.25">
      <c r="A1227" t="s">
        <v>71</v>
      </c>
      <c r="B1227" t="str">
        <f t="shared" si="39"/>
        <v>&lt;prefix&gt;_&lt;mm&gt;01&lt;yy&gt;_&lt;ar&gt;FA Circuit Charges by CIC by CLLI</v>
      </c>
      <c r="D1227" s="12"/>
    </row>
    <row r="1228" spans="1:4" x14ac:dyDescent="0.25">
      <c r="A1228" t="s">
        <v>69</v>
      </c>
      <c r="B1228" t="str">
        <f t="shared" si="39"/>
        <v>&lt;prefix&gt;_&lt;mm&gt;01&lt;yy&gt;_&lt;ar&gt;Facility BANS Trending Report</v>
      </c>
      <c r="D1228" s="12"/>
    </row>
    <row r="1229" spans="1:4" x14ac:dyDescent="0.25">
      <c r="A1229" t="s">
        <v>141</v>
      </c>
      <c r="B1229" t="str">
        <f t="shared" si="39"/>
        <v>&lt;prefix&gt;_&lt;mm&gt;01&lt;yy&gt;_&lt;ar&gt;Facility Billed with Disconnects</v>
      </c>
      <c r="D1229" s="12"/>
    </row>
    <row r="1230" spans="1:4" x14ac:dyDescent="0.25">
      <c r="A1230" t="s">
        <v>78</v>
      </c>
      <c r="B1230" t="str">
        <f t="shared" si="39"/>
        <v>&lt;prefix&gt;_&lt;mm&gt;01&lt;yy&gt;_&lt;ar&gt;Fulfillment Report</v>
      </c>
      <c r="D1230" s="12"/>
    </row>
    <row r="1231" spans="1:4" x14ac:dyDescent="0.25">
      <c r="A1231" t="s">
        <v>1281</v>
      </c>
      <c r="B1231" t="str">
        <f t="shared" si="39"/>
        <v>&lt;prefix&gt;_&lt;mm&gt;01&lt;yy&gt;_&lt;ar&gt;Graph - Disputed Amounts by Carrier</v>
      </c>
      <c r="D1231" s="12"/>
    </row>
    <row r="1232" spans="1:4" x14ac:dyDescent="0.25">
      <c r="A1232" t="s">
        <v>1282</v>
      </c>
      <c r="B1232" t="str">
        <f t="shared" si="39"/>
        <v>&lt;prefix&gt;_&lt;mm&gt;01&lt;yy&gt;_&lt;ar&gt;Graph - Disputed Amounts by Carrier by Date</v>
      </c>
      <c r="D1232" s="12"/>
    </row>
    <row r="1233" spans="1:4" x14ac:dyDescent="0.25">
      <c r="A1233" t="s">
        <v>1283</v>
      </c>
      <c r="B1233" t="str">
        <f t="shared" si="39"/>
        <v>&lt;prefix&gt;_&lt;mm&gt;01&lt;yy&gt;_&lt;ar&gt;Graph - Disputed Amounts by dispute types</v>
      </c>
      <c r="D1233" s="12"/>
    </row>
    <row r="1234" spans="1:4" x14ac:dyDescent="0.25">
      <c r="A1234" t="s">
        <v>1284</v>
      </c>
      <c r="B1234" t="str">
        <f t="shared" si="39"/>
        <v>&lt;prefix&gt;_&lt;mm&gt;01&lt;yy&gt;_&lt;ar&gt;Graph - Disputed Amounts vs Resolutions</v>
      </c>
      <c r="D1234" s="12"/>
    </row>
    <row r="1235" spans="1:4" x14ac:dyDescent="0.25">
      <c r="A1235" t="s">
        <v>1285</v>
      </c>
      <c r="B1235" t="str">
        <f t="shared" si="39"/>
        <v>&lt;prefix&gt;_&lt;mm&gt;01&lt;yy&gt;_&lt;ar&gt;Graph - No. of Disputes by Carrier</v>
      </c>
      <c r="D1235" s="12"/>
    </row>
    <row r="1236" spans="1:4" x14ac:dyDescent="0.25">
      <c r="A1236" t="s">
        <v>1286</v>
      </c>
      <c r="B1236" t="str">
        <f t="shared" si="39"/>
        <v>&lt;prefix&gt;_&lt;mm&gt;01&lt;yy&gt;_&lt;ar&gt;Graph - No. of Disputes by Carrier by Date</v>
      </c>
      <c r="D1236" s="12"/>
    </row>
    <row r="1237" spans="1:4" x14ac:dyDescent="0.25">
      <c r="A1237" t="s">
        <v>1467</v>
      </c>
      <c r="B1237" t="str">
        <f t="shared" si="39"/>
        <v>&lt;prefix&gt;_&lt;mm&gt;01&lt;yy&gt;_&lt;ar&gt;Invoice Balances Report</v>
      </c>
      <c r="D1237" s="12"/>
    </row>
    <row r="1238" spans="1:4" x14ac:dyDescent="0.25">
      <c r="A1238" t="s">
        <v>87</v>
      </c>
      <c r="B1238" t="str">
        <f t="shared" si="39"/>
        <v>&lt;prefix&gt;_&lt;mm&gt;01&lt;yy&gt;_&lt;ar&gt;Invoice Count Report (non-zero balances)</v>
      </c>
      <c r="D1238" s="12"/>
    </row>
    <row r="1239" spans="1:4" x14ac:dyDescent="0.25">
      <c r="A1239" t="s">
        <v>1289</v>
      </c>
      <c r="B1239" t="str">
        <f t="shared" si="39"/>
        <v>&lt;prefix&gt;_&lt;mm&gt;01&lt;yy&gt;_&lt;ar&gt;Message Record Analysis</v>
      </c>
      <c r="D1239" s="12"/>
    </row>
    <row r="1240" spans="1:4" x14ac:dyDescent="0.25">
      <c r="A1240" t="s">
        <v>1290</v>
      </c>
      <c r="B1240" t="str">
        <f t="shared" si="39"/>
        <v>&lt;prefix&gt;_&lt;mm&gt;01&lt;yy&gt;_&lt;ar&gt;Messages and minutes billed by FG,CIC</v>
      </c>
      <c r="D1240" s="12"/>
    </row>
    <row r="1241" spans="1:4" x14ac:dyDescent="0.25">
      <c r="A1241" t="s">
        <v>1291</v>
      </c>
      <c r="B1241" t="str">
        <f t="shared" si="39"/>
        <v>&lt;prefix&gt;_&lt;mm&gt;01&lt;yy&gt;_&lt;ar&gt;Messages and minutes billed by FG,CIC(Local separa</v>
      </c>
      <c r="D1241" s="12"/>
    </row>
    <row r="1242" spans="1:4" x14ac:dyDescent="0.25">
      <c r="A1242" t="s">
        <v>1468</v>
      </c>
      <c r="B1242" t="str">
        <f t="shared" si="39"/>
        <v>&lt;prefix&gt;_&lt;mm&gt;01&lt;yy&gt;_&lt;ar&gt;MIEAC Usage Balancing</v>
      </c>
      <c r="D1242" s="12"/>
    </row>
    <row r="1243" spans="1:4" x14ac:dyDescent="0.25">
      <c r="A1243" t="s">
        <v>1469</v>
      </c>
      <c r="B1243" t="str">
        <f t="shared" si="39"/>
        <v>&lt;prefix&gt;_&lt;mm&gt;01&lt;yy&gt;_&lt;ar&gt;MIEACV5_Reports_Table</v>
      </c>
      <c r="D1243" s="12"/>
    </row>
    <row r="1244" spans="1:4" x14ac:dyDescent="0.25">
      <c r="A1244" t="s">
        <v>1470</v>
      </c>
      <c r="B1244" t="str">
        <f t="shared" si="39"/>
        <v>&lt;prefix&gt;_&lt;mm&gt;01&lt;yy&gt;_&lt;ar&gt;MIEACV5_Rpt_Argmnt</v>
      </c>
      <c r="D1244" s="12"/>
    </row>
    <row r="1245" spans="1:4" x14ac:dyDescent="0.25">
      <c r="A1245" t="s">
        <v>1292</v>
      </c>
      <c r="B1245" t="str">
        <f t="shared" si="39"/>
        <v>&lt;prefix&gt;_&lt;mm&gt;01&lt;yy&gt;_&lt;ar&gt;Minutes</v>
      </c>
      <c r="D1245" s="12"/>
    </row>
    <row r="1246" spans="1:4" x14ac:dyDescent="0.25">
      <c r="A1246" t="s">
        <v>92</v>
      </c>
      <c r="B1246" t="str">
        <f t="shared" si="39"/>
        <v>&lt;prefix&gt;_&lt;mm&gt;01&lt;yy&gt;_&lt;ar&gt;Minutes and revenue billed by rate element</v>
      </c>
      <c r="D1246" s="12"/>
    </row>
    <row r="1247" spans="1:4" x14ac:dyDescent="0.25">
      <c r="A1247" t="s">
        <v>1293</v>
      </c>
      <c r="B1247" t="str">
        <f t="shared" si="39"/>
        <v>&lt;prefix&gt;_&lt;mm&gt;01&lt;yy&gt;_&lt;ar&gt;Minutes billed by BAN, Orig- Term Inter-Intra Stat</v>
      </c>
      <c r="D1247" s="12"/>
    </row>
    <row r="1248" spans="1:4" x14ac:dyDescent="0.25">
      <c r="A1248" t="s">
        <v>1294</v>
      </c>
      <c r="B1248" t="str">
        <f t="shared" si="39"/>
        <v>&lt;prefix&gt;_&lt;mm&gt;01&lt;yy&gt;_&lt;ar&gt;Minutes billed by BAN, Orig/ Term Inter/Intra Stat</v>
      </c>
      <c r="D1248" s="12"/>
    </row>
    <row r="1249" spans="1:4" x14ac:dyDescent="0.25">
      <c r="A1249" t="s">
        <v>1471</v>
      </c>
      <c r="B1249" t="str">
        <f t="shared" ref="B1249:B1280" si="40">"&lt;prefix&gt;_&lt;mm&gt;01&lt;yy&gt;_&lt;ar&gt;"&amp;A1249</f>
        <v>&lt;prefix&gt;_&lt;mm&gt;01&lt;yy&gt;_&lt;ar&gt;MSG MOU REV Export - Facility</v>
      </c>
      <c r="D1249" s="12"/>
    </row>
    <row r="1250" spans="1:4" x14ac:dyDescent="0.25">
      <c r="A1250" t="s">
        <v>100</v>
      </c>
      <c r="B1250" t="str">
        <f t="shared" si="40"/>
        <v>&lt;prefix&gt;_&lt;mm&gt;01&lt;yy&gt;_&lt;ar&gt;NECA AS1000</v>
      </c>
      <c r="D1250" s="12"/>
    </row>
    <row r="1251" spans="1:4" x14ac:dyDescent="0.25">
      <c r="A1251" t="s">
        <v>101</v>
      </c>
      <c r="B1251" t="str">
        <f t="shared" si="40"/>
        <v>&lt;prefix&gt;_&lt;mm&gt;01&lt;yy&gt;_&lt;ar&gt;NECA EC1050</v>
      </c>
      <c r="D1251" s="12"/>
    </row>
    <row r="1252" spans="1:4" x14ac:dyDescent="0.25">
      <c r="A1252" t="s">
        <v>1297</v>
      </c>
      <c r="B1252" t="str">
        <f t="shared" si="40"/>
        <v>&lt;prefix&gt;_&lt;mm&gt;01&lt;yy&gt;_&lt;ar&gt;Non FA Rate Element as Billed Table Report</v>
      </c>
      <c r="D1252" s="12"/>
    </row>
    <row r="1253" spans="1:4" x14ac:dyDescent="0.25">
      <c r="A1253" t="s">
        <v>1298</v>
      </c>
      <c r="B1253" t="str">
        <f t="shared" si="40"/>
        <v>&lt;prefix&gt;_&lt;mm&gt;01&lt;yy&gt;_&lt;ar&gt;OCC Detail Report - Posted</v>
      </c>
      <c r="D1253" s="12"/>
    </row>
    <row r="1254" spans="1:4" x14ac:dyDescent="0.25">
      <c r="A1254" t="s">
        <v>1299</v>
      </c>
      <c r="B1254" t="str">
        <f t="shared" si="40"/>
        <v>&lt;prefix&gt;_&lt;mm&gt;01&lt;yy&gt;_&lt;ar&gt;OCC Detail Report - Unposted</v>
      </c>
      <c r="D1254" s="12"/>
    </row>
    <row r="1255" spans="1:4" x14ac:dyDescent="0.25">
      <c r="A1255" t="s">
        <v>106</v>
      </c>
      <c r="B1255" t="str">
        <f t="shared" si="40"/>
        <v>&lt;prefix&gt;_&lt;mm&gt;01&lt;yy&gt;_&lt;ar&gt;OCC GL Trans by BAN Report - New</v>
      </c>
      <c r="D1255" s="12"/>
    </row>
    <row r="1256" spans="1:4" x14ac:dyDescent="0.25">
      <c r="A1256" t="s">
        <v>1300</v>
      </c>
      <c r="B1256" t="str">
        <f t="shared" si="40"/>
        <v>&lt;prefix&gt;_&lt;mm&gt;01&lt;yy&gt;_&lt;ar&gt;Partially Paid Invoices</v>
      </c>
      <c r="D1256" s="12"/>
    </row>
    <row r="1257" spans="1:4" x14ac:dyDescent="0.25">
      <c r="A1257" t="s">
        <v>1301</v>
      </c>
      <c r="B1257" t="str">
        <f t="shared" si="40"/>
        <v>&lt;prefix&gt;_&lt;mm&gt;01&lt;yy&gt;_&lt;ar&gt;Payment Details by Check</v>
      </c>
      <c r="D1257" s="12"/>
    </row>
    <row r="1258" spans="1:4" x14ac:dyDescent="0.25">
      <c r="A1258" t="s">
        <v>109</v>
      </c>
      <c r="B1258" t="str">
        <f t="shared" si="40"/>
        <v>&lt;prefix&gt;_&lt;mm&gt;01&lt;yy&gt;_&lt;ar&gt;Payment Report - New</v>
      </c>
      <c r="D1258" s="12"/>
    </row>
    <row r="1259" spans="1:4" x14ac:dyDescent="0.25">
      <c r="A1259" t="s">
        <v>1302</v>
      </c>
      <c r="B1259" t="str">
        <f t="shared" si="40"/>
        <v>&lt;prefix&gt;_&lt;mm&gt;01&lt;yy&gt;_&lt;ar&gt;Payments by Payer by BAN</v>
      </c>
      <c r="D1259" s="12"/>
    </row>
    <row r="1260" spans="1:4" x14ac:dyDescent="0.25">
      <c r="A1260" t="s">
        <v>1303</v>
      </c>
      <c r="B1260" t="str">
        <f t="shared" si="40"/>
        <v>&lt;prefix&gt;_&lt;mm&gt;01&lt;yy&gt;_&lt;ar&gt;Payments Not on Bill</v>
      </c>
      <c r="D1260" s="12"/>
    </row>
    <row r="1261" spans="1:4" x14ac:dyDescent="0.25">
      <c r="A1261" t="s">
        <v>1304</v>
      </c>
      <c r="B1261" t="str">
        <f t="shared" si="40"/>
        <v>&lt;prefix&gt;_&lt;mm&gt;01&lt;yy&gt;_&lt;ar&gt;Percent of disputes/billed per month/year</v>
      </c>
      <c r="D1261" s="12"/>
    </row>
    <row r="1262" spans="1:4" x14ac:dyDescent="0.25">
      <c r="A1262" t="s">
        <v>1305</v>
      </c>
      <c r="B1262" t="str">
        <f t="shared" si="40"/>
        <v>&lt;prefix&gt;_&lt;mm&gt;01&lt;yy&gt;_&lt;ar&gt;Percent of disputes/billed per qtr/year</v>
      </c>
      <c r="D1262" s="12"/>
    </row>
    <row r="1263" spans="1:4" x14ac:dyDescent="0.25">
      <c r="A1263" t="s">
        <v>1306</v>
      </c>
      <c r="B1263" t="str">
        <f t="shared" si="40"/>
        <v>&lt;prefix&gt;_&lt;mm&gt;01&lt;yy&gt;_&lt;ar&gt;Percent of disputes-billed per month-year</v>
      </c>
      <c r="D1263" s="12"/>
    </row>
    <row r="1264" spans="1:4" x14ac:dyDescent="0.25">
      <c r="A1264" t="s">
        <v>1307</v>
      </c>
      <c r="B1264" t="str">
        <f t="shared" si="40"/>
        <v>&lt;prefix&gt;_&lt;mm&gt;01&lt;yy&gt;_&lt;ar&gt;Percent of disputes-billed per qtr-year</v>
      </c>
      <c r="D1264" s="12"/>
    </row>
    <row r="1265" spans="1:4" x14ac:dyDescent="0.25">
      <c r="A1265" t="s">
        <v>1308</v>
      </c>
      <c r="B1265" t="str">
        <f t="shared" si="40"/>
        <v>&lt;prefix&gt;_&lt;mm&gt;01&lt;yy&gt;_&lt;ar&gt;Post billing rate change adj. calc. - FA</v>
      </c>
      <c r="D1265" s="12"/>
    </row>
    <row r="1266" spans="1:4" x14ac:dyDescent="0.25">
      <c r="A1266" t="s">
        <v>1309</v>
      </c>
      <c r="B1266" t="str">
        <f t="shared" si="40"/>
        <v>&lt;prefix&gt;_&lt;mm&gt;01&lt;yy&gt;_&lt;ar&gt;Post billing rate change adj. calc. - SW</v>
      </c>
      <c r="D1266" s="12"/>
    </row>
    <row r="1267" spans="1:4" x14ac:dyDescent="0.25">
      <c r="A1267" t="s">
        <v>1310</v>
      </c>
      <c r="B1267" t="str">
        <f t="shared" si="40"/>
        <v>&lt;prefix&gt;_&lt;mm&gt;01&lt;yy&gt;_&lt;ar&gt;Rate Element Table Report</v>
      </c>
      <c r="D1267" s="12"/>
    </row>
    <row r="1268" spans="1:4" x14ac:dyDescent="0.25">
      <c r="A1268" t="s">
        <v>1311</v>
      </c>
      <c r="B1268" t="str">
        <f t="shared" si="40"/>
        <v>&lt;prefix&gt;_&lt;mm&gt;01&lt;yy&gt;_&lt;ar&gt;Reconciliation of account balance over time</v>
      </c>
      <c r="D1268" s="12"/>
    </row>
    <row r="1269" spans="1:4" x14ac:dyDescent="0.25">
      <c r="A1269" t="s">
        <v>1312</v>
      </c>
      <c r="B1269" t="str">
        <f t="shared" si="40"/>
        <v>&lt;prefix&gt;_&lt;mm&gt;01&lt;yy&gt;_&lt;ar&gt;Resolved Disputes by carrier</v>
      </c>
      <c r="D1269" s="12"/>
    </row>
    <row r="1270" spans="1:4" x14ac:dyDescent="0.25">
      <c r="A1270" t="s">
        <v>1313</v>
      </c>
      <c r="B1270" t="str">
        <f t="shared" si="40"/>
        <v>&lt;prefix&gt;_&lt;mm&gt;01&lt;yy&gt;_&lt;ar&gt;Revenue</v>
      </c>
      <c r="D1270" s="12"/>
    </row>
    <row r="1271" spans="1:4" x14ac:dyDescent="0.25">
      <c r="A1271" t="s">
        <v>1314</v>
      </c>
      <c r="B1271" t="str">
        <f t="shared" si="40"/>
        <v>&lt;prefix&gt;_&lt;mm&gt;01&lt;yy&gt;_&lt;ar&gt;Revenue billed by BAN, Inter/Intra State</v>
      </c>
      <c r="D1271" s="12"/>
    </row>
    <row r="1272" spans="1:4" x14ac:dyDescent="0.25">
      <c r="A1272" t="s">
        <v>1315</v>
      </c>
      <c r="B1272" t="str">
        <f t="shared" si="40"/>
        <v>&lt;prefix&gt;_&lt;mm&gt;01&lt;yy&gt;_&lt;ar&gt;Revenue billed by BAN, Inter-Intra State</v>
      </c>
      <c r="D1272" s="12"/>
    </row>
    <row r="1273" spans="1:4" x14ac:dyDescent="0.25">
      <c r="A1273" t="s">
        <v>1316</v>
      </c>
      <c r="B1273" t="str">
        <f t="shared" si="40"/>
        <v>&lt;prefix&gt;_&lt;mm&gt;01&lt;yy&gt;_&lt;ar&gt;Security Report by User</v>
      </c>
      <c r="D1273" s="12"/>
    </row>
    <row r="1274" spans="1:4" x14ac:dyDescent="0.25">
      <c r="A1274" t="s">
        <v>1317</v>
      </c>
      <c r="B1274" t="str">
        <f t="shared" si="40"/>
        <v>&lt;prefix&gt;_&lt;mm&gt;01&lt;yy&gt;_&lt;ar&gt;Security Report by Window</v>
      </c>
      <c r="D1274" s="12"/>
    </row>
    <row r="1275" spans="1:4" x14ac:dyDescent="0.25">
      <c r="A1275" t="s">
        <v>1318</v>
      </c>
      <c r="B1275" t="str">
        <f t="shared" si="40"/>
        <v>&lt;prefix&gt;_&lt;mm&gt;01&lt;yy&gt;_&lt;ar&gt;SOC Jurisdiction Table Report</v>
      </c>
      <c r="D1275" s="12"/>
    </row>
    <row r="1276" spans="1:4" x14ac:dyDescent="0.25">
      <c r="A1276" t="s">
        <v>1319</v>
      </c>
      <c r="B1276" t="str">
        <f t="shared" si="40"/>
        <v>&lt;prefix&gt;_&lt;mm&gt;01&lt;yy&gt;_&lt;ar&gt;SOC Rate Comparison between companies</v>
      </c>
      <c r="D1276" s="12"/>
    </row>
    <row r="1277" spans="1:4" x14ac:dyDescent="0.25">
      <c r="A1277" t="s">
        <v>1320</v>
      </c>
      <c r="B1277" t="str">
        <f t="shared" si="40"/>
        <v>&lt;prefix&gt;_&lt;mm&gt;01&lt;yy&gt;_&lt;ar&gt;SOC Tariff Table Report</v>
      </c>
      <c r="D1277" s="12"/>
    </row>
    <row r="1278" spans="1:4" x14ac:dyDescent="0.25">
      <c r="A1278" t="s">
        <v>1472</v>
      </c>
      <c r="B1278" t="str">
        <f t="shared" si="40"/>
        <v>&lt;prefix&gt;_&lt;mm&gt;01&lt;yy&gt;_&lt;ar&gt;SOCs on BANs</v>
      </c>
      <c r="D1278" s="12"/>
    </row>
    <row r="1279" spans="1:4" x14ac:dyDescent="0.25">
      <c r="A1279" t="s">
        <v>1321</v>
      </c>
      <c r="B1279" t="str">
        <f t="shared" si="40"/>
        <v>&lt;prefix&gt;_&lt;mm&gt;01&lt;yy&gt;_&lt;ar&gt;Summary of Adjustments Report</v>
      </c>
      <c r="D1279" s="12"/>
    </row>
    <row r="1280" spans="1:4" x14ac:dyDescent="0.25">
      <c r="A1280" t="s">
        <v>1322</v>
      </c>
      <c r="B1280" t="str">
        <f t="shared" si="40"/>
        <v>&lt;prefix&gt;_&lt;mm&gt;01&lt;yy&gt;_&lt;ar&gt;Summary of OCCs Report</v>
      </c>
      <c r="D1280" s="12"/>
    </row>
    <row r="1281" spans="1:4" x14ac:dyDescent="0.25">
      <c r="A1281" t="s">
        <v>120</v>
      </c>
      <c r="B1281" t="str">
        <f t="shared" ref="B1281:B1307" si="41">"&lt;prefix&gt;_&lt;mm&gt;01&lt;yy&gt;_&lt;ar&gt;"&amp;A1281</f>
        <v>&lt;prefix&gt;_&lt;mm&gt;01&lt;yy&gt;_&lt;ar&gt;SW Usage Charges Summary</v>
      </c>
      <c r="D1281" s="12"/>
    </row>
    <row r="1282" spans="1:4" x14ac:dyDescent="0.25">
      <c r="A1282" t="s">
        <v>1323</v>
      </c>
      <c r="B1282" t="str">
        <f t="shared" si="41"/>
        <v>&lt;prefix&gt;_&lt;mm&gt;01&lt;yy&gt;_&lt;ar&gt;SW Usage Charges Summary by CLLI</v>
      </c>
      <c r="D1282" s="12"/>
    </row>
    <row r="1283" spans="1:4" x14ac:dyDescent="0.25">
      <c r="A1283" t="s">
        <v>1324</v>
      </c>
      <c r="B1283" t="str">
        <f t="shared" si="41"/>
        <v>&lt;prefix&gt;_&lt;mm&gt;01&lt;yy&gt;_&lt;ar&gt;SW Usage Statistics Summary</v>
      </c>
      <c r="D1283" s="12"/>
    </row>
    <row r="1284" spans="1:4" x14ac:dyDescent="0.25">
      <c r="A1284" t="s">
        <v>125</v>
      </c>
      <c r="B1284" t="str">
        <f t="shared" si="41"/>
        <v>&lt;prefix&gt;_&lt;mm&gt;01&lt;yy&gt;_&lt;ar&gt;Switched BANS Trending Report - New</v>
      </c>
      <c r="D1284" s="12"/>
    </row>
    <row r="1285" spans="1:4" x14ac:dyDescent="0.25">
      <c r="A1285" t="s">
        <v>1326</v>
      </c>
      <c r="B1285" t="str">
        <f t="shared" si="41"/>
        <v>&lt;prefix&gt;_&lt;mm&gt;01&lt;yy&gt;_&lt;ar&gt;Switched Billing Account - Factor Report</v>
      </c>
      <c r="D1285" s="12"/>
    </row>
    <row r="1286" spans="1:4" x14ac:dyDescent="0.25">
      <c r="A1286" t="s">
        <v>1327</v>
      </c>
      <c r="B1286" t="str">
        <f t="shared" si="41"/>
        <v>&lt;prefix&gt;_&lt;mm&gt;01&lt;yy&gt;_&lt;ar&gt;Switched Billing Account - SOC Report</v>
      </c>
      <c r="D1286" s="12"/>
    </row>
    <row r="1287" spans="1:4" x14ac:dyDescent="0.25">
      <c r="A1287" t="s">
        <v>1328</v>
      </c>
      <c r="B1287" t="str">
        <f t="shared" si="41"/>
        <v>&lt;prefix&gt;_&lt;mm&gt;01&lt;yy&gt;_&lt;ar&gt;Switched Billing Account - Wire Center Report</v>
      </c>
      <c r="D1287" s="12"/>
    </row>
    <row r="1288" spans="1:4" x14ac:dyDescent="0.25">
      <c r="A1288" t="s">
        <v>1329</v>
      </c>
      <c r="B1288" t="str">
        <f t="shared" si="41"/>
        <v>&lt;prefix&gt;_&lt;mm&gt;01&lt;yy&gt;_&lt;ar&gt;Tariff Element Tracking</v>
      </c>
      <c r="D1288" s="12"/>
    </row>
    <row r="1289" spans="1:4" x14ac:dyDescent="0.25">
      <c r="A1289" t="s">
        <v>619</v>
      </c>
      <c r="B1289" t="str">
        <f t="shared" si="41"/>
        <v>&lt;prefix&gt;_&lt;mm&gt;01&lt;yy&gt;_&lt;ar&gt;Transaction Detail Listing</v>
      </c>
      <c r="D1289" s="12"/>
    </row>
    <row r="1290" spans="1:4" x14ac:dyDescent="0.25">
      <c r="A1290" t="s">
        <v>616</v>
      </c>
      <c r="B1290" t="str">
        <f t="shared" si="41"/>
        <v>&lt;prefix&gt;_&lt;mm&gt;01&lt;yy&gt;_&lt;ar&gt;Transaction Summary</v>
      </c>
      <c r="D1290" s="12"/>
    </row>
    <row r="1291" spans="1:4" x14ac:dyDescent="0.25">
      <c r="A1291" t="s">
        <v>1331</v>
      </c>
      <c r="B1291" t="str">
        <f t="shared" si="41"/>
        <v>&lt;prefix&gt;_&lt;mm&gt;01&lt;yy&gt;_&lt;ar&gt;Transaction Summary - adjustments only</v>
      </c>
      <c r="D1291" s="12"/>
    </row>
    <row r="1292" spans="1:4" x14ac:dyDescent="0.25">
      <c r="A1292" t="s">
        <v>1332</v>
      </c>
      <c r="B1292" t="str">
        <f t="shared" si="41"/>
        <v>&lt;prefix&gt;_&lt;mm&gt;01&lt;yy&gt;_&lt;ar&gt;Transaction Summary - receipts only</v>
      </c>
      <c r="D1292" s="12"/>
    </row>
    <row r="1293" spans="1:4" x14ac:dyDescent="0.25">
      <c r="A1293" t="s">
        <v>1333</v>
      </c>
      <c r="B1293" t="str">
        <f t="shared" si="41"/>
        <v>&lt;prefix&gt;_&lt;mm&gt;01&lt;yy&gt;_&lt;ar&gt;Transaction Summary by transaction/bill type</v>
      </c>
      <c r="D1293" s="12"/>
    </row>
    <row r="1294" spans="1:4" x14ac:dyDescent="0.25">
      <c r="A1294" t="s">
        <v>1334</v>
      </c>
      <c r="B1294" t="str">
        <f t="shared" si="41"/>
        <v xml:space="preserve">&lt;prefix&gt;_&lt;mm&gt;01&lt;yy&gt;_&lt;ar&gt;Transaction Summary by transaction/bill type </v>
      </c>
      <c r="D1294" s="12"/>
    </row>
    <row r="1295" spans="1:4" x14ac:dyDescent="0.25">
      <c r="A1295" t="s">
        <v>1335</v>
      </c>
      <c r="B1295" t="str">
        <f t="shared" si="41"/>
        <v>&lt;prefix&gt;_&lt;mm&gt;01&lt;yy&gt;_&lt;ar&gt;Transaction Summary by transaction-bill type</v>
      </c>
      <c r="D1295" s="12"/>
    </row>
    <row r="1296" spans="1:4" x14ac:dyDescent="0.25">
      <c r="A1296" t="s">
        <v>129</v>
      </c>
      <c r="B1296" t="str">
        <f t="shared" si="41"/>
        <v>&lt;prefix&gt;_&lt;mm&gt;01&lt;yy&gt;_&lt;ar&gt;Transaction Summary Report - New</v>
      </c>
      <c r="D1296" s="12"/>
    </row>
    <row r="1297" spans="1:4" x14ac:dyDescent="0.25">
      <c r="A1297" t="s">
        <v>1336</v>
      </c>
      <c r="B1297" t="str">
        <f t="shared" si="41"/>
        <v>&lt;prefix&gt;_&lt;mm&gt;01&lt;yy&gt;_&lt;ar&gt;Unposted Adjustments</v>
      </c>
      <c r="D1297" s="12"/>
    </row>
    <row r="1298" spans="1:4" x14ac:dyDescent="0.25">
      <c r="A1298" t="s">
        <v>1337</v>
      </c>
      <c r="B1298" t="str">
        <f t="shared" si="41"/>
        <v>&lt;prefix&gt;_&lt;mm&gt;01&lt;yy&gt;_&lt;ar&gt;Unresolved Disputes by Carrier by code</v>
      </c>
      <c r="D1298" s="12"/>
    </row>
    <row r="1299" spans="1:4" x14ac:dyDescent="0.25">
      <c r="A1299" t="s">
        <v>1338</v>
      </c>
      <c r="B1299" t="str">
        <f t="shared" si="41"/>
        <v>&lt;prefix&gt;_&lt;mm&gt;01&lt;yy&gt;_&lt;ar&gt;Unresolved Disputes by Carrier by month</v>
      </c>
      <c r="D1299" s="12"/>
    </row>
    <row r="1300" spans="1:4" x14ac:dyDescent="0.25">
      <c r="A1300" t="s">
        <v>1339</v>
      </c>
      <c r="B1300" t="str">
        <f t="shared" si="41"/>
        <v>&lt;prefix&gt;_&lt;mm&gt;01&lt;yy&gt;_&lt;ar&gt;Usage Balancing - Company Totals</v>
      </c>
      <c r="D1300" s="12"/>
    </row>
    <row r="1301" spans="1:4" x14ac:dyDescent="0.25">
      <c r="A1301" t="s">
        <v>41</v>
      </c>
      <c r="B1301" t="str">
        <f t="shared" si="41"/>
        <v>&lt;prefix&gt;_&lt;mm&gt;01&lt;yy&gt;_&lt;ar&gt;Usage Balancing - Company Totals with Full Detail</v>
      </c>
      <c r="D1301" s="12"/>
    </row>
    <row r="1302" spans="1:4" x14ac:dyDescent="0.25">
      <c r="A1302" t="s">
        <v>1340</v>
      </c>
      <c r="B1302" t="str">
        <f t="shared" si="41"/>
        <v>&lt;prefix&gt;_&lt;mm&gt;01&lt;yy&gt;_&lt;ar&gt;Usage Balancing - Company, Ban, Clli Totals</v>
      </c>
      <c r="D1302" s="12"/>
    </row>
    <row r="1303" spans="1:4" x14ac:dyDescent="0.25">
      <c r="A1303" t="s">
        <v>1341</v>
      </c>
      <c r="B1303" t="str">
        <f t="shared" si="41"/>
        <v>&lt;prefix&gt;_&lt;mm&gt;01&lt;yy&gt;_&lt;ar&gt;Usage Balancing - Company, Ban, Clli, TT Totals</v>
      </c>
      <c r="D1303" s="12"/>
    </row>
    <row r="1304" spans="1:4" x14ac:dyDescent="0.25">
      <c r="A1304" t="s">
        <v>138</v>
      </c>
      <c r="B1304" t="str">
        <f t="shared" si="41"/>
        <v>&lt;prefix&gt;_&lt;mm&gt;01&lt;yy&gt;_&lt;ar&gt;Usage by Day Report - New</v>
      </c>
      <c r="D1304" s="12"/>
    </row>
    <row r="1305" spans="1:4" x14ac:dyDescent="0.25">
      <c r="A1305" t="s">
        <v>1342</v>
      </c>
      <c r="B1305" t="str">
        <f t="shared" si="41"/>
        <v>&lt;prefix&gt;_&lt;mm&gt;01&lt;yy&gt;_&lt;ar&gt;Usage Totaling Rule</v>
      </c>
      <c r="D1305" s="12"/>
    </row>
    <row r="1306" spans="1:4" x14ac:dyDescent="0.25">
      <c r="A1306" t="s">
        <v>1343</v>
      </c>
      <c r="B1306" t="str">
        <f t="shared" si="41"/>
        <v>&lt;prefix&gt;_&lt;mm&gt;01&lt;yy&gt;_&lt;ar&gt;Wire Center Mileage Segment Report</v>
      </c>
      <c r="D1306" s="12"/>
    </row>
    <row r="1307" spans="1:4" x14ac:dyDescent="0.25">
      <c r="A1307" t="s">
        <v>1344</v>
      </c>
      <c r="B1307" t="str">
        <f t="shared" si="41"/>
        <v>&lt;prefix&gt;_&lt;mm&gt;01&lt;yy&gt;_&lt;ar&gt;Wire Center Report</v>
      </c>
      <c r="D1307" s="12"/>
    </row>
    <row r="1308" spans="1:4" x14ac:dyDescent="0.25">
      <c r="A1308" t="s">
        <v>109</v>
      </c>
      <c r="B1308" s="11" t="s">
        <v>1110</v>
      </c>
      <c r="C1308" s="18">
        <v>8</v>
      </c>
    </row>
    <row r="1309" spans="1:4" x14ac:dyDescent="0.25">
      <c r="A1309" t="s">
        <v>32</v>
      </c>
      <c r="B1309" t="s">
        <v>1111</v>
      </c>
      <c r="C1309" s="18">
        <v>10</v>
      </c>
    </row>
    <row r="1310" spans="1:4" x14ac:dyDescent="0.25">
      <c r="A1310" t="s">
        <v>39</v>
      </c>
      <c r="B1310" t="s">
        <v>1112</v>
      </c>
      <c r="C1310" s="18">
        <v>11</v>
      </c>
    </row>
    <row r="1311" spans="1:4" x14ac:dyDescent="0.25">
      <c r="A1311" t="s">
        <v>16</v>
      </c>
      <c r="B1311" t="s">
        <v>1113</v>
      </c>
      <c r="C1311" t="s">
        <v>383</v>
      </c>
    </row>
    <row r="1312" spans="1:4" x14ac:dyDescent="0.25">
      <c r="A1312" t="s">
        <v>69</v>
      </c>
      <c r="B1312" t="s">
        <v>1114</v>
      </c>
      <c r="C1312" t="s">
        <v>385</v>
      </c>
    </row>
    <row r="1313" spans="1:3" x14ac:dyDescent="0.25">
      <c r="A1313" t="s">
        <v>17</v>
      </c>
      <c r="B1313" s="11" t="s">
        <v>1115</v>
      </c>
      <c r="C1313" t="s">
        <v>424</v>
      </c>
    </row>
    <row r="1314" spans="1:3" x14ac:dyDescent="0.25">
      <c r="A1314" t="s">
        <v>106</v>
      </c>
      <c r="B1314" s="11" t="s">
        <v>1116</v>
      </c>
      <c r="C1314" t="s">
        <v>428</v>
      </c>
    </row>
    <row r="1315" spans="1:3" x14ac:dyDescent="0.25">
      <c r="A1315" t="s">
        <v>86</v>
      </c>
      <c r="B1315" s="11" t="s">
        <v>1117</v>
      </c>
      <c r="C1315" t="s">
        <v>767</v>
      </c>
    </row>
    <row r="1316" spans="1:3" x14ac:dyDescent="0.25">
      <c r="A1316" t="s">
        <v>7</v>
      </c>
      <c r="B1316" t="s">
        <v>1118</v>
      </c>
      <c r="C1316" t="s">
        <v>336</v>
      </c>
    </row>
    <row r="1317" spans="1:3" x14ac:dyDescent="0.25">
      <c r="A1317" t="s">
        <v>26</v>
      </c>
      <c r="B1317" s="7" t="s">
        <v>1119</v>
      </c>
      <c r="C1317" s="7"/>
    </row>
    <row r="1318" spans="1:3" x14ac:dyDescent="0.25">
      <c r="A1318" t="s">
        <v>70</v>
      </c>
      <c r="B1318" s="7" t="s">
        <v>1120</v>
      </c>
      <c r="C1318" s="7"/>
    </row>
    <row r="1319" spans="1:3" x14ac:dyDescent="0.25">
      <c r="A1319" t="s">
        <v>71</v>
      </c>
      <c r="B1319" s="7" t="s">
        <v>1121</v>
      </c>
      <c r="C1319" s="7"/>
    </row>
    <row r="1320" spans="1:3" x14ac:dyDescent="0.25">
      <c r="A1320" t="s">
        <v>97</v>
      </c>
      <c r="B1320" s="7" t="s">
        <v>1122</v>
      </c>
      <c r="C1320" s="7"/>
    </row>
    <row r="1321" spans="1:3" x14ac:dyDescent="0.25">
      <c r="A1321" t="s">
        <v>113</v>
      </c>
      <c r="B1321" s="7" t="s">
        <v>1123</v>
      </c>
      <c r="C1321" s="7"/>
    </row>
    <row r="1322" spans="1:3" x14ac:dyDescent="0.25">
      <c r="A1322" t="s">
        <v>129</v>
      </c>
      <c r="B1322" s="7" t="s">
        <v>1124</v>
      </c>
      <c r="C1322" s="7"/>
    </row>
    <row r="1323" spans="1:3" x14ac:dyDescent="0.25">
      <c r="A1323" t="s">
        <v>6</v>
      </c>
      <c r="B1323" s="7" t="str">
        <f>"Combined_&lt;prefix&gt;_&lt;mm&gt;&lt;cy&gt;&lt;yy&gt;_&lt;ar&gt;"&amp;A1323</f>
        <v>Combined_&lt;prefix&gt;_&lt;mm&gt;&lt;cy&gt;&lt;yy&gt;_&lt;ar&gt;Accounting Detailed Report</v>
      </c>
    </row>
    <row r="1324" spans="1:3" x14ac:dyDescent="0.25">
      <c r="A1324" t="s">
        <v>8</v>
      </c>
      <c r="B1324" s="7" t="str">
        <f>"Combined_&lt;prefix&gt;_&lt;mm&gt;&lt;cy&gt;&lt;yy&gt;_&lt;ar&gt;"&amp;A1324</f>
        <v>Combined_&lt;prefix&gt;_&lt;mm&gt;&lt;cy&gt;&lt;yy&gt;_&lt;ar&gt;Accounting Report</v>
      </c>
    </row>
    <row r="1325" spans="1:3" x14ac:dyDescent="0.25">
      <c r="A1325" t="s">
        <v>55</v>
      </c>
      <c r="B1325" s="7" t="s">
        <v>1125</v>
      </c>
    </row>
    <row r="1326" spans="1:3" x14ac:dyDescent="0.25">
      <c r="A1326" t="s">
        <v>49</v>
      </c>
      <c r="B1326" t="s">
        <v>1473</v>
      </c>
      <c r="C1326" s="7"/>
    </row>
    <row r="1327" spans="1:3" x14ac:dyDescent="0.25">
      <c r="A1327" t="s">
        <v>51</v>
      </c>
      <c r="B1327" t="s">
        <v>1474</v>
      </c>
      <c r="C1327" s="7"/>
    </row>
    <row r="1328" spans="1:3" x14ac:dyDescent="0.25">
      <c r="A1328" t="s">
        <v>1231</v>
      </c>
      <c r="B1328" t="str">
        <f>"Combined_&lt;prefix&gt;_&lt;mm&gt;&lt;cy&gt;&lt;yy&gt;_&lt;ar&gt;"&amp;A1328</f>
        <v>Combined_&lt;prefix&gt;_&lt;mm&gt;&lt;cy&gt;&lt;yy&gt;_&lt;ar&gt;Access MSG and MOU billed by CLLI,FG,CIC</v>
      </c>
    </row>
    <row r="1329" spans="1:2" x14ac:dyDescent="0.25">
      <c r="A1329" t="s">
        <v>13</v>
      </c>
      <c r="B1329" t="str">
        <f>"Combined_&lt;prefix&gt;_&lt;mm&gt;&lt;cy&gt;&lt;yy&gt;_&lt;ar&gt;"&amp;A1329</f>
        <v>Combined_&lt;prefix&gt;_&lt;mm&gt;&lt;cy&gt;&lt;yy&gt;_&lt;ar&gt;Adjustment GL Trans by BAN Report</v>
      </c>
    </row>
    <row r="1330" spans="1:2" x14ac:dyDescent="0.25">
      <c r="A1330" t="s">
        <v>1232</v>
      </c>
      <c r="B1330" t="str">
        <f>"Combined_&lt;prefix&gt;_&lt;mm&gt;&lt;cy&gt;&lt;yy&gt;_&lt;ar&gt;"&amp;A1330</f>
        <v>Combined_&lt;prefix&gt;_&lt;mm&gt;&lt;cy&gt;&lt;yy&gt;_&lt;ar&gt;Adjustments Detail Report - Posted</v>
      </c>
    </row>
    <row r="1331" spans="1:2" x14ac:dyDescent="0.25">
      <c r="A1331" t="s">
        <v>1233</v>
      </c>
      <c r="B1331" t="str">
        <f>"Combined_&lt;prefix&gt;_&lt;mm&gt;&lt;cy&gt;&lt;yy&gt;_&lt;ar&gt;"&amp;A1331</f>
        <v>Combined_&lt;prefix&gt;_&lt;mm&gt;&lt;cy&gt;&lt;yy&gt;_&lt;ar&gt;Adjustments Detail Report - Unposted</v>
      </c>
    </row>
    <row r="1332" spans="1:2" x14ac:dyDescent="0.25">
      <c r="A1332" t="s">
        <v>30</v>
      </c>
      <c r="B1332" t="str">
        <f>"Combined_&lt;prefix&gt;_&lt;mm&gt;&lt;cy&gt;&lt;yy&gt;_&lt;ar&gt;"&amp;A1332</f>
        <v>Combined_&lt;prefix&gt;_&lt;mm&gt;&lt;cy&gt;&lt;yy&gt;_&lt;ar&gt;Aged trial Balance</v>
      </c>
    </row>
    <row r="1333" spans="1:2" x14ac:dyDescent="0.25">
      <c r="A1333" t="s">
        <v>33</v>
      </c>
      <c r="B1333" s="11" t="s">
        <v>1132</v>
      </c>
    </row>
    <row r="1334" spans="1:2" x14ac:dyDescent="0.25">
      <c r="A1334" t="s">
        <v>1234</v>
      </c>
      <c r="B1334" t="str">
        <f t="shared" ref="B1334:B1342" si="42">"Combined_&lt;prefix&gt;_&lt;mm&gt;&lt;cy&gt;&lt;yy&gt;_&lt;ar&gt;"&amp;A1334</f>
        <v>Combined_&lt;prefix&gt;_&lt;mm&gt;&lt;cy&gt;&lt;yy&gt;_&lt;ar&gt;Aged Trial Balance by Company</v>
      </c>
    </row>
    <row r="1335" spans="1:2" x14ac:dyDescent="0.25">
      <c r="A1335" t="s">
        <v>23</v>
      </c>
      <c r="B1335" t="str">
        <f t="shared" si="42"/>
        <v>Combined_&lt;prefix&gt;_&lt;mm&gt;&lt;cy&gt;&lt;yy&gt;_&lt;ar&gt;Aged Trial Balance for Export</v>
      </c>
    </row>
    <row r="1336" spans="1:2" x14ac:dyDescent="0.25">
      <c r="A1336" t="s">
        <v>1235</v>
      </c>
      <c r="B1336" t="str">
        <f t="shared" si="42"/>
        <v>Combined_&lt;prefix&gt;_&lt;mm&gt;&lt;cy&gt;&lt;yy&gt;_&lt;ar&gt;Amount billed/disputed/settled by month/carrier</v>
      </c>
    </row>
    <row r="1337" spans="1:2" x14ac:dyDescent="0.25">
      <c r="A1337" t="s">
        <v>1236</v>
      </c>
      <c r="B1337" t="str">
        <f t="shared" si="42"/>
        <v>Combined_&lt;prefix&gt;_&lt;mm&gt;&lt;cy&gt;&lt;yy&gt;_&lt;ar&gt;Amount billed/disputed/settled by qtr/carrier</v>
      </c>
    </row>
    <row r="1338" spans="1:2" x14ac:dyDescent="0.25">
      <c r="A1338" t="s">
        <v>1237</v>
      </c>
      <c r="B1338" t="str">
        <f t="shared" si="42"/>
        <v>Combined_&lt;prefix&gt;_&lt;mm&gt;&lt;cy&gt;&lt;yy&gt;_&lt;ar&gt;Amount billed-disputed-settled by month-carrier</v>
      </c>
    </row>
    <row r="1339" spans="1:2" x14ac:dyDescent="0.25">
      <c r="A1339" t="s">
        <v>1238</v>
      </c>
      <c r="B1339" t="str">
        <f t="shared" si="42"/>
        <v>Combined_&lt;prefix&gt;_&lt;mm&gt;&lt;cy&gt;&lt;yy&gt;_&lt;ar&gt;Amount billed-disputed-settled by qtr-carrier</v>
      </c>
    </row>
    <row r="1340" spans="1:2" x14ac:dyDescent="0.25">
      <c r="A1340" t="s">
        <v>1239</v>
      </c>
      <c r="B1340" t="str">
        <f t="shared" si="42"/>
        <v>Combined_&lt;prefix&gt;_&lt;mm&gt;&lt;cy&gt;&lt;yy&gt;_&lt;ar&gt;AS1000 Report</v>
      </c>
    </row>
    <row r="1341" spans="1:2" x14ac:dyDescent="0.25">
      <c r="A1341" t="s">
        <v>9</v>
      </c>
      <c r="B1341" t="str">
        <f t="shared" si="42"/>
        <v>Combined_&lt;prefix&gt;_&lt;mm&gt;&lt;cy&gt;&lt;yy&gt;_&lt;ar&gt;AUR History Stats</v>
      </c>
    </row>
    <row r="1342" spans="1:2" x14ac:dyDescent="0.25">
      <c r="A1342" t="s">
        <v>1240</v>
      </c>
      <c r="B1342" t="str">
        <f t="shared" si="42"/>
        <v>Combined_&lt;prefix&gt;_&lt;mm&gt;&lt;cy&gt;&lt;yy&gt;_&lt;ar&gt;AUR History Stats (Seconds)</v>
      </c>
    </row>
    <row r="1343" spans="1:2" x14ac:dyDescent="0.25">
      <c r="A1343" t="s">
        <v>12</v>
      </c>
      <c r="B1343" t="str">
        <f>"Combined_&lt;mm&gt;&lt;yy&gt;_&lt;ar&gt;"&amp;A1343</f>
        <v>Combined_&lt;mm&gt;&lt;yy&gt;_&lt;ar&gt;AUR History Stats Report</v>
      </c>
    </row>
    <row r="1344" spans="1:2" x14ac:dyDescent="0.25">
      <c r="A1344" t="s">
        <v>1241</v>
      </c>
      <c r="B1344" t="str">
        <f>"Combined_&lt;prefix&gt;_&lt;mm&gt;&lt;cy&gt;&lt;yy&gt;_&lt;ar&gt;"&amp;A1344</f>
        <v>Combined_&lt;prefix&gt;_&lt;mm&gt;&lt;cy&gt;&lt;yy&gt;_&lt;ar&gt;AUR History Summary</v>
      </c>
    </row>
    <row r="1345" spans="1:2" x14ac:dyDescent="0.25">
      <c r="A1345" t="s">
        <v>1242</v>
      </c>
      <c r="B1345" t="str">
        <f>"Combined_&lt;prefix&gt;_&lt;mm&gt;&lt;cy&gt;&lt;yy&gt;_&lt;ar&gt;"&amp;A1345</f>
        <v>Combined_&lt;prefix&gt;_&lt;mm&gt;&lt;cy&gt;&lt;yy&gt;_&lt;ar&gt;AUR History Summary by Day</v>
      </c>
    </row>
    <row r="1346" spans="1:2" x14ac:dyDescent="0.25">
      <c r="A1346" t="s">
        <v>46</v>
      </c>
      <c r="B1346" t="str">
        <f>"Combined_&lt;prefix&gt;_&lt;mm&gt;&lt;cy&gt;&lt;yy&gt;_&lt;ar&gt;"&amp;A1346</f>
        <v>Combined_&lt;prefix&gt;_&lt;mm&gt;&lt;cy&gt;&lt;yy&gt;_&lt;ar&gt;Billed by Period Report</v>
      </c>
    </row>
    <row r="1347" spans="1:2" x14ac:dyDescent="0.25">
      <c r="A1347" t="s">
        <v>48</v>
      </c>
      <c r="B1347" s="11" t="s">
        <v>1143</v>
      </c>
    </row>
    <row r="1348" spans="1:2" x14ac:dyDescent="0.25">
      <c r="A1348" t="s">
        <v>1243</v>
      </c>
      <c r="B1348" t="str">
        <f t="shared" ref="B1348:B1358" si="43">"Combined_&lt;prefix&gt;_&lt;mm&gt;&lt;cy&gt;&lt;yy&gt;_&lt;ar&gt;"&amp;A1348</f>
        <v>Combined_&lt;prefix&gt;_&lt;mm&gt;&lt;cy&gt;&lt;yy&gt;_&lt;ar&gt;Billed Minutes by Inter/Intra State</v>
      </c>
    </row>
    <row r="1349" spans="1:2" x14ac:dyDescent="0.25">
      <c r="A1349" t="s">
        <v>1244</v>
      </c>
      <c r="B1349" t="str">
        <f t="shared" si="43"/>
        <v>Combined_&lt;prefix&gt;_&lt;mm&gt;&lt;cy&gt;&lt;yy&gt;_&lt;ar&gt;Billed Minutes by Inter-Intra State</v>
      </c>
    </row>
    <row r="1350" spans="1:2" x14ac:dyDescent="0.25">
      <c r="A1350" t="s">
        <v>1245</v>
      </c>
      <c r="B1350" t="str">
        <f t="shared" si="43"/>
        <v>Combined_&lt;prefix&gt;_&lt;mm&gt;&lt;cy&gt;&lt;yy&gt;_&lt;ar&gt;Billed Minutes by Jurisdiction</v>
      </c>
    </row>
    <row r="1351" spans="1:2" x14ac:dyDescent="0.25">
      <c r="A1351" t="s">
        <v>1246</v>
      </c>
      <c r="B1351" t="str">
        <f t="shared" si="43"/>
        <v>Combined_&lt;prefix&gt;_&lt;mm&gt;&lt;cy&gt;&lt;yy&gt;_&lt;ar&gt;Billed minutes by Quarter by Inter/Intra State</v>
      </c>
    </row>
    <row r="1352" spans="1:2" x14ac:dyDescent="0.25">
      <c r="A1352" t="s">
        <v>1247</v>
      </c>
      <c r="B1352" t="str">
        <f t="shared" si="43"/>
        <v>Combined_&lt;prefix&gt;_&lt;mm&gt;&lt;cy&gt;&lt;yy&gt;_&lt;ar&gt;Billed minutes by Quarter by Inter-Intra State</v>
      </c>
    </row>
    <row r="1353" spans="1:2" x14ac:dyDescent="0.25">
      <c r="A1353" t="s">
        <v>1248</v>
      </c>
      <c r="B1353" t="str">
        <f t="shared" si="43"/>
        <v>Combined_&lt;prefix&gt;_&lt;mm&gt;&lt;cy&gt;&lt;yy&gt;_&lt;ar&gt;Billed Minutes by Quarter by Jurisdiction</v>
      </c>
    </row>
    <row r="1354" spans="1:2" x14ac:dyDescent="0.25">
      <c r="A1354" t="s">
        <v>1249</v>
      </c>
      <c r="B1354" t="str">
        <f t="shared" si="43"/>
        <v>Combined_&lt;prefix&gt;_&lt;mm&gt;&lt;cy&gt;&lt;yy&gt;_&lt;ar&gt;Billed Msg MOU Rev by BAN by Jurisdiction</v>
      </c>
    </row>
    <row r="1355" spans="1:2" x14ac:dyDescent="0.25">
      <c r="A1355" t="s">
        <v>1250</v>
      </c>
      <c r="B1355" t="str">
        <f t="shared" si="43"/>
        <v>Combined_&lt;prefix&gt;_&lt;mm&gt;&lt;cy&gt;&lt;yy&gt;_&lt;ar&gt;Billed Msg MOU Rev by CLLI by Jurisdiction</v>
      </c>
    </row>
    <row r="1356" spans="1:2" x14ac:dyDescent="0.25">
      <c r="A1356" t="s">
        <v>1266</v>
      </c>
      <c r="B1356" t="str">
        <f t="shared" si="43"/>
        <v>Combined_&lt;prefix&gt;_&lt;mm&gt;&lt;cy&gt;&lt;yy&gt;_&lt;ar&gt;CLNT r_sce_3_v3_2</v>
      </c>
    </row>
    <row r="1357" spans="1:2" x14ac:dyDescent="0.25">
      <c r="A1357" t="s">
        <v>1269</v>
      </c>
      <c r="B1357" t="str">
        <f t="shared" si="43"/>
        <v>Combined_&lt;prefix&gt;_&lt;mm&gt;&lt;cy&gt;&lt;yy&gt;_&lt;ar&gt;Company Master Report</v>
      </c>
    </row>
    <row r="1358" spans="1:2" x14ac:dyDescent="0.25">
      <c r="A1358" t="s">
        <v>1347</v>
      </c>
      <c r="B1358" t="str">
        <f t="shared" si="43"/>
        <v>Combined_&lt;prefix&gt;_&lt;mm&gt;&lt;cy&gt;&lt;yy&gt;_&lt;ar&gt;Customer BAN Info 4 v3</v>
      </c>
    </row>
    <row r="1359" spans="1:2" x14ac:dyDescent="0.25">
      <c r="A1359" t="s">
        <v>18</v>
      </c>
      <c r="B1359" s="11" t="s">
        <v>1134</v>
      </c>
    </row>
    <row r="1360" spans="1:2" x14ac:dyDescent="0.25">
      <c r="A1360" t="s">
        <v>20</v>
      </c>
      <c r="B1360" t="str">
        <f>"Combined_&lt;prefix&gt;_&lt;mm&gt;&lt;cy&gt;&lt;yy&gt;_&lt;ar&gt;"&amp;A1360</f>
        <v>Combined_&lt;prefix&gt;_&lt;mm&gt;&lt;cy&gt;&lt;yy&gt;_&lt;ar&gt;Detailed BAN Error Report - with extra research</v>
      </c>
    </row>
    <row r="1361" spans="1:2" x14ac:dyDescent="0.25">
      <c r="A1361" t="s">
        <v>22</v>
      </c>
      <c r="B1361" s="11" t="s">
        <v>1135</v>
      </c>
    </row>
    <row r="1362" spans="1:2" x14ac:dyDescent="0.25">
      <c r="A1362" t="s">
        <v>1271</v>
      </c>
      <c r="B1362" t="str">
        <f t="shared" ref="B1362:B1369" si="44">"Combined_&lt;prefix&gt;_&lt;mm&gt;&lt;cy&gt;&lt;yy&gt;_&lt;ar&gt;"&amp;A1362</f>
        <v>Combined_&lt;prefix&gt;_&lt;mm&gt;&lt;cy&gt;&lt;yy&gt;_&lt;ar&gt;Dispute amounts by type by month</v>
      </c>
    </row>
    <row r="1363" spans="1:2" x14ac:dyDescent="0.25">
      <c r="A1363" t="s">
        <v>1272</v>
      </c>
      <c r="B1363" t="str">
        <f t="shared" si="44"/>
        <v>Combined_&lt;prefix&gt;_&lt;mm&gt;&lt;cy&gt;&lt;yy&gt;_&lt;ar&gt;Dispute amounts by type by month by carrier</v>
      </c>
    </row>
    <row r="1364" spans="1:2" x14ac:dyDescent="0.25">
      <c r="A1364" t="s">
        <v>1273</v>
      </c>
      <c r="B1364" t="str">
        <f t="shared" si="44"/>
        <v>Combined_&lt;prefix&gt;_&lt;mm&gt;&lt;cy&gt;&lt;yy&gt;_&lt;ar&gt;Dispute amounts by type by quarter</v>
      </c>
    </row>
    <row r="1365" spans="1:2" x14ac:dyDescent="0.25">
      <c r="A1365" t="s">
        <v>1274</v>
      </c>
      <c r="B1365" t="str">
        <f t="shared" si="44"/>
        <v>Combined_&lt;prefix&gt;_&lt;mm&gt;&lt;cy&gt;&lt;yy&gt;_&lt;ar&gt;Dispute amounts by type by quarter by carrier</v>
      </c>
    </row>
    <row r="1366" spans="1:2" x14ac:dyDescent="0.25">
      <c r="A1366" t="s">
        <v>1275</v>
      </c>
      <c r="B1366" t="str">
        <f t="shared" si="44"/>
        <v>Combined_&lt;prefix&gt;_&lt;mm&gt;&lt;cy&gt;&lt;yy&gt;_&lt;ar&gt;Dispute amounts/carrier/month for a given year</v>
      </c>
    </row>
    <row r="1367" spans="1:2" x14ac:dyDescent="0.25">
      <c r="A1367" t="s">
        <v>1276</v>
      </c>
      <c r="B1367" t="str">
        <f t="shared" si="44"/>
        <v>Combined_&lt;prefix&gt;_&lt;mm&gt;&lt;cy&gt;&lt;yy&gt;_&lt;ar&gt;Dispute amounts/carrier/qtr for a given year</v>
      </c>
    </row>
    <row r="1368" spans="1:2" x14ac:dyDescent="0.25">
      <c r="A1368" t="s">
        <v>1277</v>
      </c>
      <c r="B1368" t="str">
        <f t="shared" si="44"/>
        <v>Combined_&lt;prefix&gt;_&lt;mm&gt;&lt;cy&gt;&lt;yy&gt;_&lt;ar&gt;Dispute amounts-carrier-month for a given year</v>
      </c>
    </row>
    <row r="1369" spans="1:2" x14ac:dyDescent="0.25">
      <c r="A1369" t="s">
        <v>1278</v>
      </c>
      <c r="B1369" t="str">
        <f t="shared" si="44"/>
        <v>Combined_&lt;prefix&gt;_&lt;mm&gt;&lt;cy&gt;&lt;yy&gt;_&lt;ar&gt;Dispute amounts-carrier-qtr for a given year</v>
      </c>
    </row>
    <row r="1370" spans="1:2" x14ac:dyDescent="0.25">
      <c r="A1370" t="s">
        <v>27</v>
      </c>
      <c r="B1370" t="s">
        <v>1139</v>
      </c>
    </row>
    <row r="1371" spans="1:2" x14ac:dyDescent="0.25">
      <c r="A1371" t="s">
        <v>1279</v>
      </c>
      <c r="B1371" t="str">
        <f>"Combined_&lt;prefix&gt;_&lt;mm&gt;&lt;cy&gt;&lt;yy&gt;_&lt;ar&gt;"&amp;A1371</f>
        <v>Combined_&lt;prefix&gt;_&lt;mm&gt;&lt;cy&gt;&lt;yy&gt;_&lt;ar&gt;EC1050 Report</v>
      </c>
    </row>
    <row r="1372" spans="1:2" x14ac:dyDescent="0.25">
      <c r="A1372" t="s">
        <v>29</v>
      </c>
      <c r="B1372" t="s">
        <v>1137</v>
      </c>
    </row>
    <row r="1373" spans="1:2" x14ac:dyDescent="0.25">
      <c r="A1373" t="s">
        <v>141</v>
      </c>
      <c r="B1373" t="str">
        <f>"Combined_&lt;prefix&gt;_&lt;mm&gt;&lt;cy&gt;&lt;yy&gt;_&lt;ar&gt;"&amp;A1373</f>
        <v>Combined_&lt;prefix&gt;_&lt;mm&gt;&lt;cy&gt;&lt;yy&gt;_&lt;ar&gt;Facility Billed with Disconnects</v>
      </c>
    </row>
    <row r="1374" spans="1:2" x14ac:dyDescent="0.25">
      <c r="A1374" t="s">
        <v>34</v>
      </c>
      <c r="B1374" t="s">
        <v>1127</v>
      </c>
    </row>
    <row r="1375" spans="1:2" x14ac:dyDescent="0.25">
      <c r="A1375" t="s">
        <v>78</v>
      </c>
      <c r="B1375" t="str">
        <f t="shared" ref="B1375:B1393" si="45">"Combined_&lt;prefix&gt;_&lt;mm&gt;&lt;cy&gt;&lt;yy&gt;_&lt;ar&gt;"&amp;A1375</f>
        <v>Combined_&lt;prefix&gt;_&lt;mm&gt;&lt;cy&gt;&lt;yy&gt;_&lt;ar&gt;Fulfillment Report</v>
      </c>
    </row>
    <row r="1376" spans="1:2" x14ac:dyDescent="0.25">
      <c r="A1376" t="s">
        <v>1418</v>
      </c>
      <c r="B1376" t="str">
        <f t="shared" si="45"/>
        <v>Combined_&lt;prefix&gt;_&lt;mm&gt;&lt;cy&gt;&lt;yy&gt;_&lt;ar&gt;GCI SOC Tariff Report</v>
      </c>
    </row>
    <row r="1377" spans="1:2" x14ac:dyDescent="0.25">
      <c r="A1377" t="s">
        <v>1475</v>
      </c>
      <c r="B1377" t="str">
        <f t="shared" si="45"/>
        <v>Combined_&lt;prefix&gt;_&lt;mm&gt;&lt;cy&gt;&lt;yy&gt;_&lt;ar&gt;GCI SOC Tariiff Report with Schedule</v>
      </c>
    </row>
    <row r="1378" spans="1:2" x14ac:dyDescent="0.25">
      <c r="A1378" t="s">
        <v>1281</v>
      </c>
      <c r="B1378" t="str">
        <f t="shared" si="45"/>
        <v>Combined_&lt;prefix&gt;_&lt;mm&gt;&lt;cy&gt;&lt;yy&gt;_&lt;ar&gt;Graph - Disputed Amounts by Carrier</v>
      </c>
    </row>
    <row r="1379" spans="1:2" x14ac:dyDescent="0.25">
      <c r="A1379" t="s">
        <v>1282</v>
      </c>
      <c r="B1379" t="str">
        <f t="shared" si="45"/>
        <v>Combined_&lt;prefix&gt;_&lt;mm&gt;&lt;cy&gt;&lt;yy&gt;_&lt;ar&gt;Graph - Disputed Amounts by Carrier by Date</v>
      </c>
    </row>
    <row r="1380" spans="1:2" x14ac:dyDescent="0.25">
      <c r="A1380" t="s">
        <v>1283</v>
      </c>
      <c r="B1380" t="str">
        <f t="shared" si="45"/>
        <v>Combined_&lt;prefix&gt;_&lt;mm&gt;&lt;cy&gt;&lt;yy&gt;_&lt;ar&gt;Graph - Disputed Amounts by dispute types</v>
      </c>
    </row>
    <row r="1381" spans="1:2" x14ac:dyDescent="0.25">
      <c r="A1381" t="s">
        <v>1284</v>
      </c>
      <c r="B1381" t="str">
        <f t="shared" si="45"/>
        <v>Combined_&lt;prefix&gt;_&lt;mm&gt;&lt;cy&gt;&lt;yy&gt;_&lt;ar&gt;Graph - Disputed Amounts vs Resolutions</v>
      </c>
    </row>
    <row r="1382" spans="1:2" x14ac:dyDescent="0.25">
      <c r="A1382" t="s">
        <v>1285</v>
      </c>
      <c r="B1382" t="str">
        <f t="shared" si="45"/>
        <v>Combined_&lt;prefix&gt;_&lt;mm&gt;&lt;cy&gt;&lt;yy&gt;_&lt;ar&gt;Graph - No. of Disputes by Carrier</v>
      </c>
    </row>
    <row r="1383" spans="1:2" x14ac:dyDescent="0.25">
      <c r="A1383" t="s">
        <v>1286</v>
      </c>
      <c r="B1383" t="str">
        <f t="shared" si="45"/>
        <v>Combined_&lt;prefix&gt;_&lt;mm&gt;&lt;cy&gt;&lt;yy&gt;_&lt;ar&gt;Graph - No. of Disputes by Carrier by Date</v>
      </c>
    </row>
    <row r="1384" spans="1:2" x14ac:dyDescent="0.25">
      <c r="A1384" t="s">
        <v>82</v>
      </c>
      <c r="B1384" t="str">
        <f t="shared" si="45"/>
        <v>Combined_&lt;prefix&gt;_&lt;mm&gt;&lt;cy&gt;&lt;yy&gt;_&lt;ar&gt;Invoice Balances by Jur with LPC</v>
      </c>
    </row>
    <row r="1385" spans="1:2" x14ac:dyDescent="0.25">
      <c r="A1385" t="s">
        <v>1467</v>
      </c>
      <c r="B1385" t="str">
        <f t="shared" si="45"/>
        <v>Combined_&lt;prefix&gt;_&lt;mm&gt;&lt;cy&gt;&lt;yy&gt;_&lt;ar&gt;Invoice Balances Report</v>
      </c>
    </row>
    <row r="1386" spans="1:2" x14ac:dyDescent="0.25">
      <c r="A1386" t="s">
        <v>87</v>
      </c>
      <c r="B1386" t="str">
        <f t="shared" si="45"/>
        <v>Combined_&lt;prefix&gt;_&lt;mm&gt;&lt;cy&gt;&lt;yy&gt;_&lt;ar&gt;Invoice Count Report (non-zero balances)</v>
      </c>
    </row>
    <row r="1387" spans="1:2" x14ac:dyDescent="0.25">
      <c r="A1387" t="s">
        <v>1289</v>
      </c>
      <c r="B1387" t="str">
        <f t="shared" si="45"/>
        <v>Combined_&lt;prefix&gt;_&lt;mm&gt;&lt;cy&gt;&lt;yy&gt;_&lt;ar&gt;Message Record Analysis</v>
      </c>
    </row>
    <row r="1388" spans="1:2" x14ac:dyDescent="0.25">
      <c r="A1388" t="s">
        <v>1290</v>
      </c>
      <c r="B1388" t="str">
        <f t="shared" si="45"/>
        <v>Combined_&lt;prefix&gt;_&lt;mm&gt;&lt;cy&gt;&lt;yy&gt;_&lt;ar&gt;Messages and minutes billed by FG,CIC</v>
      </c>
    </row>
    <row r="1389" spans="1:2" x14ac:dyDescent="0.25">
      <c r="A1389" t="s">
        <v>1291</v>
      </c>
      <c r="B1389" t="str">
        <f t="shared" si="45"/>
        <v>Combined_&lt;prefix&gt;_&lt;mm&gt;&lt;cy&gt;&lt;yy&gt;_&lt;ar&gt;Messages and minutes billed by FG,CIC(Local separa</v>
      </c>
    </row>
    <row r="1390" spans="1:2" x14ac:dyDescent="0.25">
      <c r="A1390" t="s">
        <v>1292</v>
      </c>
      <c r="B1390" t="str">
        <f t="shared" si="45"/>
        <v>Combined_&lt;prefix&gt;_&lt;mm&gt;&lt;cy&gt;&lt;yy&gt;_&lt;ar&gt;Minutes</v>
      </c>
    </row>
    <row r="1391" spans="1:2" x14ac:dyDescent="0.25">
      <c r="A1391" t="s">
        <v>92</v>
      </c>
      <c r="B1391" t="str">
        <f t="shared" si="45"/>
        <v>Combined_&lt;prefix&gt;_&lt;mm&gt;&lt;cy&gt;&lt;yy&gt;_&lt;ar&gt;Minutes and revenue billed by rate element</v>
      </c>
    </row>
    <row r="1392" spans="1:2" x14ac:dyDescent="0.25">
      <c r="A1392" t="s">
        <v>1293</v>
      </c>
      <c r="B1392" t="str">
        <f t="shared" si="45"/>
        <v>Combined_&lt;prefix&gt;_&lt;mm&gt;&lt;cy&gt;&lt;yy&gt;_&lt;ar&gt;Minutes billed by BAN, Orig- Term Inter-Intra Stat</v>
      </c>
    </row>
    <row r="1393" spans="1:2" x14ac:dyDescent="0.25">
      <c r="A1393" t="s">
        <v>1294</v>
      </c>
      <c r="B1393" t="str">
        <f t="shared" si="45"/>
        <v>Combined_&lt;prefix&gt;_&lt;mm&gt;&lt;cy&gt;&lt;yy&gt;_&lt;ar&gt;Minutes billed by BAN, Orig/ Term Inter/Intra Stat</v>
      </c>
    </row>
    <row r="1394" spans="1:2" x14ac:dyDescent="0.25">
      <c r="A1394" t="s">
        <v>47</v>
      </c>
      <c r="B1394" t="s">
        <v>1138</v>
      </c>
    </row>
    <row r="1395" spans="1:2" x14ac:dyDescent="0.25">
      <c r="A1395" t="s">
        <v>1471</v>
      </c>
      <c r="B1395" t="str">
        <f t="shared" ref="B1395:B1433" si="46">"Combined_&lt;prefix&gt;_&lt;mm&gt;&lt;cy&gt;&lt;yy&gt;_&lt;ar&gt;"&amp;A1395</f>
        <v>Combined_&lt;prefix&gt;_&lt;mm&gt;&lt;cy&gt;&lt;yy&gt;_&lt;ar&gt;MSG MOU REV Export - Facility</v>
      </c>
    </row>
    <row r="1396" spans="1:2" x14ac:dyDescent="0.25">
      <c r="A1396" t="s">
        <v>98</v>
      </c>
      <c r="B1396" t="str">
        <f t="shared" si="46"/>
        <v>Combined_&lt;prefix&gt;_&lt;mm&gt;&lt;cy&gt;&lt;yy&gt;_&lt;ar&gt;MSG MOU REV with LPC</v>
      </c>
    </row>
    <row r="1397" spans="1:2" x14ac:dyDescent="0.25">
      <c r="A1397" t="s">
        <v>100</v>
      </c>
      <c r="B1397" t="str">
        <f t="shared" si="46"/>
        <v>Combined_&lt;prefix&gt;_&lt;mm&gt;&lt;cy&gt;&lt;yy&gt;_&lt;ar&gt;NECA AS1000</v>
      </c>
    </row>
    <row r="1398" spans="1:2" x14ac:dyDescent="0.25">
      <c r="A1398" t="s">
        <v>101</v>
      </c>
      <c r="B1398" t="str">
        <f t="shared" si="46"/>
        <v>Combined_&lt;prefix&gt;_&lt;mm&gt;&lt;cy&gt;&lt;yy&gt;_&lt;ar&gt;NECA EC1050</v>
      </c>
    </row>
    <row r="1399" spans="1:2" x14ac:dyDescent="0.25">
      <c r="A1399" t="s">
        <v>1297</v>
      </c>
      <c r="B1399" t="str">
        <f t="shared" si="46"/>
        <v>Combined_&lt;prefix&gt;_&lt;mm&gt;&lt;cy&gt;&lt;yy&gt;_&lt;ar&gt;Non FA Rate Element as Billed Table Report</v>
      </c>
    </row>
    <row r="1400" spans="1:2" x14ac:dyDescent="0.25">
      <c r="A1400" t="s">
        <v>1476</v>
      </c>
      <c r="B1400" t="str">
        <f t="shared" si="46"/>
        <v>Combined_&lt;prefix&gt;_&lt;mm&gt;&lt;cy&gt;&lt;yy&gt;_&lt;ar&gt;NTANDV5_Reports_Table</v>
      </c>
    </row>
    <row r="1401" spans="1:2" x14ac:dyDescent="0.25">
      <c r="A1401" t="s">
        <v>1477</v>
      </c>
      <c r="B1401" t="str">
        <f t="shared" si="46"/>
        <v>Combined_&lt;prefix&gt;_&lt;mm&gt;&lt;cy&gt;&lt;yy&gt;_&lt;ar&gt;NTANDV5_Rpt_Argmnt</v>
      </c>
    </row>
    <row r="1402" spans="1:2" x14ac:dyDescent="0.25">
      <c r="A1402" t="s">
        <v>102</v>
      </c>
      <c r="B1402" t="str">
        <f t="shared" si="46"/>
        <v>Combined_&lt;prefix&gt;_&lt;mm&gt;&lt;cy&gt;&lt;yy&gt;_&lt;ar&gt;OC&amp;C GL Trans by BAN Report</v>
      </c>
    </row>
    <row r="1403" spans="1:2" x14ac:dyDescent="0.25">
      <c r="A1403" t="s">
        <v>1298</v>
      </c>
      <c r="B1403" t="str">
        <f t="shared" si="46"/>
        <v>Combined_&lt;prefix&gt;_&lt;mm&gt;&lt;cy&gt;&lt;yy&gt;_&lt;ar&gt;OCC Detail Report - Posted</v>
      </c>
    </row>
    <row r="1404" spans="1:2" x14ac:dyDescent="0.25">
      <c r="A1404" t="s">
        <v>1299</v>
      </c>
      <c r="B1404" t="str">
        <f t="shared" si="46"/>
        <v>Combined_&lt;prefix&gt;_&lt;mm&gt;&lt;cy&gt;&lt;yy&gt;_&lt;ar&gt;OCC Detail Report - Unposted</v>
      </c>
    </row>
    <row r="1405" spans="1:2" x14ac:dyDescent="0.25">
      <c r="A1405" t="s">
        <v>1300</v>
      </c>
      <c r="B1405" t="str">
        <f t="shared" si="46"/>
        <v>Combined_&lt;prefix&gt;_&lt;mm&gt;&lt;cy&gt;&lt;yy&gt;_&lt;ar&gt;Partially Paid Invoices</v>
      </c>
    </row>
    <row r="1406" spans="1:2" x14ac:dyDescent="0.25">
      <c r="A1406" t="s">
        <v>1301</v>
      </c>
      <c r="B1406" t="str">
        <f t="shared" si="46"/>
        <v>Combined_&lt;prefix&gt;_&lt;mm&gt;&lt;cy&gt;&lt;yy&gt;_&lt;ar&gt;Payment Details by Check</v>
      </c>
    </row>
    <row r="1407" spans="1:2" x14ac:dyDescent="0.25">
      <c r="A1407" t="s">
        <v>107</v>
      </c>
      <c r="B1407" t="str">
        <f t="shared" si="46"/>
        <v>Combined_&lt;prefix&gt;_&lt;mm&gt;&lt;cy&gt;&lt;yy&gt;_&lt;ar&gt;Payment Report</v>
      </c>
    </row>
    <row r="1408" spans="1:2" x14ac:dyDescent="0.25">
      <c r="A1408" t="s">
        <v>1302</v>
      </c>
      <c r="B1408" t="str">
        <f t="shared" si="46"/>
        <v>Combined_&lt;prefix&gt;_&lt;mm&gt;&lt;cy&gt;&lt;yy&gt;_&lt;ar&gt;Payments by Payer by BAN</v>
      </c>
    </row>
    <row r="1409" spans="1:2" x14ac:dyDescent="0.25">
      <c r="A1409" t="s">
        <v>1303</v>
      </c>
      <c r="B1409" t="str">
        <f t="shared" si="46"/>
        <v>Combined_&lt;prefix&gt;_&lt;mm&gt;&lt;cy&gt;&lt;yy&gt;_&lt;ar&gt;Payments Not on Bill</v>
      </c>
    </row>
    <row r="1410" spans="1:2" x14ac:dyDescent="0.25">
      <c r="A1410" t="s">
        <v>1304</v>
      </c>
      <c r="B1410" t="str">
        <f t="shared" si="46"/>
        <v>Combined_&lt;prefix&gt;_&lt;mm&gt;&lt;cy&gt;&lt;yy&gt;_&lt;ar&gt;Percent of disputes/billed per month/year</v>
      </c>
    </row>
    <row r="1411" spans="1:2" x14ac:dyDescent="0.25">
      <c r="A1411" t="s">
        <v>1305</v>
      </c>
      <c r="B1411" t="str">
        <f t="shared" si="46"/>
        <v>Combined_&lt;prefix&gt;_&lt;mm&gt;&lt;cy&gt;&lt;yy&gt;_&lt;ar&gt;Percent of disputes/billed per qtr/year</v>
      </c>
    </row>
    <row r="1412" spans="1:2" x14ac:dyDescent="0.25">
      <c r="A1412" t="s">
        <v>1306</v>
      </c>
      <c r="B1412" t="str">
        <f t="shared" si="46"/>
        <v>Combined_&lt;prefix&gt;_&lt;mm&gt;&lt;cy&gt;&lt;yy&gt;_&lt;ar&gt;Percent of disputes-billed per month-year</v>
      </c>
    </row>
    <row r="1413" spans="1:2" x14ac:dyDescent="0.25">
      <c r="A1413" t="s">
        <v>1307</v>
      </c>
      <c r="B1413" t="str">
        <f t="shared" si="46"/>
        <v>Combined_&lt;prefix&gt;_&lt;mm&gt;&lt;cy&gt;&lt;yy&gt;_&lt;ar&gt;Percent of disputes-billed per qtr-year</v>
      </c>
    </row>
    <row r="1414" spans="1:2" x14ac:dyDescent="0.25">
      <c r="A1414" t="s">
        <v>1308</v>
      </c>
      <c r="B1414" t="str">
        <f t="shared" si="46"/>
        <v>Combined_&lt;prefix&gt;_&lt;mm&gt;&lt;cy&gt;&lt;yy&gt;_&lt;ar&gt;Post billing rate change adj. calc. - FA</v>
      </c>
    </row>
    <row r="1415" spans="1:2" x14ac:dyDescent="0.25">
      <c r="A1415" t="s">
        <v>1309</v>
      </c>
      <c r="B1415" t="str">
        <f t="shared" si="46"/>
        <v>Combined_&lt;prefix&gt;_&lt;mm&gt;&lt;cy&gt;&lt;yy&gt;_&lt;ar&gt;Post billing rate change adj. calc. - SW</v>
      </c>
    </row>
    <row r="1416" spans="1:2" x14ac:dyDescent="0.25">
      <c r="A1416" t="s">
        <v>1310</v>
      </c>
      <c r="B1416" t="str">
        <f t="shared" si="46"/>
        <v>Combined_&lt;prefix&gt;_&lt;mm&gt;&lt;cy&gt;&lt;yy&gt;_&lt;ar&gt;Rate Element Table Report</v>
      </c>
    </row>
    <row r="1417" spans="1:2" x14ac:dyDescent="0.25">
      <c r="A1417" t="s">
        <v>1311</v>
      </c>
      <c r="B1417" t="str">
        <f t="shared" si="46"/>
        <v>Combined_&lt;prefix&gt;_&lt;mm&gt;&lt;cy&gt;&lt;yy&gt;_&lt;ar&gt;Reconciliation of account balance over time</v>
      </c>
    </row>
    <row r="1418" spans="1:2" x14ac:dyDescent="0.25">
      <c r="A1418" t="s">
        <v>1312</v>
      </c>
      <c r="B1418" t="str">
        <f t="shared" si="46"/>
        <v>Combined_&lt;prefix&gt;_&lt;mm&gt;&lt;cy&gt;&lt;yy&gt;_&lt;ar&gt;Resolved Disputes by carrier</v>
      </c>
    </row>
    <row r="1419" spans="1:2" x14ac:dyDescent="0.25">
      <c r="A1419" t="s">
        <v>1313</v>
      </c>
      <c r="B1419" t="str">
        <f t="shared" si="46"/>
        <v>Combined_&lt;prefix&gt;_&lt;mm&gt;&lt;cy&gt;&lt;yy&gt;_&lt;ar&gt;Revenue</v>
      </c>
    </row>
    <row r="1420" spans="1:2" x14ac:dyDescent="0.25">
      <c r="A1420" t="s">
        <v>1314</v>
      </c>
      <c r="B1420" t="str">
        <f t="shared" si="46"/>
        <v>Combined_&lt;prefix&gt;_&lt;mm&gt;&lt;cy&gt;&lt;yy&gt;_&lt;ar&gt;Revenue billed by BAN, Inter/Intra State</v>
      </c>
    </row>
    <row r="1421" spans="1:2" x14ac:dyDescent="0.25">
      <c r="A1421" t="s">
        <v>1315</v>
      </c>
      <c r="B1421" t="str">
        <f t="shared" si="46"/>
        <v>Combined_&lt;prefix&gt;_&lt;mm&gt;&lt;cy&gt;&lt;yy&gt;_&lt;ar&gt;Revenue billed by BAN, Inter-Intra State</v>
      </c>
    </row>
    <row r="1422" spans="1:2" x14ac:dyDescent="0.25">
      <c r="A1422" t="s">
        <v>1316</v>
      </c>
      <c r="B1422" t="str">
        <f t="shared" si="46"/>
        <v>Combined_&lt;prefix&gt;_&lt;mm&gt;&lt;cy&gt;&lt;yy&gt;_&lt;ar&gt;Security Report by User</v>
      </c>
    </row>
    <row r="1423" spans="1:2" x14ac:dyDescent="0.25">
      <c r="A1423" t="s">
        <v>1317</v>
      </c>
      <c r="B1423" t="str">
        <f t="shared" si="46"/>
        <v>Combined_&lt;prefix&gt;_&lt;mm&gt;&lt;cy&gt;&lt;yy&gt;_&lt;ar&gt;Security Report by Window</v>
      </c>
    </row>
    <row r="1424" spans="1:2" x14ac:dyDescent="0.25">
      <c r="A1424" t="s">
        <v>1318</v>
      </c>
      <c r="B1424" t="str">
        <f t="shared" si="46"/>
        <v>Combined_&lt;prefix&gt;_&lt;mm&gt;&lt;cy&gt;&lt;yy&gt;_&lt;ar&gt;SOC Jurisdiction Table Report</v>
      </c>
    </row>
    <row r="1425" spans="1:2" x14ac:dyDescent="0.25">
      <c r="A1425" t="s">
        <v>1319</v>
      </c>
      <c r="B1425" t="str">
        <f t="shared" si="46"/>
        <v>Combined_&lt;prefix&gt;_&lt;mm&gt;&lt;cy&gt;&lt;yy&gt;_&lt;ar&gt;SOC Rate Comparison between companies</v>
      </c>
    </row>
    <row r="1426" spans="1:2" x14ac:dyDescent="0.25">
      <c r="A1426" t="s">
        <v>1320</v>
      </c>
      <c r="B1426" t="str">
        <f t="shared" si="46"/>
        <v>Combined_&lt;prefix&gt;_&lt;mm&gt;&lt;cy&gt;&lt;yy&gt;_&lt;ar&gt;SOC Tariff Table Report</v>
      </c>
    </row>
    <row r="1427" spans="1:2" x14ac:dyDescent="0.25">
      <c r="A1427" t="s">
        <v>1472</v>
      </c>
      <c r="B1427" t="str">
        <f t="shared" si="46"/>
        <v>Combined_&lt;prefix&gt;_&lt;mm&gt;&lt;cy&gt;&lt;yy&gt;_&lt;ar&gt;SOCs on BANs</v>
      </c>
    </row>
    <row r="1428" spans="1:2" x14ac:dyDescent="0.25">
      <c r="A1428" t="s">
        <v>1321</v>
      </c>
      <c r="B1428" t="str">
        <f t="shared" si="46"/>
        <v>Combined_&lt;prefix&gt;_&lt;mm&gt;&lt;cy&gt;&lt;yy&gt;_&lt;ar&gt;Summary of Adjustments Report</v>
      </c>
    </row>
    <row r="1429" spans="1:2" x14ac:dyDescent="0.25">
      <c r="A1429" t="s">
        <v>1322</v>
      </c>
      <c r="B1429" t="str">
        <f t="shared" si="46"/>
        <v>Combined_&lt;prefix&gt;_&lt;mm&gt;&lt;cy&gt;&lt;yy&gt;_&lt;ar&gt;Summary of OCCs Report</v>
      </c>
    </row>
    <row r="1430" spans="1:2" x14ac:dyDescent="0.25">
      <c r="A1430" t="s">
        <v>120</v>
      </c>
      <c r="B1430" t="str">
        <f t="shared" si="46"/>
        <v>Combined_&lt;prefix&gt;_&lt;mm&gt;&lt;cy&gt;&lt;yy&gt;_&lt;ar&gt;SW Usage Charges Summary</v>
      </c>
    </row>
    <row r="1431" spans="1:2" x14ac:dyDescent="0.25">
      <c r="A1431" t="s">
        <v>1323</v>
      </c>
      <c r="B1431" t="str">
        <f t="shared" si="46"/>
        <v>Combined_&lt;prefix&gt;_&lt;mm&gt;&lt;cy&gt;&lt;yy&gt;_&lt;ar&gt;SW Usage Charges Summary by CLLI</v>
      </c>
    </row>
    <row r="1432" spans="1:2" x14ac:dyDescent="0.25">
      <c r="A1432" t="s">
        <v>1324</v>
      </c>
      <c r="B1432" t="str">
        <f t="shared" si="46"/>
        <v>Combined_&lt;prefix&gt;_&lt;mm&gt;&lt;cy&gt;&lt;yy&gt;_&lt;ar&gt;SW Usage Statistics Summary</v>
      </c>
    </row>
    <row r="1433" spans="1:2" x14ac:dyDescent="0.25">
      <c r="A1433" t="s">
        <v>122</v>
      </c>
      <c r="B1433" t="str">
        <f t="shared" si="46"/>
        <v>Combined_&lt;prefix&gt;_&lt;mm&gt;&lt;cy&gt;&lt;yy&gt;_&lt;ar&gt;Switched BANS Trending Report</v>
      </c>
    </row>
    <row r="1434" spans="1:2" x14ac:dyDescent="0.25">
      <c r="A1434" t="s">
        <v>125</v>
      </c>
      <c r="B1434" t="s">
        <v>1129</v>
      </c>
    </row>
    <row r="1435" spans="1:2" x14ac:dyDescent="0.25">
      <c r="A1435" t="s">
        <v>1326</v>
      </c>
      <c r="B1435" t="str">
        <f t="shared" ref="B1435:B1455" si="47">"Combined_&lt;prefix&gt;_&lt;mm&gt;&lt;cy&gt;&lt;yy&gt;_&lt;ar&gt;"&amp;A1435</f>
        <v>Combined_&lt;prefix&gt;_&lt;mm&gt;&lt;cy&gt;&lt;yy&gt;_&lt;ar&gt;Switched Billing Account - Factor Report</v>
      </c>
    </row>
    <row r="1436" spans="1:2" x14ac:dyDescent="0.25">
      <c r="A1436" t="s">
        <v>1327</v>
      </c>
      <c r="B1436" t="str">
        <f t="shared" si="47"/>
        <v>Combined_&lt;prefix&gt;_&lt;mm&gt;&lt;cy&gt;&lt;yy&gt;_&lt;ar&gt;Switched Billing Account - SOC Report</v>
      </c>
    </row>
    <row r="1437" spans="1:2" x14ac:dyDescent="0.25">
      <c r="A1437" t="s">
        <v>1328</v>
      </c>
      <c r="B1437" t="str">
        <f t="shared" si="47"/>
        <v>Combined_&lt;prefix&gt;_&lt;mm&gt;&lt;cy&gt;&lt;yy&gt;_&lt;ar&gt;Switched Billing Account - Wire Center Report</v>
      </c>
    </row>
    <row r="1438" spans="1:2" x14ac:dyDescent="0.25">
      <c r="A1438" t="s">
        <v>1329</v>
      </c>
      <c r="B1438" t="str">
        <f t="shared" si="47"/>
        <v>Combined_&lt;prefix&gt;_&lt;mm&gt;&lt;cy&gt;&lt;yy&gt;_&lt;ar&gt;Tariff Element Tracking</v>
      </c>
    </row>
    <row r="1439" spans="1:2" x14ac:dyDescent="0.25">
      <c r="A1439" t="s">
        <v>619</v>
      </c>
      <c r="B1439" t="str">
        <f t="shared" si="47"/>
        <v>Combined_&lt;prefix&gt;_&lt;mm&gt;&lt;cy&gt;&lt;yy&gt;_&lt;ar&gt;Transaction Detail Listing</v>
      </c>
    </row>
    <row r="1440" spans="1:2" x14ac:dyDescent="0.25">
      <c r="A1440" t="s">
        <v>616</v>
      </c>
      <c r="B1440" t="str">
        <f t="shared" si="47"/>
        <v>Combined_&lt;prefix&gt;_&lt;mm&gt;&lt;cy&gt;&lt;yy&gt;_&lt;ar&gt;Transaction Summary</v>
      </c>
    </row>
    <row r="1441" spans="1:2" x14ac:dyDescent="0.25">
      <c r="A1441" t="s">
        <v>1331</v>
      </c>
      <c r="B1441" t="str">
        <f t="shared" si="47"/>
        <v>Combined_&lt;prefix&gt;_&lt;mm&gt;&lt;cy&gt;&lt;yy&gt;_&lt;ar&gt;Transaction Summary - adjustments only</v>
      </c>
    </row>
    <row r="1442" spans="1:2" x14ac:dyDescent="0.25">
      <c r="A1442" t="s">
        <v>127</v>
      </c>
      <c r="B1442" t="str">
        <f t="shared" si="47"/>
        <v>Combined_&lt;prefix&gt;_&lt;mm&gt;&lt;cy&gt;&lt;yy&gt;_&lt;ar&gt;Transaction Summary - bills only</v>
      </c>
    </row>
    <row r="1443" spans="1:2" x14ac:dyDescent="0.25">
      <c r="A1443" t="s">
        <v>1332</v>
      </c>
      <c r="B1443" t="str">
        <f t="shared" si="47"/>
        <v>Combined_&lt;prefix&gt;_&lt;mm&gt;&lt;cy&gt;&lt;yy&gt;_&lt;ar&gt;Transaction Summary - receipts only</v>
      </c>
    </row>
    <row r="1444" spans="1:2" x14ac:dyDescent="0.25">
      <c r="A1444" t="s">
        <v>1333</v>
      </c>
      <c r="B1444" t="str">
        <f t="shared" si="47"/>
        <v>Combined_&lt;prefix&gt;_&lt;mm&gt;&lt;cy&gt;&lt;yy&gt;_&lt;ar&gt;Transaction Summary by transaction/bill type</v>
      </c>
    </row>
    <row r="1445" spans="1:2" x14ac:dyDescent="0.25">
      <c r="A1445" t="s">
        <v>1334</v>
      </c>
      <c r="B1445" t="str">
        <f t="shared" si="47"/>
        <v xml:space="preserve">Combined_&lt;prefix&gt;_&lt;mm&gt;&lt;cy&gt;&lt;yy&gt;_&lt;ar&gt;Transaction Summary by transaction/bill type </v>
      </c>
    </row>
    <row r="1446" spans="1:2" x14ac:dyDescent="0.25">
      <c r="A1446" t="s">
        <v>1335</v>
      </c>
      <c r="B1446" t="str">
        <f t="shared" si="47"/>
        <v>Combined_&lt;prefix&gt;_&lt;mm&gt;&lt;cy&gt;&lt;yy&gt;_&lt;ar&gt;Transaction Summary by transaction-bill type</v>
      </c>
    </row>
    <row r="1447" spans="1:2" x14ac:dyDescent="0.25">
      <c r="A1447" t="s">
        <v>1336</v>
      </c>
      <c r="B1447" t="str">
        <f t="shared" si="47"/>
        <v>Combined_&lt;prefix&gt;_&lt;mm&gt;&lt;cy&gt;&lt;yy&gt;_&lt;ar&gt;Unposted Adjustments</v>
      </c>
    </row>
    <row r="1448" spans="1:2" x14ac:dyDescent="0.25">
      <c r="A1448" t="s">
        <v>1337</v>
      </c>
      <c r="B1448" t="str">
        <f t="shared" si="47"/>
        <v>Combined_&lt;prefix&gt;_&lt;mm&gt;&lt;cy&gt;&lt;yy&gt;_&lt;ar&gt;Unresolved Disputes by Carrier by code</v>
      </c>
    </row>
    <row r="1449" spans="1:2" x14ac:dyDescent="0.25">
      <c r="A1449" t="s">
        <v>1338</v>
      </c>
      <c r="B1449" t="str">
        <f t="shared" si="47"/>
        <v>Combined_&lt;prefix&gt;_&lt;mm&gt;&lt;cy&gt;&lt;yy&gt;_&lt;ar&gt;Unresolved Disputes by Carrier by month</v>
      </c>
    </row>
    <row r="1450" spans="1:2" x14ac:dyDescent="0.25">
      <c r="A1450" t="s">
        <v>1339</v>
      </c>
      <c r="B1450" t="str">
        <f t="shared" si="47"/>
        <v>Combined_&lt;prefix&gt;_&lt;mm&gt;&lt;cy&gt;&lt;yy&gt;_&lt;ar&gt;Usage Balancing - Company Totals</v>
      </c>
    </row>
    <row r="1451" spans="1:2" x14ac:dyDescent="0.25">
      <c r="A1451" t="s">
        <v>41</v>
      </c>
      <c r="B1451" t="str">
        <f t="shared" si="47"/>
        <v>Combined_&lt;prefix&gt;_&lt;mm&gt;&lt;cy&gt;&lt;yy&gt;_&lt;ar&gt;Usage Balancing - Company Totals with Full Detail</v>
      </c>
    </row>
    <row r="1452" spans="1:2" x14ac:dyDescent="0.25">
      <c r="A1452" t="s">
        <v>43</v>
      </c>
      <c r="B1452" t="str">
        <f t="shared" si="47"/>
        <v>Combined_&lt;prefix&gt;_&lt;mm&gt;&lt;cy&gt;&lt;yy&gt;_&lt;ar&gt;Usage Balancing - Company, Ban Totals</v>
      </c>
    </row>
    <row r="1453" spans="1:2" x14ac:dyDescent="0.25">
      <c r="A1453" t="s">
        <v>1340</v>
      </c>
      <c r="B1453" t="str">
        <f t="shared" si="47"/>
        <v>Combined_&lt;prefix&gt;_&lt;mm&gt;&lt;cy&gt;&lt;yy&gt;_&lt;ar&gt;Usage Balancing - Company, Ban, Clli Totals</v>
      </c>
    </row>
    <row r="1454" spans="1:2" x14ac:dyDescent="0.25">
      <c r="A1454" t="s">
        <v>1341</v>
      </c>
      <c r="B1454" t="str">
        <f t="shared" si="47"/>
        <v>Combined_&lt;prefix&gt;_&lt;mm&gt;&lt;cy&gt;&lt;yy&gt;_&lt;ar&gt;Usage Balancing - Company, Ban, Clli, TT Totals</v>
      </c>
    </row>
    <row r="1455" spans="1:2" x14ac:dyDescent="0.25">
      <c r="A1455" t="s">
        <v>543</v>
      </c>
      <c r="B1455" t="str">
        <f t="shared" si="47"/>
        <v>Combined_&lt;prefix&gt;_&lt;mm&gt;&lt;cy&gt;&lt;yy&gt;_&lt;ar&gt;Usage by Day Report</v>
      </c>
    </row>
    <row r="1456" spans="1:2" x14ac:dyDescent="0.25">
      <c r="A1456" t="s">
        <v>138</v>
      </c>
      <c r="B1456" s="11" t="s">
        <v>1141</v>
      </c>
    </row>
    <row r="1457" spans="1:3" x14ac:dyDescent="0.25">
      <c r="A1457" t="s">
        <v>1342</v>
      </c>
      <c r="B1457" t="str">
        <f>"Combined_&lt;prefix&gt;_&lt;mm&gt;&lt;cy&gt;&lt;yy&gt;_&lt;ar&gt;"&amp;A1457</f>
        <v>Combined_&lt;prefix&gt;_&lt;mm&gt;&lt;cy&gt;&lt;yy&gt;_&lt;ar&gt;Usage Totaling Rule</v>
      </c>
    </row>
    <row r="1458" spans="1:3" x14ac:dyDescent="0.25">
      <c r="A1458" t="s">
        <v>1011</v>
      </c>
      <c r="B1458" t="s">
        <v>1140</v>
      </c>
    </row>
    <row r="1459" spans="1:3" x14ac:dyDescent="0.25">
      <c r="A1459" t="s">
        <v>1343</v>
      </c>
      <c r="B1459" t="str">
        <f>"Combined_&lt;prefix&gt;_&lt;mm&gt;&lt;cy&gt;&lt;yy&gt;_&lt;ar&gt;"&amp;A1459</f>
        <v>Combined_&lt;prefix&gt;_&lt;mm&gt;&lt;cy&gt;&lt;yy&gt;_&lt;ar&gt;Wire Center Mileage Segment Report</v>
      </c>
    </row>
    <row r="1460" spans="1:3" x14ac:dyDescent="0.25">
      <c r="A1460" t="s">
        <v>1344</v>
      </c>
      <c r="B1460" t="str">
        <f>"Combined_&lt;prefix&gt;_&lt;mm&gt;&lt;cy&gt;&lt;yy&gt;_&lt;ar&gt;"&amp;A1460</f>
        <v>Combined_&lt;prefix&gt;_&lt;mm&gt;&lt;cy&gt;&lt;yy&gt;_&lt;ar&gt;Wire Center Report</v>
      </c>
    </row>
    <row r="1461" spans="1:3" x14ac:dyDescent="0.25">
      <c r="A1461" t="s">
        <v>109</v>
      </c>
      <c r="B1461" s="11" t="s">
        <v>1126</v>
      </c>
      <c r="C1461" s="18">
        <v>8</v>
      </c>
    </row>
    <row r="1462" spans="1:3" x14ac:dyDescent="0.25">
      <c r="A1462" t="s">
        <v>32</v>
      </c>
      <c r="B1462" t="str">
        <f>"Combined_&lt;mm&gt;&lt;yy&gt;_&lt;ar&gt;"&amp;A1462</f>
        <v>Combined_&lt;mm&gt;&lt;yy&gt;_&lt;ar&gt;Factor Change Audit Report</v>
      </c>
      <c r="C1462" s="18">
        <v>10</v>
      </c>
    </row>
    <row r="1463" spans="1:3" x14ac:dyDescent="0.25">
      <c r="A1463" t="s">
        <v>39</v>
      </c>
      <c r="B1463" t="str">
        <f>"Combined_&lt;mm&gt;&lt;yy&gt;_&lt;ar&gt;"&amp;A1463</f>
        <v>Combined_&lt;mm&gt;&lt;yy&gt;_&lt;ar&gt;SOC Change Audit Report</v>
      </c>
      <c r="C1463" s="18">
        <v>11</v>
      </c>
    </row>
    <row r="1464" spans="1:3" x14ac:dyDescent="0.25">
      <c r="A1464" t="s">
        <v>34</v>
      </c>
      <c r="B1464" t="s">
        <v>1127</v>
      </c>
      <c r="C1464" t="s">
        <v>362</v>
      </c>
    </row>
    <row r="1465" spans="1:3" x14ac:dyDescent="0.25">
      <c r="A1465" t="s">
        <v>16</v>
      </c>
      <c r="B1465" t="s">
        <v>1128</v>
      </c>
      <c r="C1465" t="s">
        <v>383</v>
      </c>
    </row>
    <row r="1466" spans="1:3" x14ac:dyDescent="0.25">
      <c r="A1466" t="s">
        <v>125</v>
      </c>
      <c r="B1466" t="s">
        <v>1129</v>
      </c>
      <c r="C1466" t="s">
        <v>385</v>
      </c>
    </row>
    <row r="1467" spans="1:3" x14ac:dyDescent="0.25">
      <c r="A1467" t="s">
        <v>17</v>
      </c>
      <c r="B1467" s="11" t="s">
        <v>1130</v>
      </c>
      <c r="C1467" t="s">
        <v>424</v>
      </c>
    </row>
    <row r="1468" spans="1:3" x14ac:dyDescent="0.25">
      <c r="A1468" t="s">
        <v>106</v>
      </c>
      <c r="B1468" s="11" t="s">
        <v>1131</v>
      </c>
      <c r="C1468" t="s">
        <v>428</v>
      </c>
    </row>
    <row r="1469" spans="1:3" x14ac:dyDescent="0.25">
      <c r="A1469" t="s">
        <v>33</v>
      </c>
      <c r="B1469" s="33" t="s">
        <v>1132</v>
      </c>
      <c r="C1469" s="34" t="s">
        <v>583</v>
      </c>
    </row>
    <row r="1470" spans="1:3" x14ac:dyDescent="0.25">
      <c r="A1470" t="s">
        <v>86</v>
      </c>
      <c r="B1470" s="11" t="s">
        <v>1133</v>
      </c>
      <c r="C1470" t="s">
        <v>767</v>
      </c>
    </row>
    <row r="1471" spans="1:3" x14ac:dyDescent="0.25">
      <c r="A1471" t="s">
        <v>12</v>
      </c>
      <c r="B1471" t="str">
        <f>"Combined_&lt;mm&gt;&lt;yy&gt;_&lt;ar&gt;"&amp;A1471</f>
        <v>Combined_&lt;mm&gt;&lt;yy&gt;_&lt;ar&gt;AUR History Stats Report</v>
      </c>
      <c r="C1471" t="s">
        <v>216</v>
      </c>
    </row>
    <row r="1472" spans="1:3" x14ac:dyDescent="0.25">
      <c r="A1472" t="s">
        <v>18</v>
      </c>
      <c r="B1472" s="11" t="s">
        <v>1134</v>
      </c>
      <c r="C1472" t="s">
        <v>231</v>
      </c>
    </row>
    <row r="1473" spans="1:3" x14ac:dyDescent="0.25">
      <c r="A1473" t="s">
        <v>22</v>
      </c>
      <c r="B1473" s="11" t="s">
        <v>1135</v>
      </c>
      <c r="C1473" t="s">
        <v>1136</v>
      </c>
    </row>
    <row r="1474" spans="1:3" x14ac:dyDescent="0.25">
      <c r="A1474" t="s">
        <v>29</v>
      </c>
      <c r="B1474" t="s">
        <v>1137</v>
      </c>
      <c r="C1474" t="s">
        <v>248</v>
      </c>
    </row>
    <row r="1475" spans="1:3" x14ac:dyDescent="0.25">
      <c r="A1475" t="s">
        <v>47</v>
      </c>
      <c r="B1475" t="s">
        <v>1138</v>
      </c>
      <c r="C1475" t="s">
        <v>251</v>
      </c>
    </row>
    <row r="1476" spans="1:3" x14ac:dyDescent="0.25">
      <c r="A1476" t="s">
        <v>27</v>
      </c>
      <c r="B1476" t="s">
        <v>1139</v>
      </c>
      <c r="C1476" t="s">
        <v>266</v>
      </c>
    </row>
    <row r="1477" spans="1:3" x14ac:dyDescent="0.25">
      <c r="A1477" t="s">
        <v>1011</v>
      </c>
      <c r="B1477" t="s">
        <v>1140</v>
      </c>
      <c r="C1477" t="s">
        <v>272</v>
      </c>
    </row>
    <row r="1478" spans="1:3" x14ac:dyDescent="0.25">
      <c r="A1478" t="s">
        <v>138</v>
      </c>
      <c r="B1478" s="11" t="s">
        <v>1141</v>
      </c>
      <c r="C1478" t="s">
        <v>1142</v>
      </c>
    </row>
    <row r="1479" spans="1:3" x14ac:dyDescent="0.25">
      <c r="A1479" t="s">
        <v>43</v>
      </c>
      <c r="B1479" t="str">
        <f>"Combined_&lt;mm&gt;&lt;yy&gt;_&lt;ar&gt;"&amp;A1479</f>
        <v>Combined_&lt;mm&gt;&lt;yy&gt;_&lt;ar&gt;Usage Balancing - Company, Ban Totals</v>
      </c>
      <c r="C1479" t="s">
        <v>1039</v>
      </c>
    </row>
    <row r="1480" spans="1:3" x14ac:dyDescent="0.25">
      <c r="A1480" t="s">
        <v>7</v>
      </c>
      <c r="B1480" t="str">
        <f>"Combined_&lt;mm&gt;&lt;yy&gt;_&lt;ar&gt;"&amp;A1480</f>
        <v>Combined_&lt;mm&gt;&lt;yy&gt;_&lt;ar&gt;Adjustments Not Posted Report</v>
      </c>
      <c r="C1480" t="s">
        <v>336</v>
      </c>
    </row>
    <row r="1481" spans="1:3" x14ac:dyDescent="0.25">
      <c r="A1481" t="s">
        <v>26</v>
      </c>
      <c r="B1481" s="7" t="str">
        <f t="shared" ref="B1481:B1488" si="48">"Combined_&lt;prefix&gt;_&lt;mm&gt;&lt;cy&gt;&lt;yy&gt;_&lt;ar&gt;"&amp;A1481</f>
        <v>Combined_&lt;prefix&gt;_&lt;mm&gt;&lt;cy&gt;&lt;yy&gt;_&lt;ar&gt;Aged Trial Balance for Export - New</v>
      </c>
      <c r="C1481" s="7"/>
    </row>
    <row r="1482" spans="1:3" x14ac:dyDescent="0.25">
      <c r="A1482" t="s">
        <v>49</v>
      </c>
      <c r="B1482" s="7" t="str">
        <f t="shared" si="48"/>
        <v>Combined_&lt;prefix&gt;_&lt;mm&gt;&lt;cy&gt;&lt;yy&gt;_&lt;ar&gt;Billed Msg MOU Rev by BAN by EMR Jurisdiction</v>
      </c>
      <c r="C1482" s="7"/>
    </row>
    <row r="1483" spans="1:3" x14ac:dyDescent="0.25">
      <c r="A1483" t="s">
        <v>51</v>
      </c>
      <c r="B1483" s="7" t="str">
        <f t="shared" si="48"/>
        <v>Combined_&lt;prefix&gt;_&lt;mm&gt;&lt;cy&gt;&lt;yy&gt;_&lt;ar&gt;Billed Msg MOU Rev by CLLI by EMR Jurisdiction</v>
      </c>
      <c r="C1483" s="7"/>
    </row>
    <row r="1484" spans="1:3" x14ac:dyDescent="0.25">
      <c r="A1484" t="s">
        <v>70</v>
      </c>
      <c r="B1484" s="7" t="str">
        <f t="shared" si="48"/>
        <v>Combined_&lt;prefix&gt;_&lt;mm&gt;&lt;cy&gt;&lt;yy&gt;_&lt;ar&gt;FA Charges Summary</v>
      </c>
      <c r="C1484" s="7"/>
    </row>
    <row r="1485" spans="1:3" x14ac:dyDescent="0.25">
      <c r="A1485" t="s">
        <v>71</v>
      </c>
      <c r="B1485" s="7" t="str">
        <f t="shared" si="48"/>
        <v>Combined_&lt;prefix&gt;_&lt;mm&gt;&lt;cy&gt;&lt;yy&gt;_&lt;ar&gt;FA Circuit Charges by CIC by CLLI</v>
      </c>
      <c r="C1485" s="7"/>
    </row>
    <row r="1486" spans="1:3" x14ac:dyDescent="0.25">
      <c r="A1486" t="s">
        <v>97</v>
      </c>
      <c r="B1486" s="7" t="str">
        <f t="shared" si="48"/>
        <v>Combined_&lt;prefix&gt;_&lt;mm&gt;&lt;cy&gt;&lt;yy&gt;_&lt;ar&gt;MSG MOU REV Export - New</v>
      </c>
      <c r="C1486" s="7"/>
    </row>
    <row r="1487" spans="1:3" x14ac:dyDescent="0.25">
      <c r="A1487" t="s">
        <v>113</v>
      </c>
      <c r="B1487" s="7" t="str">
        <f t="shared" si="48"/>
        <v>Combined_&lt;prefix&gt;_&lt;mm&gt;&lt;cy&gt;&lt;yy&gt;_&lt;ar&gt;Revenue Analysis - New</v>
      </c>
      <c r="C1487" s="7"/>
    </row>
    <row r="1488" spans="1:3" x14ac:dyDescent="0.25">
      <c r="A1488" t="s">
        <v>129</v>
      </c>
      <c r="B1488" s="7" t="str">
        <f t="shared" si="48"/>
        <v>Combined_&lt;prefix&gt;_&lt;mm&gt;&lt;cy&gt;&lt;yy&gt;_&lt;ar&gt;Transaction Summary Report - New</v>
      </c>
      <c r="C1488" s="7"/>
    </row>
    <row r="1489" spans="1:3" x14ac:dyDescent="0.25">
      <c r="A1489" t="s">
        <v>48</v>
      </c>
      <c r="B1489" s="33" t="s">
        <v>1143</v>
      </c>
      <c r="C1489" s="34"/>
    </row>
    <row r="1490" spans="1:3" x14ac:dyDescent="0.25">
      <c r="A1490" t="s">
        <v>1231</v>
      </c>
      <c r="B1490" t="str">
        <f t="shared" ref="B1490:B1521" si="49">"Combined_&lt;prefix&gt;_&lt;mm&gt;&lt;cy&gt;&lt;yy&gt;_&lt;ar&gt;"&amp;A1490</f>
        <v>Combined_&lt;prefix&gt;_&lt;mm&gt;&lt;cy&gt;&lt;yy&gt;_&lt;ar&gt;Access MSG and MOU billed by CLLI,FG,CIC</v>
      </c>
    </row>
    <row r="1491" spans="1:3" x14ac:dyDescent="0.25">
      <c r="A1491" t="s">
        <v>6</v>
      </c>
      <c r="B1491" t="str">
        <f t="shared" si="49"/>
        <v>Combined_&lt;prefix&gt;_&lt;mm&gt;&lt;cy&gt;&lt;yy&gt;_&lt;ar&gt;Accounting Detailed Report</v>
      </c>
    </row>
    <row r="1492" spans="1:3" x14ac:dyDescent="0.25">
      <c r="A1492" t="s">
        <v>8</v>
      </c>
      <c r="B1492" t="str">
        <f t="shared" si="49"/>
        <v>Combined_&lt;prefix&gt;_&lt;mm&gt;&lt;cy&gt;&lt;yy&gt;_&lt;ar&gt;Accounting Report</v>
      </c>
    </row>
    <row r="1493" spans="1:3" x14ac:dyDescent="0.25">
      <c r="A1493" t="s">
        <v>13</v>
      </c>
      <c r="B1493" t="str">
        <f t="shared" si="49"/>
        <v>Combined_&lt;prefix&gt;_&lt;mm&gt;&lt;cy&gt;&lt;yy&gt;_&lt;ar&gt;Adjustment GL Trans by BAN Report</v>
      </c>
    </row>
    <row r="1494" spans="1:3" x14ac:dyDescent="0.25">
      <c r="A1494" t="s">
        <v>1232</v>
      </c>
      <c r="B1494" t="str">
        <f t="shared" si="49"/>
        <v>Combined_&lt;prefix&gt;_&lt;mm&gt;&lt;cy&gt;&lt;yy&gt;_&lt;ar&gt;Adjustments Detail Report - Posted</v>
      </c>
    </row>
    <row r="1495" spans="1:3" x14ac:dyDescent="0.25">
      <c r="A1495" t="s">
        <v>1233</v>
      </c>
      <c r="B1495" t="str">
        <f t="shared" si="49"/>
        <v>Combined_&lt;prefix&gt;_&lt;mm&gt;&lt;cy&gt;&lt;yy&gt;_&lt;ar&gt;Adjustments Detail Report - Unposted</v>
      </c>
    </row>
    <row r="1496" spans="1:3" x14ac:dyDescent="0.25">
      <c r="A1496" t="s">
        <v>30</v>
      </c>
      <c r="B1496" t="str">
        <f t="shared" si="49"/>
        <v>Combined_&lt;prefix&gt;_&lt;mm&gt;&lt;cy&gt;&lt;yy&gt;_&lt;ar&gt;Aged trial Balance</v>
      </c>
    </row>
    <row r="1497" spans="1:3" x14ac:dyDescent="0.25">
      <c r="A1497" t="s">
        <v>1234</v>
      </c>
      <c r="B1497" t="str">
        <f t="shared" si="49"/>
        <v>Combined_&lt;prefix&gt;_&lt;mm&gt;&lt;cy&gt;&lt;yy&gt;_&lt;ar&gt;Aged Trial Balance by Company</v>
      </c>
    </row>
    <row r="1498" spans="1:3" x14ac:dyDescent="0.25">
      <c r="A1498" t="s">
        <v>23</v>
      </c>
      <c r="B1498" t="str">
        <f t="shared" si="49"/>
        <v>Combined_&lt;prefix&gt;_&lt;mm&gt;&lt;cy&gt;&lt;yy&gt;_&lt;ar&gt;Aged Trial Balance for Export</v>
      </c>
    </row>
    <row r="1499" spans="1:3" x14ac:dyDescent="0.25">
      <c r="A1499" t="s">
        <v>1235</v>
      </c>
      <c r="B1499" t="str">
        <f t="shared" si="49"/>
        <v>Combined_&lt;prefix&gt;_&lt;mm&gt;&lt;cy&gt;&lt;yy&gt;_&lt;ar&gt;Amount billed/disputed/settled by month/carrier</v>
      </c>
    </row>
    <row r="1500" spans="1:3" x14ac:dyDescent="0.25">
      <c r="A1500" t="s">
        <v>1236</v>
      </c>
      <c r="B1500" t="str">
        <f t="shared" si="49"/>
        <v>Combined_&lt;prefix&gt;_&lt;mm&gt;&lt;cy&gt;&lt;yy&gt;_&lt;ar&gt;Amount billed/disputed/settled by qtr/carrier</v>
      </c>
    </row>
    <row r="1501" spans="1:3" x14ac:dyDescent="0.25">
      <c r="A1501" t="s">
        <v>1237</v>
      </c>
      <c r="B1501" t="str">
        <f t="shared" si="49"/>
        <v>Combined_&lt;prefix&gt;_&lt;mm&gt;&lt;cy&gt;&lt;yy&gt;_&lt;ar&gt;Amount billed-disputed-settled by month-carrier</v>
      </c>
    </row>
    <row r="1502" spans="1:3" x14ac:dyDescent="0.25">
      <c r="A1502" t="s">
        <v>1238</v>
      </c>
      <c r="B1502" t="str">
        <f t="shared" si="49"/>
        <v>Combined_&lt;prefix&gt;_&lt;mm&gt;&lt;cy&gt;&lt;yy&gt;_&lt;ar&gt;Amount billed-disputed-settled by qtr-carrier</v>
      </c>
    </row>
    <row r="1503" spans="1:3" x14ac:dyDescent="0.25">
      <c r="A1503" t="s">
        <v>1239</v>
      </c>
      <c r="B1503" t="str">
        <f t="shared" si="49"/>
        <v>Combined_&lt;prefix&gt;_&lt;mm&gt;&lt;cy&gt;&lt;yy&gt;_&lt;ar&gt;AS1000 Report</v>
      </c>
    </row>
    <row r="1504" spans="1:3" x14ac:dyDescent="0.25">
      <c r="A1504" t="s">
        <v>9</v>
      </c>
      <c r="B1504" t="str">
        <f t="shared" si="49"/>
        <v>Combined_&lt;prefix&gt;_&lt;mm&gt;&lt;cy&gt;&lt;yy&gt;_&lt;ar&gt;AUR History Stats</v>
      </c>
    </row>
    <row r="1505" spans="1:2" x14ac:dyDescent="0.25">
      <c r="A1505" t="s">
        <v>1240</v>
      </c>
      <c r="B1505" t="str">
        <f t="shared" si="49"/>
        <v>Combined_&lt;prefix&gt;_&lt;mm&gt;&lt;cy&gt;&lt;yy&gt;_&lt;ar&gt;AUR History Stats (Seconds)</v>
      </c>
    </row>
    <row r="1506" spans="1:2" x14ac:dyDescent="0.25">
      <c r="A1506" t="s">
        <v>1241</v>
      </c>
      <c r="B1506" t="str">
        <f t="shared" si="49"/>
        <v>Combined_&lt;prefix&gt;_&lt;mm&gt;&lt;cy&gt;&lt;yy&gt;_&lt;ar&gt;AUR History Summary</v>
      </c>
    </row>
    <row r="1507" spans="1:2" x14ac:dyDescent="0.25">
      <c r="A1507" t="s">
        <v>1242</v>
      </c>
      <c r="B1507" t="str">
        <f t="shared" si="49"/>
        <v>Combined_&lt;prefix&gt;_&lt;mm&gt;&lt;cy&gt;&lt;yy&gt;_&lt;ar&gt;AUR History Summary by Day</v>
      </c>
    </row>
    <row r="1508" spans="1:2" x14ac:dyDescent="0.25">
      <c r="A1508" t="s">
        <v>46</v>
      </c>
      <c r="B1508" t="str">
        <f t="shared" si="49"/>
        <v>Combined_&lt;prefix&gt;_&lt;mm&gt;&lt;cy&gt;&lt;yy&gt;_&lt;ar&gt;Billed by Period Report</v>
      </c>
    </row>
    <row r="1509" spans="1:2" x14ac:dyDescent="0.25">
      <c r="A1509" t="s">
        <v>1243</v>
      </c>
      <c r="B1509" t="str">
        <f t="shared" si="49"/>
        <v>Combined_&lt;prefix&gt;_&lt;mm&gt;&lt;cy&gt;&lt;yy&gt;_&lt;ar&gt;Billed Minutes by Inter/Intra State</v>
      </c>
    </row>
    <row r="1510" spans="1:2" x14ac:dyDescent="0.25">
      <c r="A1510" t="s">
        <v>1244</v>
      </c>
      <c r="B1510" t="str">
        <f t="shared" si="49"/>
        <v>Combined_&lt;prefix&gt;_&lt;mm&gt;&lt;cy&gt;&lt;yy&gt;_&lt;ar&gt;Billed Minutes by Inter-Intra State</v>
      </c>
    </row>
    <row r="1511" spans="1:2" x14ac:dyDescent="0.25">
      <c r="A1511" t="s">
        <v>1245</v>
      </c>
      <c r="B1511" t="str">
        <f t="shared" si="49"/>
        <v>Combined_&lt;prefix&gt;_&lt;mm&gt;&lt;cy&gt;&lt;yy&gt;_&lt;ar&gt;Billed Minutes by Jurisdiction</v>
      </c>
    </row>
    <row r="1512" spans="1:2" x14ac:dyDescent="0.25">
      <c r="A1512" t="s">
        <v>1246</v>
      </c>
      <c r="B1512" t="str">
        <f t="shared" si="49"/>
        <v>Combined_&lt;prefix&gt;_&lt;mm&gt;&lt;cy&gt;&lt;yy&gt;_&lt;ar&gt;Billed minutes by Quarter by Inter/Intra State</v>
      </c>
    </row>
    <row r="1513" spans="1:2" x14ac:dyDescent="0.25">
      <c r="A1513" t="s">
        <v>1247</v>
      </c>
      <c r="B1513" t="str">
        <f t="shared" si="49"/>
        <v>Combined_&lt;prefix&gt;_&lt;mm&gt;&lt;cy&gt;&lt;yy&gt;_&lt;ar&gt;Billed minutes by Quarter by Inter-Intra State</v>
      </c>
    </row>
    <row r="1514" spans="1:2" x14ac:dyDescent="0.25">
      <c r="A1514" t="s">
        <v>1248</v>
      </c>
      <c r="B1514" t="str">
        <f t="shared" si="49"/>
        <v>Combined_&lt;prefix&gt;_&lt;mm&gt;&lt;cy&gt;&lt;yy&gt;_&lt;ar&gt;Billed Minutes by Quarter by Jurisdiction</v>
      </c>
    </row>
    <row r="1515" spans="1:2" x14ac:dyDescent="0.25">
      <c r="A1515" t="s">
        <v>1249</v>
      </c>
      <c r="B1515" t="str">
        <f t="shared" si="49"/>
        <v>Combined_&lt;prefix&gt;_&lt;mm&gt;&lt;cy&gt;&lt;yy&gt;_&lt;ar&gt;Billed Msg MOU Rev by BAN by Jurisdiction</v>
      </c>
    </row>
    <row r="1516" spans="1:2" x14ac:dyDescent="0.25">
      <c r="A1516" t="s">
        <v>1250</v>
      </c>
      <c r="B1516" t="str">
        <f t="shared" si="49"/>
        <v>Combined_&lt;prefix&gt;_&lt;mm&gt;&lt;cy&gt;&lt;yy&gt;_&lt;ar&gt;Billed Msg MOU Rev by CLLI by Jurisdiction</v>
      </c>
    </row>
    <row r="1517" spans="1:2" x14ac:dyDescent="0.25">
      <c r="A1517" t="s">
        <v>1254</v>
      </c>
      <c r="B1517" t="str">
        <f t="shared" si="49"/>
        <v>Combined_&lt;prefix&gt;_&lt;mm&gt;&lt;cy&gt;&lt;yy&gt;_&lt;ar&gt;CLNT ckt_billed_live_disco_v1</v>
      </c>
    </row>
    <row r="1518" spans="1:2" x14ac:dyDescent="0.25">
      <c r="A1518" t="s">
        <v>1266</v>
      </c>
      <c r="B1518" t="str">
        <f t="shared" si="49"/>
        <v>Combined_&lt;prefix&gt;_&lt;mm&gt;&lt;cy&gt;&lt;yy&gt;_&lt;ar&gt;CLNT r_sce_3_v3_2</v>
      </c>
    </row>
    <row r="1519" spans="1:2" x14ac:dyDescent="0.25">
      <c r="A1519" t="s">
        <v>1269</v>
      </c>
      <c r="B1519" t="str">
        <f t="shared" si="49"/>
        <v>Combined_&lt;prefix&gt;_&lt;mm&gt;&lt;cy&gt;&lt;yy&gt;_&lt;ar&gt;Company Master Report</v>
      </c>
    </row>
    <row r="1520" spans="1:2" x14ac:dyDescent="0.25">
      <c r="A1520" t="s">
        <v>1347</v>
      </c>
      <c r="B1520" t="str">
        <f t="shared" si="49"/>
        <v>Combined_&lt;prefix&gt;_&lt;mm&gt;&lt;cy&gt;&lt;yy&gt;_&lt;ar&gt;Customer BAN Info 4 v3</v>
      </c>
    </row>
    <row r="1521" spans="1:2" x14ac:dyDescent="0.25">
      <c r="A1521" t="s">
        <v>20</v>
      </c>
      <c r="B1521" t="str">
        <f t="shared" si="49"/>
        <v>Combined_&lt;prefix&gt;_&lt;mm&gt;&lt;cy&gt;&lt;yy&gt;_&lt;ar&gt;Detailed BAN Error Report - with extra research</v>
      </c>
    </row>
    <row r="1522" spans="1:2" x14ac:dyDescent="0.25">
      <c r="A1522" t="s">
        <v>1271</v>
      </c>
      <c r="B1522" t="str">
        <f t="shared" ref="B1522:B1553" si="50">"Combined_&lt;prefix&gt;_&lt;mm&gt;&lt;cy&gt;&lt;yy&gt;_&lt;ar&gt;"&amp;A1522</f>
        <v>Combined_&lt;prefix&gt;_&lt;mm&gt;&lt;cy&gt;&lt;yy&gt;_&lt;ar&gt;Dispute amounts by type by month</v>
      </c>
    </row>
    <row r="1523" spans="1:2" x14ac:dyDescent="0.25">
      <c r="A1523" t="s">
        <v>1272</v>
      </c>
      <c r="B1523" t="str">
        <f t="shared" si="50"/>
        <v>Combined_&lt;prefix&gt;_&lt;mm&gt;&lt;cy&gt;&lt;yy&gt;_&lt;ar&gt;Dispute amounts by type by month by carrier</v>
      </c>
    </row>
    <row r="1524" spans="1:2" x14ac:dyDescent="0.25">
      <c r="A1524" t="s">
        <v>1273</v>
      </c>
      <c r="B1524" t="str">
        <f t="shared" si="50"/>
        <v>Combined_&lt;prefix&gt;_&lt;mm&gt;&lt;cy&gt;&lt;yy&gt;_&lt;ar&gt;Dispute amounts by type by quarter</v>
      </c>
    </row>
    <row r="1525" spans="1:2" x14ac:dyDescent="0.25">
      <c r="A1525" t="s">
        <v>1274</v>
      </c>
      <c r="B1525" t="str">
        <f t="shared" si="50"/>
        <v>Combined_&lt;prefix&gt;_&lt;mm&gt;&lt;cy&gt;&lt;yy&gt;_&lt;ar&gt;Dispute amounts by type by quarter by carrier</v>
      </c>
    </row>
    <row r="1526" spans="1:2" x14ac:dyDescent="0.25">
      <c r="A1526" t="s">
        <v>1275</v>
      </c>
      <c r="B1526" t="str">
        <f t="shared" si="50"/>
        <v>Combined_&lt;prefix&gt;_&lt;mm&gt;&lt;cy&gt;&lt;yy&gt;_&lt;ar&gt;Dispute amounts/carrier/month for a given year</v>
      </c>
    </row>
    <row r="1527" spans="1:2" x14ac:dyDescent="0.25">
      <c r="A1527" t="s">
        <v>1276</v>
      </c>
      <c r="B1527" t="str">
        <f t="shared" si="50"/>
        <v>Combined_&lt;prefix&gt;_&lt;mm&gt;&lt;cy&gt;&lt;yy&gt;_&lt;ar&gt;Dispute amounts/carrier/qtr for a given year</v>
      </c>
    </row>
    <row r="1528" spans="1:2" x14ac:dyDescent="0.25">
      <c r="A1528" t="s">
        <v>1277</v>
      </c>
      <c r="B1528" t="str">
        <f t="shared" si="50"/>
        <v>Combined_&lt;prefix&gt;_&lt;mm&gt;&lt;cy&gt;&lt;yy&gt;_&lt;ar&gt;Dispute amounts-carrier-month for a given year</v>
      </c>
    </row>
    <row r="1529" spans="1:2" x14ac:dyDescent="0.25">
      <c r="A1529" t="s">
        <v>1278</v>
      </c>
      <c r="B1529" t="str">
        <f t="shared" si="50"/>
        <v>Combined_&lt;prefix&gt;_&lt;mm&gt;&lt;cy&gt;&lt;yy&gt;_&lt;ar&gt;Dispute amounts-carrier-qtr for a given year</v>
      </c>
    </row>
    <row r="1530" spans="1:2" x14ac:dyDescent="0.25">
      <c r="A1530" t="s">
        <v>1279</v>
      </c>
      <c r="B1530" t="str">
        <f t="shared" si="50"/>
        <v>Combined_&lt;prefix&gt;_&lt;mm&gt;&lt;cy&gt;&lt;yy&gt;_&lt;ar&gt;EC1050 Report</v>
      </c>
    </row>
    <row r="1531" spans="1:2" x14ac:dyDescent="0.25">
      <c r="A1531" t="s">
        <v>69</v>
      </c>
      <c r="B1531" t="str">
        <f t="shared" si="50"/>
        <v>Combined_&lt;prefix&gt;_&lt;mm&gt;&lt;cy&gt;&lt;yy&gt;_&lt;ar&gt;Facility BANS Trending Report</v>
      </c>
    </row>
    <row r="1532" spans="1:2" x14ac:dyDescent="0.25">
      <c r="A1532" t="s">
        <v>141</v>
      </c>
      <c r="B1532" t="str">
        <f t="shared" si="50"/>
        <v>Combined_&lt;prefix&gt;_&lt;mm&gt;&lt;cy&gt;&lt;yy&gt;_&lt;ar&gt;Facility Billed with Disconnects</v>
      </c>
    </row>
    <row r="1533" spans="1:2" x14ac:dyDescent="0.25">
      <c r="A1533" t="s">
        <v>78</v>
      </c>
      <c r="B1533" t="str">
        <f t="shared" si="50"/>
        <v>Combined_&lt;prefix&gt;_&lt;mm&gt;&lt;cy&gt;&lt;yy&gt;_&lt;ar&gt;Fulfillment Report</v>
      </c>
    </row>
    <row r="1534" spans="1:2" x14ac:dyDescent="0.25">
      <c r="A1534" t="s">
        <v>1418</v>
      </c>
      <c r="B1534" t="str">
        <f t="shared" si="50"/>
        <v>Combined_&lt;prefix&gt;_&lt;mm&gt;&lt;cy&gt;&lt;yy&gt;_&lt;ar&gt;GCI SOC Tariff Report</v>
      </c>
    </row>
    <row r="1535" spans="1:2" x14ac:dyDescent="0.25">
      <c r="A1535" t="s">
        <v>1475</v>
      </c>
      <c r="B1535" t="str">
        <f t="shared" si="50"/>
        <v>Combined_&lt;prefix&gt;_&lt;mm&gt;&lt;cy&gt;&lt;yy&gt;_&lt;ar&gt;GCI SOC Tariiff Report with Schedule</v>
      </c>
    </row>
    <row r="1536" spans="1:2" x14ac:dyDescent="0.25">
      <c r="A1536" t="s">
        <v>1281</v>
      </c>
      <c r="B1536" t="str">
        <f t="shared" si="50"/>
        <v>Combined_&lt;prefix&gt;_&lt;mm&gt;&lt;cy&gt;&lt;yy&gt;_&lt;ar&gt;Graph - Disputed Amounts by Carrier</v>
      </c>
    </row>
    <row r="1537" spans="1:2" x14ac:dyDescent="0.25">
      <c r="A1537" t="s">
        <v>1282</v>
      </c>
      <c r="B1537" t="str">
        <f t="shared" si="50"/>
        <v>Combined_&lt;prefix&gt;_&lt;mm&gt;&lt;cy&gt;&lt;yy&gt;_&lt;ar&gt;Graph - Disputed Amounts by Carrier by Date</v>
      </c>
    </row>
    <row r="1538" spans="1:2" x14ac:dyDescent="0.25">
      <c r="A1538" t="s">
        <v>1283</v>
      </c>
      <c r="B1538" t="str">
        <f t="shared" si="50"/>
        <v>Combined_&lt;prefix&gt;_&lt;mm&gt;&lt;cy&gt;&lt;yy&gt;_&lt;ar&gt;Graph - Disputed Amounts by dispute types</v>
      </c>
    </row>
    <row r="1539" spans="1:2" x14ac:dyDescent="0.25">
      <c r="A1539" t="s">
        <v>1284</v>
      </c>
      <c r="B1539" t="str">
        <f t="shared" si="50"/>
        <v>Combined_&lt;prefix&gt;_&lt;mm&gt;&lt;cy&gt;&lt;yy&gt;_&lt;ar&gt;Graph - Disputed Amounts vs Resolutions</v>
      </c>
    </row>
    <row r="1540" spans="1:2" x14ac:dyDescent="0.25">
      <c r="A1540" t="s">
        <v>1285</v>
      </c>
      <c r="B1540" t="str">
        <f t="shared" si="50"/>
        <v>Combined_&lt;prefix&gt;_&lt;mm&gt;&lt;cy&gt;&lt;yy&gt;_&lt;ar&gt;Graph - No. of Disputes by Carrier</v>
      </c>
    </row>
    <row r="1541" spans="1:2" x14ac:dyDescent="0.25">
      <c r="A1541" t="s">
        <v>1286</v>
      </c>
      <c r="B1541" t="str">
        <f t="shared" si="50"/>
        <v>Combined_&lt;prefix&gt;_&lt;mm&gt;&lt;cy&gt;&lt;yy&gt;_&lt;ar&gt;Graph - No. of Disputes by Carrier by Date</v>
      </c>
    </row>
    <row r="1542" spans="1:2" x14ac:dyDescent="0.25">
      <c r="A1542" t="s">
        <v>82</v>
      </c>
      <c r="B1542" t="str">
        <f t="shared" si="50"/>
        <v>Combined_&lt;prefix&gt;_&lt;mm&gt;&lt;cy&gt;&lt;yy&gt;_&lt;ar&gt;Invoice Balances by Jur with LPC</v>
      </c>
    </row>
    <row r="1543" spans="1:2" x14ac:dyDescent="0.25">
      <c r="A1543" t="s">
        <v>1467</v>
      </c>
      <c r="B1543" t="str">
        <f t="shared" si="50"/>
        <v>Combined_&lt;prefix&gt;_&lt;mm&gt;&lt;cy&gt;&lt;yy&gt;_&lt;ar&gt;Invoice Balances Report</v>
      </c>
    </row>
    <row r="1544" spans="1:2" x14ac:dyDescent="0.25">
      <c r="A1544" t="s">
        <v>87</v>
      </c>
      <c r="B1544" t="str">
        <f t="shared" si="50"/>
        <v>Combined_&lt;prefix&gt;_&lt;mm&gt;&lt;cy&gt;&lt;yy&gt;_&lt;ar&gt;Invoice Count Report (non-zero balances)</v>
      </c>
    </row>
    <row r="1545" spans="1:2" x14ac:dyDescent="0.25">
      <c r="A1545" t="s">
        <v>1289</v>
      </c>
      <c r="B1545" t="str">
        <f t="shared" si="50"/>
        <v>Combined_&lt;prefix&gt;_&lt;mm&gt;&lt;cy&gt;&lt;yy&gt;_&lt;ar&gt;Message Record Analysis</v>
      </c>
    </row>
    <row r="1546" spans="1:2" x14ac:dyDescent="0.25">
      <c r="A1546" t="s">
        <v>1290</v>
      </c>
      <c r="B1546" t="str">
        <f t="shared" si="50"/>
        <v>Combined_&lt;prefix&gt;_&lt;mm&gt;&lt;cy&gt;&lt;yy&gt;_&lt;ar&gt;Messages and minutes billed by FG,CIC</v>
      </c>
    </row>
    <row r="1547" spans="1:2" x14ac:dyDescent="0.25">
      <c r="A1547" t="s">
        <v>1291</v>
      </c>
      <c r="B1547" t="str">
        <f t="shared" si="50"/>
        <v>Combined_&lt;prefix&gt;_&lt;mm&gt;&lt;cy&gt;&lt;yy&gt;_&lt;ar&gt;Messages and minutes billed by FG,CIC(Local separa</v>
      </c>
    </row>
    <row r="1548" spans="1:2" x14ac:dyDescent="0.25">
      <c r="A1548" t="s">
        <v>1292</v>
      </c>
      <c r="B1548" t="str">
        <f t="shared" si="50"/>
        <v>Combined_&lt;prefix&gt;_&lt;mm&gt;&lt;cy&gt;&lt;yy&gt;_&lt;ar&gt;Minutes</v>
      </c>
    </row>
    <row r="1549" spans="1:2" x14ac:dyDescent="0.25">
      <c r="A1549" t="s">
        <v>92</v>
      </c>
      <c r="B1549" t="str">
        <f t="shared" si="50"/>
        <v>Combined_&lt;prefix&gt;_&lt;mm&gt;&lt;cy&gt;&lt;yy&gt;_&lt;ar&gt;Minutes and revenue billed by rate element</v>
      </c>
    </row>
    <row r="1550" spans="1:2" x14ac:dyDescent="0.25">
      <c r="A1550" t="s">
        <v>1293</v>
      </c>
      <c r="B1550" t="str">
        <f t="shared" si="50"/>
        <v>Combined_&lt;prefix&gt;_&lt;mm&gt;&lt;cy&gt;&lt;yy&gt;_&lt;ar&gt;Minutes billed by BAN, Orig- Term Inter-Intra Stat</v>
      </c>
    </row>
    <row r="1551" spans="1:2" x14ac:dyDescent="0.25">
      <c r="A1551" t="s">
        <v>1294</v>
      </c>
      <c r="B1551" t="str">
        <f t="shared" si="50"/>
        <v>Combined_&lt;prefix&gt;_&lt;mm&gt;&lt;cy&gt;&lt;yy&gt;_&lt;ar&gt;Minutes billed by BAN, Orig/ Term Inter/Intra Stat</v>
      </c>
    </row>
    <row r="1552" spans="1:2" x14ac:dyDescent="0.25">
      <c r="A1552" t="s">
        <v>1471</v>
      </c>
      <c r="B1552" t="str">
        <f t="shared" si="50"/>
        <v>Combined_&lt;prefix&gt;_&lt;mm&gt;&lt;cy&gt;&lt;yy&gt;_&lt;ar&gt;MSG MOU REV Export - Facility</v>
      </c>
    </row>
    <row r="1553" spans="1:2" x14ac:dyDescent="0.25">
      <c r="A1553" t="s">
        <v>98</v>
      </c>
      <c r="B1553" t="str">
        <f t="shared" si="50"/>
        <v>Combined_&lt;prefix&gt;_&lt;mm&gt;&lt;cy&gt;&lt;yy&gt;_&lt;ar&gt;MSG MOU REV with LPC</v>
      </c>
    </row>
    <row r="1554" spans="1:2" x14ac:dyDescent="0.25">
      <c r="A1554" t="s">
        <v>100</v>
      </c>
      <c r="B1554" t="str">
        <f t="shared" ref="B1554:B1585" si="51">"Combined_&lt;prefix&gt;_&lt;mm&gt;&lt;cy&gt;&lt;yy&gt;_&lt;ar&gt;"&amp;A1554</f>
        <v>Combined_&lt;prefix&gt;_&lt;mm&gt;&lt;cy&gt;&lt;yy&gt;_&lt;ar&gt;NECA AS1000</v>
      </c>
    </row>
    <row r="1555" spans="1:2" x14ac:dyDescent="0.25">
      <c r="A1555" t="s">
        <v>101</v>
      </c>
      <c r="B1555" t="str">
        <f t="shared" si="51"/>
        <v>Combined_&lt;prefix&gt;_&lt;mm&gt;&lt;cy&gt;&lt;yy&gt;_&lt;ar&gt;NECA EC1050</v>
      </c>
    </row>
    <row r="1556" spans="1:2" x14ac:dyDescent="0.25">
      <c r="A1556" t="s">
        <v>1297</v>
      </c>
      <c r="B1556" t="str">
        <f t="shared" si="51"/>
        <v>Combined_&lt;prefix&gt;_&lt;mm&gt;&lt;cy&gt;&lt;yy&gt;_&lt;ar&gt;Non FA Rate Element as Billed Table Report</v>
      </c>
    </row>
    <row r="1557" spans="1:2" x14ac:dyDescent="0.25">
      <c r="A1557" t="s">
        <v>1476</v>
      </c>
      <c r="B1557" t="str">
        <f t="shared" si="51"/>
        <v>Combined_&lt;prefix&gt;_&lt;mm&gt;&lt;cy&gt;&lt;yy&gt;_&lt;ar&gt;NTANDV5_Reports_Table</v>
      </c>
    </row>
    <row r="1558" spans="1:2" x14ac:dyDescent="0.25">
      <c r="A1558" t="s">
        <v>1477</v>
      </c>
      <c r="B1558" t="str">
        <f t="shared" si="51"/>
        <v>Combined_&lt;prefix&gt;_&lt;mm&gt;&lt;cy&gt;&lt;yy&gt;_&lt;ar&gt;NTANDV5_Rpt_Argmnt</v>
      </c>
    </row>
    <row r="1559" spans="1:2" x14ac:dyDescent="0.25">
      <c r="A1559" t="s">
        <v>102</v>
      </c>
      <c r="B1559" t="str">
        <f t="shared" si="51"/>
        <v>Combined_&lt;prefix&gt;_&lt;mm&gt;&lt;cy&gt;&lt;yy&gt;_&lt;ar&gt;OC&amp;C GL Trans by BAN Report</v>
      </c>
    </row>
    <row r="1560" spans="1:2" x14ac:dyDescent="0.25">
      <c r="A1560" t="s">
        <v>1298</v>
      </c>
      <c r="B1560" t="str">
        <f t="shared" si="51"/>
        <v>Combined_&lt;prefix&gt;_&lt;mm&gt;&lt;cy&gt;&lt;yy&gt;_&lt;ar&gt;OCC Detail Report - Posted</v>
      </c>
    </row>
    <row r="1561" spans="1:2" x14ac:dyDescent="0.25">
      <c r="A1561" t="s">
        <v>1299</v>
      </c>
      <c r="B1561" t="str">
        <f t="shared" si="51"/>
        <v>Combined_&lt;prefix&gt;_&lt;mm&gt;&lt;cy&gt;&lt;yy&gt;_&lt;ar&gt;OCC Detail Report - Unposted</v>
      </c>
    </row>
    <row r="1562" spans="1:2" x14ac:dyDescent="0.25">
      <c r="A1562" t="s">
        <v>1300</v>
      </c>
      <c r="B1562" t="str">
        <f t="shared" si="51"/>
        <v>Combined_&lt;prefix&gt;_&lt;mm&gt;&lt;cy&gt;&lt;yy&gt;_&lt;ar&gt;Partially Paid Invoices</v>
      </c>
    </row>
    <row r="1563" spans="1:2" x14ac:dyDescent="0.25">
      <c r="A1563" t="s">
        <v>1301</v>
      </c>
      <c r="B1563" t="str">
        <f t="shared" si="51"/>
        <v>Combined_&lt;prefix&gt;_&lt;mm&gt;&lt;cy&gt;&lt;yy&gt;_&lt;ar&gt;Payment Details by Check</v>
      </c>
    </row>
    <row r="1564" spans="1:2" x14ac:dyDescent="0.25">
      <c r="A1564" t="s">
        <v>107</v>
      </c>
      <c r="B1564" t="str">
        <f t="shared" si="51"/>
        <v>Combined_&lt;prefix&gt;_&lt;mm&gt;&lt;cy&gt;&lt;yy&gt;_&lt;ar&gt;Payment Report</v>
      </c>
    </row>
    <row r="1565" spans="1:2" x14ac:dyDescent="0.25">
      <c r="A1565" t="s">
        <v>1302</v>
      </c>
      <c r="B1565" t="str">
        <f t="shared" si="51"/>
        <v>Combined_&lt;prefix&gt;_&lt;mm&gt;&lt;cy&gt;&lt;yy&gt;_&lt;ar&gt;Payments by Payer by BAN</v>
      </c>
    </row>
    <row r="1566" spans="1:2" x14ac:dyDescent="0.25">
      <c r="A1566" t="s">
        <v>1303</v>
      </c>
      <c r="B1566" t="str">
        <f t="shared" si="51"/>
        <v>Combined_&lt;prefix&gt;_&lt;mm&gt;&lt;cy&gt;&lt;yy&gt;_&lt;ar&gt;Payments Not on Bill</v>
      </c>
    </row>
    <row r="1567" spans="1:2" x14ac:dyDescent="0.25">
      <c r="A1567" t="s">
        <v>1304</v>
      </c>
      <c r="B1567" t="str">
        <f t="shared" si="51"/>
        <v>Combined_&lt;prefix&gt;_&lt;mm&gt;&lt;cy&gt;&lt;yy&gt;_&lt;ar&gt;Percent of disputes/billed per month/year</v>
      </c>
    </row>
    <row r="1568" spans="1:2" x14ac:dyDescent="0.25">
      <c r="A1568" t="s">
        <v>1305</v>
      </c>
      <c r="B1568" t="str">
        <f t="shared" si="51"/>
        <v>Combined_&lt;prefix&gt;_&lt;mm&gt;&lt;cy&gt;&lt;yy&gt;_&lt;ar&gt;Percent of disputes/billed per qtr/year</v>
      </c>
    </row>
    <row r="1569" spans="1:2" x14ac:dyDescent="0.25">
      <c r="A1569" t="s">
        <v>1306</v>
      </c>
      <c r="B1569" t="str">
        <f t="shared" si="51"/>
        <v>Combined_&lt;prefix&gt;_&lt;mm&gt;&lt;cy&gt;&lt;yy&gt;_&lt;ar&gt;Percent of disputes-billed per month-year</v>
      </c>
    </row>
    <row r="1570" spans="1:2" x14ac:dyDescent="0.25">
      <c r="A1570" t="s">
        <v>1307</v>
      </c>
      <c r="B1570" t="str">
        <f t="shared" si="51"/>
        <v>Combined_&lt;prefix&gt;_&lt;mm&gt;&lt;cy&gt;&lt;yy&gt;_&lt;ar&gt;Percent of disputes-billed per qtr-year</v>
      </c>
    </row>
    <row r="1571" spans="1:2" x14ac:dyDescent="0.25">
      <c r="A1571" t="s">
        <v>1308</v>
      </c>
      <c r="B1571" t="str">
        <f t="shared" si="51"/>
        <v>Combined_&lt;prefix&gt;_&lt;mm&gt;&lt;cy&gt;&lt;yy&gt;_&lt;ar&gt;Post billing rate change adj. calc. - FA</v>
      </c>
    </row>
    <row r="1572" spans="1:2" x14ac:dyDescent="0.25">
      <c r="A1572" t="s">
        <v>1309</v>
      </c>
      <c r="B1572" t="str">
        <f t="shared" si="51"/>
        <v>Combined_&lt;prefix&gt;_&lt;mm&gt;&lt;cy&gt;&lt;yy&gt;_&lt;ar&gt;Post billing rate change adj. calc. - SW</v>
      </c>
    </row>
    <row r="1573" spans="1:2" x14ac:dyDescent="0.25">
      <c r="A1573" t="s">
        <v>1310</v>
      </c>
      <c r="B1573" t="str">
        <f t="shared" si="51"/>
        <v>Combined_&lt;prefix&gt;_&lt;mm&gt;&lt;cy&gt;&lt;yy&gt;_&lt;ar&gt;Rate Element Table Report</v>
      </c>
    </row>
    <row r="1574" spans="1:2" x14ac:dyDescent="0.25">
      <c r="A1574" t="s">
        <v>1311</v>
      </c>
      <c r="B1574" t="str">
        <f t="shared" si="51"/>
        <v>Combined_&lt;prefix&gt;_&lt;mm&gt;&lt;cy&gt;&lt;yy&gt;_&lt;ar&gt;Reconciliation of account balance over time</v>
      </c>
    </row>
    <row r="1575" spans="1:2" x14ac:dyDescent="0.25">
      <c r="A1575" t="s">
        <v>1312</v>
      </c>
      <c r="B1575" t="str">
        <f t="shared" si="51"/>
        <v>Combined_&lt;prefix&gt;_&lt;mm&gt;&lt;cy&gt;&lt;yy&gt;_&lt;ar&gt;Resolved Disputes by carrier</v>
      </c>
    </row>
    <row r="1576" spans="1:2" x14ac:dyDescent="0.25">
      <c r="A1576" t="s">
        <v>1313</v>
      </c>
      <c r="B1576" t="str">
        <f t="shared" si="51"/>
        <v>Combined_&lt;prefix&gt;_&lt;mm&gt;&lt;cy&gt;&lt;yy&gt;_&lt;ar&gt;Revenue</v>
      </c>
    </row>
    <row r="1577" spans="1:2" x14ac:dyDescent="0.25">
      <c r="A1577" t="s">
        <v>1314</v>
      </c>
      <c r="B1577" t="str">
        <f t="shared" si="51"/>
        <v>Combined_&lt;prefix&gt;_&lt;mm&gt;&lt;cy&gt;&lt;yy&gt;_&lt;ar&gt;Revenue billed by BAN, Inter/Intra State</v>
      </c>
    </row>
    <row r="1578" spans="1:2" x14ac:dyDescent="0.25">
      <c r="A1578" t="s">
        <v>1315</v>
      </c>
      <c r="B1578" t="str">
        <f t="shared" si="51"/>
        <v>Combined_&lt;prefix&gt;_&lt;mm&gt;&lt;cy&gt;&lt;yy&gt;_&lt;ar&gt;Revenue billed by BAN, Inter-Intra State</v>
      </c>
    </row>
    <row r="1579" spans="1:2" x14ac:dyDescent="0.25">
      <c r="A1579" t="s">
        <v>1316</v>
      </c>
      <c r="B1579" t="str">
        <f t="shared" si="51"/>
        <v>Combined_&lt;prefix&gt;_&lt;mm&gt;&lt;cy&gt;&lt;yy&gt;_&lt;ar&gt;Security Report by User</v>
      </c>
    </row>
    <row r="1580" spans="1:2" x14ac:dyDescent="0.25">
      <c r="A1580" t="s">
        <v>1317</v>
      </c>
      <c r="B1580" t="str">
        <f t="shared" si="51"/>
        <v>Combined_&lt;prefix&gt;_&lt;mm&gt;&lt;cy&gt;&lt;yy&gt;_&lt;ar&gt;Security Report by Window</v>
      </c>
    </row>
    <row r="1581" spans="1:2" x14ac:dyDescent="0.25">
      <c r="A1581" t="s">
        <v>1318</v>
      </c>
      <c r="B1581" t="str">
        <f t="shared" si="51"/>
        <v>Combined_&lt;prefix&gt;_&lt;mm&gt;&lt;cy&gt;&lt;yy&gt;_&lt;ar&gt;SOC Jurisdiction Table Report</v>
      </c>
    </row>
    <row r="1582" spans="1:2" x14ac:dyDescent="0.25">
      <c r="A1582" t="s">
        <v>1319</v>
      </c>
      <c r="B1582" t="str">
        <f t="shared" si="51"/>
        <v>Combined_&lt;prefix&gt;_&lt;mm&gt;&lt;cy&gt;&lt;yy&gt;_&lt;ar&gt;SOC Rate Comparison between companies</v>
      </c>
    </row>
    <row r="1583" spans="1:2" x14ac:dyDescent="0.25">
      <c r="A1583" t="s">
        <v>1320</v>
      </c>
      <c r="B1583" t="str">
        <f t="shared" si="51"/>
        <v>Combined_&lt;prefix&gt;_&lt;mm&gt;&lt;cy&gt;&lt;yy&gt;_&lt;ar&gt;SOC Tariff Table Report</v>
      </c>
    </row>
    <row r="1584" spans="1:2" x14ac:dyDescent="0.25">
      <c r="A1584" t="s">
        <v>1472</v>
      </c>
      <c r="B1584" t="str">
        <f t="shared" si="51"/>
        <v>Combined_&lt;prefix&gt;_&lt;mm&gt;&lt;cy&gt;&lt;yy&gt;_&lt;ar&gt;SOCs on BANs</v>
      </c>
    </row>
    <row r="1585" spans="1:2" x14ac:dyDescent="0.25">
      <c r="A1585" t="s">
        <v>1321</v>
      </c>
      <c r="B1585" t="str">
        <f t="shared" si="51"/>
        <v>Combined_&lt;prefix&gt;_&lt;mm&gt;&lt;cy&gt;&lt;yy&gt;_&lt;ar&gt;Summary of Adjustments Report</v>
      </c>
    </row>
    <row r="1586" spans="1:2" x14ac:dyDescent="0.25">
      <c r="A1586" t="s">
        <v>1322</v>
      </c>
      <c r="B1586" t="str">
        <f t="shared" ref="B1586:B1590" si="52">"Combined_&lt;prefix&gt;_&lt;mm&gt;&lt;cy&gt;&lt;yy&gt;_&lt;ar&gt;"&amp;A1586</f>
        <v>Combined_&lt;prefix&gt;_&lt;mm&gt;&lt;cy&gt;&lt;yy&gt;_&lt;ar&gt;Summary of OCCs Report</v>
      </c>
    </row>
    <row r="1587" spans="1:2" x14ac:dyDescent="0.25">
      <c r="A1587" t="s">
        <v>120</v>
      </c>
      <c r="B1587" t="str">
        <f t="shared" si="52"/>
        <v>Combined_&lt;prefix&gt;_&lt;mm&gt;&lt;cy&gt;&lt;yy&gt;_&lt;ar&gt;SW Usage Charges Summary</v>
      </c>
    </row>
    <row r="1588" spans="1:2" x14ac:dyDescent="0.25">
      <c r="A1588" t="s">
        <v>1323</v>
      </c>
      <c r="B1588" t="str">
        <f t="shared" si="52"/>
        <v>Combined_&lt;prefix&gt;_&lt;mm&gt;&lt;cy&gt;&lt;yy&gt;_&lt;ar&gt;SW Usage Charges Summary by CLLI</v>
      </c>
    </row>
    <row r="1589" spans="1:2" x14ac:dyDescent="0.25">
      <c r="A1589" t="s">
        <v>1324</v>
      </c>
      <c r="B1589" t="str">
        <f t="shared" si="52"/>
        <v>Combined_&lt;prefix&gt;_&lt;mm&gt;&lt;cy&gt;&lt;yy&gt;_&lt;ar&gt;SW Usage Statistics Summary</v>
      </c>
    </row>
    <row r="1590" spans="1:2" x14ac:dyDescent="0.25">
      <c r="A1590" t="s">
        <v>122</v>
      </c>
      <c r="B1590" t="str">
        <f t="shared" si="52"/>
        <v>Combined_&lt;prefix&gt;_&lt;mm&gt;&lt;cy&gt;&lt;yy&gt;_&lt;ar&gt;Switched BANS Trending Report</v>
      </c>
    </row>
    <row r="1591" spans="1:2" x14ac:dyDescent="0.25">
      <c r="A1591" t="s">
        <v>125</v>
      </c>
      <c r="B1591" t="s">
        <v>1478</v>
      </c>
    </row>
    <row r="1592" spans="1:2" x14ac:dyDescent="0.25">
      <c r="A1592" t="s">
        <v>1326</v>
      </c>
      <c r="B1592" t="str">
        <f t="shared" ref="B1592:B1614" si="53">"Combined_&lt;prefix&gt;_&lt;mm&gt;&lt;cy&gt;&lt;yy&gt;_&lt;ar&gt;"&amp;A1592</f>
        <v>Combined_&lt;prefix&gt;_&lt;mm&gt;&lt;cy&gt;&lt;yy&gt;_&lt;ar&gt;Switched Billing Account - Factor Report</v>
      </c>
    </row>
    <row r="1593" spans="1:2" x14ac:dyDescent="0.25">
      <c r="A1593" t="s">
        <v>1327</v>
      </c>
      <c r="B1593" t="str">
        <f t="shared" si="53"/>
        <v>Combined_&lt;prefix&gt;_&lt;mm&gt;&lt;cy&gt;&lt;yy&gt;_&lt;ar&gt;Switched Billing Account - SOC Report</v>
      </c>
    </row>
    <row r="1594" spans="1:2" x14ac:dyDescent="0.25">
      <c r="A1594" t="s">
        <v>1328</v>
      </c>
      <c r="B1594" t="str">
        <f t="shared" si="53"/>
        <v>Combined_&lt;prefix&gt;_&lt;mm&gt;&lt;cy&gt;&lt;yy&gt;_&lt;ar&gt;Switched Billing Account - Wire Center Report</v>
      </c>
    </row>
    <row r="1595" spans="1:2" x14ac:dyDescent="0.25">
      <c r="A1595" t="s">
        <v>1329</v>
      </c>
      <c r="B1595" t="str">
        <f t="shared" si="53"/>
        <v>Combined_&lt;prefix&gt;_&lt;mm&gt;&lt;cy&gt;&lt;yy&gt;_&lt;ar&gt;Tariff Element Tracking</v>
      </c>
    </row>
    <row r="1596" spans="1:2" x14ac:dyDescent="0.25">
      <c r="A1596" t="s">
        <v>619</v>
      </c>
      <c r="B1596" t="str">
        <f t="shared" si="53"/>
        <v>Combined_&lt;prefix&gt;_&lt;mm&gt;&lt;cy&gt;&lt;yy&gt;_&lt;ar&gt;Transaction Detail Listing</v>
      </c>
    </row>
    <row r="1597" spans="1:2" x14ac:dyDescent="0.25">
      <c r="A1597" t="s">
        <v>616</v>
      </c>
      <c r="B1597" t="str">
        <f t="shared" si="53"/>
        <v>Combined_&lt;prefix&gt;_&lt;mm&gt;&lt;cy&gt;&lt;yy&gt;_&lt;ar&gt;Transaction Summary</v>
      </c>
    </row>
    <row r="1598" spans="1:2" x14ac:dyDescent="0.25">
      <c r="A1598" t="s">
        <v>1331</v>
      </c>
      <c r="B1598" t="str">
        <f t="shared" si="53"/>
        <v>Combined_&lt;prefix&gt;_&lt;mm&gt;&lt;cy&gt;&lt;yy&gt;_&lt;ar&gt;Transaction Summary - adjustments only</v>
      </c>
    </row>
    <row r="1599" spans="1:2" x14ac:dyDescent="0.25">
      <c r="A1599" t="s">
        <v>127</v>
      </c>
      <c r="B1599" t="str">
        <f t="shared" si="53"/>
        <v>Combined_&lt;prefix&gt;_&lt;mm&gt;&lt;cy&gt;&lt;yy&gt;_&lt;ar&gt;Transaction Summary - bills only</v>
      </c>
    </row>
    <row r="1600" spans="1:2" x14ac:dyDescent="0.25">
      <c r="A1600" t="s">
        <v>1332</v>
      </c>
      <c r="B1600" t="str">
        <f t="shared" si="53"/>
        <v>Combined_&lt;prefix&gt;_&lt;mm&gt;&lt;cy&gt;&lt;yy&gt;_&lt;ar&gt;Transaction Summary - receipts only</v>
      </c>
    </row>
    <row r="1601" spans="1:3" x14ac:dyDescent="0.25">
      <c r="A1601" t="s">
        <v>1333</v>
      </c>
      <c r="B1601" t="str">
        <f t="shared" si="53"/>
        <v>Combined_&lt;prefix&gt;_&lt;mm&gt;&lt;cy&gt;&lt;yy&gt;_&lt;ar&gt;Transaction Summary by transaction/bill type</v>
      </c>
    </row>
    <row r="1602" spans="1:3" x14ac:dyDescent="0.25">
      <c r="A1602" t="s">
        <v>1334</v>
      </c>
      <c r="B1602" t="str">
        <f t="shared" si="53"/>
        <v xml:space="preserve">Combined_&lt;prefix&gt;_&lt;mm&gt;&lt;cy&gt;&lt;yy&gt;_&lt;ar&gt;Transaction Summary by transaction/bill type </v>
      </c>
    </row>
    <row r="1603" spans="1:3" x14ac:dyDescent="0.25">
      <c r="A1603" t="s">
        <v>1335</v>
      </c>
      <c r="B1603" t="str">
        <f t="shared" si="53"/>
        <v>Combined_&lt;prefix&gt;_&lt;mm&gt;&lt;cy&gt;&lt;yy&gt;_&lt;ar&gt;Transaction Summary by transaction-bill type</v>
      </c>
    </row>
    <row r="1604" spans="1:3" x14ac:dyDescent="0.25">
      <c r="A1604" t="s">
        <v>1336</v>
      </c>
      <c r="B1604" t="str">
        <f t="shared" si="53"/>
        <v>Combined_&lt;prefix&gt;_&lt;mm&gt;&lt;cy&gt;&lt;yy&gt;_&lt;ar&gt;Unposted Adjustments</v>
      </c>
    </row>
    <row r="1605" spans="1:3" x14ac:dyDescent="0.25">
      <c r="A1605" t="s">
        <v>1337</v>
      </c>
      <c r="B1605" t="str">
        <f t="shared" si="53"/>
        <v>Combined_&lt;prefix&gt;_&lt;mm&gt;&lt;cy&gt;&lt;yy&gt;_&lt;ar&gt;Unresolved Disputes by Carrier by code</v>
      </c>
    </row>
    <row r="1606" spans="1:3" x14ac:dyDescent="0.25">
      <c r="A1606" t="s">
        <v>1338</v>
      </c>
      <c r="B1606" t="str">
        <f t="shared" si="53"/>
        <v>Combined_&lt;prefix&gt;_&lt;mm&gt;&lt;cy&gt;&lt;yy&gt;_&lt;ar&gt;Unresolved Disputes by Carrier by month</v>
      </c>
    </row>
    <row r="1607" spans="1:3" x14ac:dyDescent="0.25">
      <c r="A1607" t="s">
        <v>1339</v>
      </c>
      <c r="B1607" t="str">
        <f t="shared" si="53"/>
        <v>Combined_&lt;prefix&gt;_&lt;mm&gt;&lt;cy&gt;&lt;yy&gt;_&lt;ar&gt;Usage Balancing - Company Totals</v>
      </c>
    </row>
    <row r="1608" spans="1:3" x14ac:dyDescent="0.25">
      <c r="A1608" t="s">
        <v>41</v>
      </c>
      <c r="B1608" t="str">
        <f t="shared" si="53"/>
        <v>Combined_&lt;prefix&gt;_&lt;mm&gt;&lt;cy&gt;&lt;yy&gt;_&lt;ar&gt;Usage Balancing - Company Totals with Full Detail</v>
      </c>
    </row>
    <row r="1609" spans="1:3" x14ac:dyDescent="0.25">
      <c r="A1609" t="s">
        <v>1340</v>
      </c>
      <c r="B1609" t="str">
        <f t="shared" si="53"/>
        <v>Combined_&lt;prefix&gt;_&lt;mm&gt;&lt;cy&gt;&lt;yy&gt;_&lt;ar&gt;Usage Balancing - Company, Ban, Clli Totals</v>
      </c>
    </row>
    <row r="1610" spans="1:3" x14ac:dyDescent="0.25">
      <c r="A1610" t="s">
        <v>1341</v>
      </c>
      <c r="B1610" t="str">
        <f t="shared" si="53"/>
        <v>Combined_&lt;prefix&gt;_&lt;mm&gt;&lt;cy&gt;&lt;yy&gt;_&lt;ar&gt;Usage Balancing - Company, Ban, Clli, TT Totals</v>
      </c>
    </row>
    <row r="1611" spans="1:3" x14ac:dyDescent="0.25">
      <c r="A1611" t="s">
        <v>543</v>
      </c>
      <c r="B1611" t="str">
        <f t="shared" si="53"/>
        <v>Combined_&lt;prefix&gt;_&lt;mm&gt;&lt;cy&gt;&lt;yy&gt;_&lt;ar&gt;Usage by Day Report</v>
      </c>
    </row>
    <row r="1612" spans="1:3" x14ac:dyDescent="0.25">
      <c r="A1612" t="s">
        <v>1342</v>
      </c>
      <c r="B1612" t="str">
        <f t="shared" si="53"/>
        <v>Combined_&lt;prefix&gt;_&lt;mm&gt;&lt;cy&gt;&lt;yy&gt;_&lt;ar&gt;Usage Totaling Rule</v>
      </c>
    </row>
    <row r="1613" spans="1:3" x14ac:dyDescent="0.25">
      <c r="A1613" t="s">
        <v>1343</v>
      </c>
      <c r="B1613" t="str">
        <f t="shared" si="53"/>
        <v>Combined_&lt;prefix&gt;_&lt;mm&gt;&lt;cy&gt;&lt;yy&gt;_&lt;ar&gt;Wire Center Mileage Segment Report</v>
      </c>
    </row>
    <row r="1614" spans="1:3" x14ac:dyDescent="0.25">
      <c r="A1614" t="s">
        <v>1344</v>
      </c>
      <c r="B1614" t="str">
        <f t="shared" si="53"/>
        <v>Combined_&lt;prefix&gt;_&lt;mm&gt;&lt;cy&gt;&lt;yy&gt;_&lt;ar&gt;Wire Center Report</v>
      </c>
    </row>
    <row r="1615" spans="1:3" x14ac:dyDescent="0.25">
      <c r="A1615" t="s">
        <v>109</v>
      </c>
      <c r="B1615" t="s">
        <v>1144</v>
      </c>
      <c r="C1615" s="18">
        <v>8</v>
      </c>
    </row>
    <row r="1616" spans="1:3" x14ac:dyDescent="0.25">
      <c r="A1616" t="s">
        <v>32</v>
      </c>
      <c r="B1616" t="str">
        <f>"&lt;prefix&gt;_&lt;mm&gt;01&lt;yy&gt;_&lt;ar&gt;"&amp;A1616</f>
        <v>&lt;prefix&gt;_&lt;mm&gt;01&lt;yy&gt;_&lt;ar&gt;Factor Change Audit Report</v>
      </c>
      <c r="C1616" s="18">
        <v>10</v>
      </c>
    </row>
    <row r="1617" spans="1:3" x14ac:dyDescent="0.25">
      <c r="A1617" t="s">
        <v>39</v>
      </c>
      <c r="B1617" t="str">
        <f>"&lt;prefix&gt;_&lt;mm&gt;01&lt;yy&gt;_&lt;ar&gt;"&amp;A1617</f>
        <v>&lt;prefix&gt;_&lt;mm&gt;01&lt;yy&gt;_&lt;ar&gt;SOC Change Audit Report</v>
      </c>
      <c r="C1617" s="18">
        <v>11</v>
      </c>
    </row>
    <row r="1618" spans="1:3" x14ac:dyDescent="0.25">
      <c r="A1618" t="s">
        <v>34</v>
      </c>
      <c r="B1618" t="str">
        <f>"&lt;prefix&gt;_&lt;mm&gt;01&lt;yy&gt;_&lt;ar&gt;"&amp;A1618</f>
        <v>&lt;prefix&gt;_&lt;mm&gt;01&lt;yy&gt;_&lt;ar&gt;Factor Check Report with PVU</v>
      </c>
      <c r="C1618" t="s">
        <v>362</v>
      </c>
    </row>
    <row r="1619" spans="1:3" x14ac:dyDescent="0.25">
      <c r="A1619" t="s">
        <v>16</v>
      </c>
      <c r="B1619" t="str">
        <f>"&lt;prefix&gt;_&lt;mm&gt;01&lt;yy&gt;_&lt;ar&gt;"&amp;A1619</f>
        <v>&lt;prefix&gt;_&lt;mm&gt;01&lt;yy&gt;_&lt;ar&gt;Bill Completion Check Report</v>
      </c>
      <c r="C1619" t="s">
        <v>383</v>
      </c>
    </row>
    <row r="1620" spans="1:3" x14ac:dyDescent="0.25">
      <c r="A1620" t="s">
        <v>122</v>
      </c>
      <c r="B1620" t="str">
        <f>"&lt;prefix&gt;_&lt;mm&gt;01&lt;yy&gt;_&lt;ar&gt;"&amp;A1620</f>
        <v>&lt;prefix&gt;_&lt;mm&gt;01&lt;yy&gt;_&lt;ar&gt;Switched BANS Trending Report</v>
      </c>
      <c r="C1620" t="s">
        <v>385</v>
      </c>
    </row>
    <row r="1621" spans="1:3" x14ac:dyDescent="0.25">
      <c r="A1621" t="s">
        <v>17</v>
      </c>
      <c r="B1621" s="11" t="s">
        <v>1095</v>
      </c>
      <c r="C1621" t="s">
        <v>424</v>
      </c>
    </row>
    <row r="1622" spans="1:3" x14ac:dyDescent="0.25">
      <c r="A1622" t="s">
        <v>102</v>
      </c>
      <c r="B1622" s="11" t="s">
        <v>1096</v>
      </c>
      <c r="C1622" t="s">
        <v>428</v>
      </c>
    </row>
    <row r="1623" spans="1:3" x14ac:dyDescent="0.25">
      <c r="A1623" t="s">
        <v>26</v>
      </c>
      <c r="B1623" s="11" t="s">
        <v>1145</v>
      </c>
      <c r="C1623" t="s">
        <v>443</v>
      </c>
    </row>
    <row r="1624" spans="1:3" x14ac:dyDescent="0.25">
      <c r="A1624" t="s">
        <v>49</v>
      </c>
      <c r="B1624" s="7" t="s">
        <v>1097</v>
      </c>
      <c r="C1624" s="7" t="s">
        <v>446</v>
      </c>
    </row>
    <row r="1625" spans="1:3" x14ac:dyDescent="0.25">
      <c r="A1625" t="s">
        <v>127</v>
      </c>
      <c r="B1625" t="s">
        <v>1098</v>
      </c>
      <c r="C1625" t="s">
        <v>450</v>
      </c>
    </row>
    <row r="1626" spans="1:3" x14ac:dyDescent="0.25">
      <c r="A1626" t="s">
        <v>86</v>
      </c>
      <c r="B1626" t="s">
        <v>1099</v>
      </c>
      <c r="C1626" t="s">
        <v>767</v>
      </c>
    </row>
    <row r="1627" spans="1:3" x14ac:dyDescent="0.25">
      <c r="A1627" t="s">
        <v>12</v>
      </c>
      <c r="B1627" t="str">
        <f>"&lt;prefix&gt;_&lt;mm&gt;01&lt;yy&gt;_&lt;ar&gt;"&amp;A1627</f>
        <v>&lt;prefix&gt;_&lt;mm&gt;01&lt;yy&gt;_&lt;ar&gt;AUR History Stats Report</v>
      </c>
      <c r="C1627" t="s">
        <v>216</v>
      </c>
    </row>
    <row r="1628" spans="1:3" x14ac:dyDescent="0.25">
      <c r="A1628" t="s">
        <v>20</v>
      </c>
      <c r="B1628" t="s">
        <v>1100</v>
      </c>
      <c r="C1628" t="s">
        <v>231</v>
      </c>
    </row>
    <row r="1629" spans="1:3" x14ac:dyDescent="0.25">
      <c r="A1629" t="s">
        <v>22</v>
      </c>
      <c r="B1629" t="s">
        <v>1101</v>
      </c>
      <c r="C1629" t="s">
        <v>238</v>
      </c>
    </row>
    <row r="1630" spans="1:3" x14ac:dyDescent="0.25">
      <c r="A1630" t="s">
        <v>29</v>
      </c>
      <c r="B1630" t="str">
        <f>"&lt;prefix&gt;_&lt;mm&gt;01&lt;yy&gt;_&lt;ar&gt;"&amp;A1630</f>
        <v>&lt;prefix&gt;_&lt;mm&gt;01&lt;yy&gt;_&lt;ar&gt;Exception Analysis Report</v>
      </c>
      <c r="C1630" t="s">
        <v>248</v>
      </c>
    </row>
    <row r="1631" spans="1:3" x14ac:dyDescent="0.25">
      <c r="A1631" t="s">
        <v>47</v>
      </c>
      <c r="B1631" t="str">
        <f>"&lt;prefix&gt;_&lt;mm&gt;01&lt;yy&gt;_&lt;ar&gt;"&amp;A1631</f>
        <v>&lt;prefix&gt;_&lt;mm&gt;01&lt;yy&gt;_&lt;ar&gt;MOU Entries Error Report</v>
      </c>
      <c r="C1631" t="s">
        <v>251</v>
      </c>
    </row>
    <row r="1632" spans="1:3" x14ac:dyDescent="0.25">
      <c r="A1632" t="s">
        <v>27</v>
      </c>
      <c r="B1632" t="str">
        <f>"&lt;prefix&gt;_&lt;mm&gt;01&lt;yy&gt;_&lt;ar&gt;"&amp;A1632</f>
        <v>&lt;prefix&gt;_&lt;mm&gt;01&lt;yy&gt;_&lt;ar&gt;Duplicate File Processing Report</v>
      </c>
      <c r="C1632" t="s">
        <v>266</v>
      </c>
    </row>
    <row r="1633" spans="1:3" x14ac:dyDescent="0.25">
      <c r="A1633" t="s">
        <v>1011</v>
      </c>
      <c r="B1633" t="str">
        <f>"&lt;prefix&gt;_&lt;mm&gt;01&lt;yy&gt;_&lt;ar&gt;"&amp;A1633</f>
        <v xml:space="preserve">&lt;prefix&gt;_&lt;mm&gt;01&lt;yy&gt;_&lt;ar&gt;Usage Verify by Size Report </v>
      </c>
      <c r="C1633" t="s">
        <v>272</v>
      </c>
    </row>
    <row r="1634" spans="1:3" x14ac:dyDescent="0.25">
      <c r="A1634" t="s">
        <v>138</v>
      </c>
      <c r="B1634" t="s">
        <v>1146</v>
      </c>
      <c r="C1634" t="s">
        <v>1014</v>
      </c>
    </row>
    <row r="1635" spans="1:3" x14ac:dyDescent="0.25">
      <c r="A1635" t="s">
        <v>43</v>
      </c>
      <c r="B1635" t="s">
        <v>1102</v>
      </c>
      <c r="C1635" t="s">
        <v>1060</v>
      </c>
    </row>
    <row r="1636" spans="1:3" x14ac:dyDescent="0.25">
      <c r="A1636" t="s">
        <v>7</v>
      </c>
      <c r="B1636" t="str">
        <f>"&lt;prefix&gt;_&lt;mm&gt;01&lt;yy&gt;_&lt;ar&gt;"&amp;A1636</f>
        <v>&lt;prefix&gt;_&lt;mm&gt;01&lt;yy&gt;_&lt;ar&gt;Adjustments Not Posted Report</v>
      </c>
      <c r="C1636" t="s">
        <v>336</v>
      </c>
    </row>
    <row r="1637" spans="1:3" x14ac:dyDescent="0.25">
      <c r="A1637" t="s">
        <v>97</v>
      </c>
      <c r="B1637" s="7" t="s">
        <v>1106</v>
      </c>
    </row>
    <row r="1638" spans="1:3" x14ac:dyDescent="0.25">
      <c r="A1638" t="s">
        <v>30</v>
      </c>
      <c r="B1638" s="7" t="s">
        <v>1147</v>
      </c>
      <c r="C1638" s="7"/>
    </row>
    <row r="1639" spans="1:3" x14ac:dyDescent="0.25">
      <c r="A1639" t="s">
        <v>23</v>
      </c>
      <c r="B1639" s="7" t="s">
        <v>1109</v>
      </c>
      <c r="C1639" s="7"/>
    </row>
    <row r="1640" spans="1:3" x14ac:dyDescent="0.25">
      <c r="A1640" t="s">
        <v>48</v>
      </c>
      <c r="B1640" s="7" t="s">
        <v>1104</v>
      </c>
      <c r="C1640" s="7"/>
    </row>
    <row r="1641" spans="1:3" x14ac:dyDescent="0.25">
      <c r="A1641" t="s">
        <v>51</v>
      </c>
      <c r="B1641" s="7" t="s">
        <v>1107</v>
      </c>
      <c r="C1641" s="7"/>
    </row>
    <row r="1642" spans="1:3" x14ac:dyDescent="0.25">
      <c r="A1642" t="s">
        <v>82</v>
      </c>
      <c r="B1642" s="7" t="s">
        <v>1105</v>
      </c>
      <c r="C1642" s="7"/>
    </row>
    <row r="1643" spans="1:3" x14ac:dyDescent="0.25">
      <c r="A1643" t="s">
        <v>113</v>
      </c>
      <c r="B1643" s="7" t="s">
        <v>1108</v>
      </c>
      <c r="C1643" s="7"/>
    </row>
    <row r="1644" spans="1:3" x14ac:dyDescent="0.25">
      <c r="A1644" t="s">
        <v>98</v>
      </c>
      <c r="B1644" s="7" t="str">
        <f t="shared" ref="B1644:B1675" si="54">"&lt;prefix&gt;_&lt;mm&gt;01&lt;yy&gt;_&lt;ar&gt;"&amp;A1644</f>
        <v>&lt;prefix&gt;_&lt;mm&gt;01&lt;yy&gt;_&lt;ar&gt;MSG MOU REV with LPC</v>
      </c>
    </row>
    <row r="1645" spans="1:3" x14ac:dyDescent="0.25">
      <c r="A1645" t="s">
        <v>1231</v>
      </c>
      <c r="B1645" t="str">
        <f t="shared" si="54"/>
        <v>&lt;prefix&gt;_&lt;mm&gt;01&lt;yy&gt;_&lt;ar&gt;Access MSG and MOU billed by CLLI,FG,CIC</v>
      </c>
    </row>
    <row r="1646" spans="1:3" x14ac:dyDescent="0.25">
      <c r="A1646" t="s">
        <v>6</v>
      </c>
      <c r="B1646" t="str">
        <f t="shared" si="54"/>
        <v>&lt;prefix&gt;_&lt;mm&gt;01&lt;yy&gt;_&lt;ar&gt;Accounting Detailed Report</v>
      </c>
    </row>
    <row r="1647" spans="1:3" x14ac:dyDescent="0.25">
      <c r="A1647" t="s">
        <v>8</v>
      </c>
      <c r="B1647" t="str">
        <f t="shared" si="54"/>
        <v>&lt;prefix&gt;_&lt;mm&gt;01&lt;yy&gt;_&lt;ar&gt;Accounting Report</v>
      </c>
    </row>
    <row r="1648" spans="1:3" x14ac:dyDescent="0.25">
      <c r="A1648" t="s">
        <v>13</v>
      </c>
      <c r="B1648" t="str">
        <f t="shared" si="54"/>
        <v>&lt;prefix&gt;_&lt;mm&gt;01&lt;yy&gt;_&lt;ar&gt;Adjustment GL Trans by BAN Report</v>
      </c>
    </row>
    <row r="1649" spans="1:2" x14ac:dyDescent="0.25">
      <c r="A1649" t="s">
        <v>1232</v>
      </c>
      <c r="B1649" t="str">
        <f t="shared" si="54"/>
        <v>&lt;prefix&gt;_&lt;mm&gt;01&lt;yy&gt;_&lt;ar&gt;Adjustments Detail Report - Posted</v>
      </c>
    </row>
    <row r="1650" spans="1:2" x14ac:dyDescent="0.25">
      <c r="A1650" t="s">
        <v>1233</v>
      </c>
      <c r="B1650" t="str">
        <f t="shared" si="54"/>
        <v>&lt;prefix&gt;_&lt;mm&gt;01&lt;yy&gt;_&lt;ar&gt;Adjustments Detail Report - Unposted</v>
      </c>
    </row>
    <row r="1651" spans="1:2" x14ac:dyDescent="0.25">
      <c r="A1651" t="s">
        <v>33</v>
      </c>
      <c r="B1651" t="str">
        <f t="shared" si="54"/>
        <v>&lt;prefix&gt;_&lt;mm&gt;01&lt;yy&gt;_&lt;ar&gt;Aged Trial Balance - New</v>
      </c>
    </row>
    <row r="1652" spans="1:2" x14ac:dyDescent="0.25">
      <c r="A1652" t="s">
        <v>1234</v>
      </c>
      <c r="B1652" t="str">
        <f t="shared" si="54"/>
        <v>&lt;prefix&gt;_&lt;mm&gt;01&lt;yy&gt;_&lt;ar&gt;Aged Trial Balance by Company</v>
      </c>
    </row>
    <row r="1653" spans="1:2" x14ac:dyDescent="0.25">
      <c r="A1653" t="s">
        <v>1235</v>
      </c>
      <c r="B1653" t="str">
        <f t="shared" si="54"/>
        <v>&lt;prefix&gt;_&lt;mm&gt;01&lt;yy&gt;_&lt;ar&gt;Amount billed/disputed/settled by month/carrier</v>
      </c>
    </row>
    <row r="1654" spans="1:2" x14ac:dyDescent="0.25">
      <c r="A1654" t="s">
        <v>1236</v>
      </c>
      <c r="B1654" t="str">
        <f t="shared" si="54"/>
        <v>&lt;prefix&gt;_&lt;mm&gt;01&lt;yy&gt;_&lt;ar&gt;Amount billed/disputed/settled by qtr/carrier</v>
      </c>
    </row>
    <row r="1655" spans="1:2" x14ac:dyDescent="0.25">
      <c r="A1655" t="s">
        <v>1237</v>
      </c>
      <c r="B1655" t="str">
        <f t="shared" si="54"/>
        <v>&lt;prefix&gt;_&lt;mm&gt;01&lt;yy&gt;_&lt;ar&gt;Amount billed-disputed-settled by month-carrier</v>
      </c>
    </row>
    <row r="1656" spans="1:2" x14ac:dyDescent="0.25">
      <c r="A1656" t="s">
        <v>1238</v>
      </c>
      <c r="B1656" t="str">
        <f t="shared" si="54"/>
        <v>&lt;prefix&gt;_&lt;mm&gt;01&lt;yy&gt;_&lt;ar&gt;Amount billed-disputed-settled by qtr-carrier</v>
      </c>
    </row>
    <row r="1657" spans="1:2" x14ac:dyDescent="0.25">
      <c r="A1657" t="s">
        <v>1239</v>
      </c>
      <c r="B1657" t="str">
        <f t="shared" si="54"/>
        <v>&lt;prefix&gt;_&lt;mm&gt;01&lt;yy&gt;_&lt;ar&gt;AS1000 Report</v>
      </c>
    </row>
    <row r="1658" spans="1:2" x14ac:dyDescent="0.25">
      <c r="A1658" t="s">
        <v>9</v>
      </c>
      <c r="B1658" t="str">
        <f t="shared" si="54"/>
        <v>&lt;prefix&gt;_&lt;mm&gt;01&lt;yy&gt;_&lt;ar&gt;AUR History Stats</v>
      </c>
    </row>
    <row r="1659" spans="1:2" x14ac:dyDescent="0.25">
      <c r="A1659" t="s">
        <v>1240</v>
      </c>
      <c r="B1659" t="str">
        <f t="shared" si="54"/>
        <v>&lt;prefix&gt;_&lt;mm&gt;01&lt;yy&gt;_&lt;ar&gt;AUR History Stats (Seconds)</v>
      </c>
    </row>
    <row r="1660" spans="1:2" x14ac:dyDescent="0.25">
      <c r="A1660" t="s">
        <v>1241</v>
      </c>
      <c r="B1660" t="str">
        <f t="shared" si="54"/>
        <v>&lt;prefix&gt;_&lt;mm&gt;01&lt;yy&gt;_&lt;ar&gt;AUR History Summary</v>
      </c>
    </row>
    <row r="1661" spans="1:2" x14ac:dyDescent="0.25">
      <c r="A1661" t="s">
        <v>1242</v>
      </c>
      <c r="B1661" t="str">
        <f t="shared" si="54"/>
        <v>&lt;prefix&gt;_&lt;mm&gt;01&lt;yy&gt;_&lt;ar&gt;AUR History Summary by Day</v>
      </c>
    </row>
    <row r="1662" spans="1:2" x14ac:dyDescent="0.25">
      <c r="A1662" t="s">
        <v>46</v>
      </c>
      <c r="B1662" t="str">
        <f t="shared" si="54"/>
        <v>&lt;prefix&gt;_&lt;mm&gt;01&lt;yy&gt;_&lt;ar&gt;Billed by Period Report</v>
      </c>
    </row>
    <row r="1663" spans="1:2" x14ac:dyDescent="0.25">
      <c r="A1663" t="s">
        <v>1243</v>
      </c>
      <c r="B1663" t="str">
        <f t="shared" si="54"/>
        <v>&lt;prefix&gt;_&lt;mm&gt;01&lt;yy&gt;_&lt;ar&gt;Billed Minutes by Inter/Intra State</v>
      </c>
    </row>
    <row r="1664" spans="1:2" x14ac:dyDescent="0.25">
      <c r="A1664" t="s">
        <v>1244</v>
      </c>
      <c r="B1664" t="str">
        <f t="shared" si="54"/>
        <v>&lt;prefix&gt;_&lt;mm&gt;01&lt;yy&gt;_&lt;ar&gt;Billed Minutes by Inter-Intra State</v>
      </c>
    </row>
    <row r="1665" spans="1:2" x14ac:dyDescent="0.25">
      <c r="A1665" t="s">
        <v>1245</v>
      </c>
      <c r="B1665" t="str">
        <f t="shared" si="54"/>
        <v>&lt;prefix&gt;_&lt;mm&gt;01&lt;yy&gt;_&lt;ar&gt;Billed Minutes by Jurisdiction</v>
      </c>
    </row>
    <row r="1666" spans="1:2" x14ac:dyDescent="0.25">
      <c r="A1666" t="s">
        <v>1246</v>
      </c>
      <c r="B1666" t="str">
        <f t="shared" si="54"/>
        <v>&lt;prefix&gt;_&lt;mm&gt;01&lt;yy&gt;_&lt;ar&gt;Billed minutes by Quarter by Inter/Intra State</v>
      </c>
    </row>
    <row r="1667" spans="1:2" x14ac:dyDescent="0.25">
      <c r="A1667" t="s">
        <v>1247</v>
      </c>
      <c r="B1667" t="str">
        <f t="shared" si="54"/>
        <v>&lt;prefix&gt;_&lt;mm&gt;01&lt;yy&gt;_&lt;ar&gt;Billed minutes by Quarter by Inter-Intra State</v>
      </c>
    </row>
    <row r="1668" spans="1:2" x14ac:dyDescent="0.25">
      <c r="A1668" t="s">
        <v>1248</v>
      </c>
      <c r="B1668" t="str">
        <f t="shared" si="54"/>
        <v>&lt;prefix&gt;_&lt;mm&gt;01&lt;yy&gt;_&lt;ar&gt;Billed Minutes by Quarter by Jurisdiction</v>
      </c>
    </row>
    <row r="1669" spans="1:2" x14ac:dyDescent="0.25">
      <c r="A1669" t="s">
        <v>1249</v>
      </c>
      <c r="B1669" t="str">
        <f t="shared" si="54"/>
        <v>&lt;prefix&gt;_&lt;mm&gt;01&lt;yy&gt;_&lt;ar&gt;Billed Msg MOU Rev by BAN by Jurisdiction</v>
      </c>
    </row>
    <row r="1670" spans="1:2" x14ac:dyDescent="0.25">
      <c r="A1670" t="s">
        <v>1250</v>
      </c>
      <c r="B1670" t="str">
        <f t="shared" si="54"/>
        <v>&lt;prefix&gt;_&lt;mm&gt;01&lt;yy&gt;_&lt;ar&gt;Billed Msg MOU Rev by CLLI by Jurisdiction</v>
      </c>
    </row>
    <row r="1671" spans="1:2" x14ac:dyDescent="0.25">
      <c r="A1671" t="s">
        <v>1254</v>
      </c>
      <c r="B1671" t="str">
        <f t="shared" si="54"/>
        <v>&lt;prefix&gt;_&lt;mm&gt;01&lt;yy&gt;_&lt;ar&gt;CLNT ckt_billed_live_disco_v1</v>
      </c>
    </row>
    <row r="1672" spans="1:2" x14ac:dyDescent="0.25">
      <c r="A1672" t="s">
        <v>1266</v>
      </c>
      <c r="B1672" t="str">
        <f t="shared" si="54"/>
        <v>&lt;prefix&gt;_&lt;mm&gt;01&lt;yy&gt;_&lt;ar&gt;CLNT r_sce_3_v3_2</v>
      </c>
    </row>
    <row r="1673" spans="1:2" x14ac:dyDescent="0.25">
      <c r="A1673" t="s">
        <v>1269</v>
      </c>
      <c r="B1673" t="str">
        <f t="shared" si="54"/>
        <v>&lt;prefix&gt;_&lt;mm&gt;01&lt;yy&gt;_&lt;ar&gt;Company Master Report</v>
      </c>
    </row>
    <row r="1674" spans="1:2" x14ac:dyDescent="0.25">
      <c r="A1674" t="s">
        <v>1347</v>
      </c>
      <c r="B1674" t="str">
        <f t="shared" si="54"/>
        <v>&lt;prefix&gt;_&lt;mm&gt;01&lt;yy&gt;_&lt;ar&gt;Customer BAN Info 4 v3</v>
      </c>
    </row>
    <row r="1675" spans="1:2" x14ac:dyDescent="0.25">
      <c r="A1675" t="s">
        <v>18</v>
      </c>
      <c r="B1675" t="str">
        <f t="shared" si="54"/>
        <v>&lt;prefix&gt;_&lt;mm&gt;01&lt;yy&gt;_&lt;ar&gt;Detailed BAN Error Report</v>
      </c>
    </row>
    <row r="1676" spans="1:2" x14ac:dyDescent="0.25">
      <c r="A1676" t="s">
        <v>1271</v>
      </c>
      <c r="B1676" t="str">
        <f t="shared" ref="B1676:B1707" si="55">"&lt;prefix&gt;_&lt;mm&gt;01&lt;yy&gt;_&lt;ar&gt;"&amp;A1676</f>
        <v>&lt;prefix&gt;_&lt;mm&gt;01&lt;yy&gt;_&lt;ar&gt;Dispute amounts by type by month</v>
      </c>
    </row>
    <row r="1677" spans="1:2" x14ac:dyDescent="0.25">
      <c r="A1677" t="s">
        <v>1272</v>
      </c>
      <c r="B1677" t="str">
        <f t="shared" si="55"/>
        <v>&lt;prefix&gt;_&lt;mm&gt;01&lt;yy&gt;_&lt;ar&gt;Dispute amounts by type by month by carrier</v>
      </c>
    </row>
    <row r="1678" spans="1:2" x14ac:dyDescent="0.25">
      <c r="A1678" t="s">
        <v>1273</v>
      </c>
      <c r="B1678" t="str">
        <f t="shared" si="55"/>
        <v>&lt;prefix&gt;_&lt;mm&gt;01&lt;yy&gt;_&lt;ar&gt;Dispute amounts by type by quarter</v>
      </c>
    </row>
    <row r="1679" spans="1:2" x14ac:dyDescent="0.25">
      <c r="A1679" t="s">
        <v>1274</v>
      </c>
      <c r="B1679" t="str">
        <f t="shared" si="55"/>
        <v>&lt;prefix&gt;_&lt;mm&gt;01&lt;yy&gt;_&lt;ar&gt;Dispute amounts by type by quarter by carrier</v>
      </c>
    </row>
    <row r="1680" spans="1:2" x14ac:dyDescent="0.25">
      <c r="A1680" t="s">
        <v>1275</v>
      </c>
      <c r="B1680" t="str">
        <f t="shared" si="55"/>
        <v>&lt;prefix&gt;_&lt;mm&gt;01&lt;yy&gt;_&lt;ar&gt;Dispute amounts/carrier/month for a given year</v>
      </c>
    </row>
    <row r="1681" spans="1:2" x14ac:dyDescent="0.25">
      <c r="A1681" t="s">
        <v>1276</v>
      </c>
      <c r="B1681" t="str">
        <f t="shared" si="55"/>
        <v>&lt;prefix&gt;_&lt;mm&gt;01&lt;yy&gt;_&lt;ar&gt;Dispute amounts/carrier/qtr for a given year</v>
      </c>
    </row>
    <row r="1682" spans="1:2" x14ac:dyDescent="0.25">
      <c r="A1682" t="s">
        <v>1277</v>
      </c>
      <c r="B1682" t="str">
        <f t="shared" si="55"/>
        <v>&lt;prefix&gt;_&lt;mm&gt;01&lt;yy&gt;_&lt;ar&gt;Dispute amounts-carrier-month for a given year</v>
      </c>
    </row>
    <row r="1683" spans="1:2" x14ac:dyDescent="0.25">
      <c r="A1683" t="s">
        <v>1278</v>
      </c>
      <c r="B1683" t="str">
        <f t="shared" si="55"/>
        <v>&lt;prefix&gt;_&lt;mm&gt;01&lt;yy&gt;_&lt;ar&gt;Dispute amounts-carrier-qtr for a given year</v>
      </c>
    </row>
    <row r="1684" spans="1:2" x14ac:dyDescent="0.25">
      <c r="A1684" t="s">
        <v>1279</v>
      </c>
      <c r="B1684" t="str">
        <f t="shared" si="55"/>
        <v>&lt;prefix&gt;_&lt;mm&gt;01&lt;yy&gt;_&lt;ar&gt;EC1050 Report</v>
      </c>
    </row>
    <row r="1685" spans="1:2" x14ac:dyDescent="0.25">
      <c r="A1685" t="s">
        <v>70</v>
      </c>
      <c r="B1685" t="str">
        <f t="shared" si="55"/>
        <v>&lt;prefix&gt;_&lt;mm&gt;01&lt;yy&gt;_&lt;ar&gt;FA Charges Summary</v>
      </c>
    </row>
    <row r="1686" spans="1:2" x14ac:dyDescent="0.25">
      <c r="A1686" t="s">
        <v>71</v>
      </c>
      <c r="B1686" t="str">
        <f t="shared" si="55"/>
        <v>&lt;prefix&gt;_&lt;mm&gt;01&lt;yy&gt;_&lt;ar&gt;FA Circuit Charges by CIC by CLLI</v>
      </c>
    </row>
    <row r="1687" spans="1:2" x14ac:dyDescent="0.25">
      <c r="A1687" t="s">
        <v>69</v>
      </c>
      <c r="B1687" t="str">
        <f t="shared" si="55"/>
        <v>&lt;prefix&gt;_&lt;mm&gt;01&lt;yy&gt;_&lt;ar&gt;Facility BANS Trending Report</v>
      </c>
    </row>
    <row r="1688" spans="1:2" x14ac:dyDescent="0.25">
      <c r="A1688" t="s">
        <v>141</v>
      </c>
      <c r="B1688" t="str">
        <f t="shared" si="55"/>
        <v>&lt;prefix&gt;_&lt;mm&gt;01&lt;yy&gt;_&lt;ar&gt;Facility Billed with Disconnects</v>
      </c>
    </row>
    <row r="1689" spans="1:2" x14ac:dyDescent="0.25">
      <c r="A1689" t="s">
        <v>78</v>
      </c>
      <c r="B1689" t="str">
        <f t="shared" si="55"/>
        <v>&lt;prefix&gt;_&lt;mm&gt;01&lt;yy&gt;_&lt;ar&gt;Fulfillment Report</v>
      </c>
    </row>
    <row r="1690" spans="1:2" x14ac:dyDescent="0.25">
      <c r="A1690" t="s">
        <v>1281</v>
      </c>
      <c r="B1690" t="str">
        <f t="shared" si="55"/>
        <v>&lt;prefix&gt;_&lt;mm&gt;01&lt;yy&gt;_&lt;ar&gt;Graph - Disputed Amounts by Carrier</v>
      </c>
    </row>
    <row r="1691" spans="1:2" x14ac:dyDescent="0.25">
      <c r="A1691" t="s">
        <v>1282</v>
      </c>
      <c r="B1691" t="str">
        <f t="shared" si="55"/>
        <v>&lt;prefix&gt;_&lt;mm&gt;01&lt;yy&gt;_&lt;ar&gt;Graph - Disputed Amounts by Carrier by Date</v>
      </c>
    </row>
    <row r="1692" spans="1:2" x14ac:dyDescent="0.25">
      <c r="A1692" t="s">
        <v>1283</v>
      </c>
      <c r="B1692" t="str">
        <f t="shared" si="55"/>
        <v>&lt;prefix&gt;_&lt;mm&gt;01&lt;yy&gt;_&lt;ar&gt;Graph - Disputed Amounts by dispute types</v>
      </c>
    </row>
    <row r="1693" spans="1:2" x14ac:dyDescent="0.25">
      <c r="A1693" t="s">
        <v>1284</v>
      </c>
      <c r="B1693" t="str">
        <f t="shared" si="55"/>
        <v>&lt;prefix&gt;_&lt;mm&gt;01&lt;yy&gt;_&lt;ar&gt;Graph - Disputed Amounts vs Resolutions</v>
      </c>
    </row>
    <row r="1694" spans="1:2" x14ac:dyDescent="0.25">
      <c r="A1694" t="s">
        <v>1285</v>
      </c>
      <c r="B1694" t="str">
        <f t="shared" si="55"/>
        <v>&lt;prefix&gt;_&lt;mm&gt;01&lt;yy&gt;_&lt;ar&gt;Graph - No. of Disputes by Carrier</v>
      </c>
    </row>
    <row r="1695" spans="1:2" x14ac:dyDescent="0.25">
      <c r="A1695" t="s">
        <v>1286</v>
      </c>
      <c r="B1695" t="str">
        <f t="shared" si="55"/>
        <v>&lt;prefix&gt;_&lt;mm&gt;01&lt;yy&gt;_&lt;ar&gt;Graph - No. of Disputes by Carrier by Date</v>
      </c>
    </row>
    <row r="1696" spans="1:2" x14ac:dyDescent="0.25">
      <c r="A1696" t="s">
        <v>1467</v>
      </c>
      <c r="B1696" t="str">
        <f t="shared" si="55"/>
        <v>&lt;prefix&gt;_&lt;mm&gt;01&lt;yy&gt;_&lt;ar&gt;Invoice Balances Report</v>
      </c>
    </row>
    <row r="1697" spans="1:2" x14ac:dyDescent="0.25">
      <c r="A1697" t="s">
        <v>87</v>
      </c>
      <c r="B1697" t="str">
        <f t="shared" si="55"/>
        <v>&lt;prefix&gt;_&lt;mm&gt;01&lt;yy&gt;_&lt;ar&gt;Invoice Count Report (non-zero balances)</v>
      </c>
    </row>
    <row r="1698" spans="1:2" x14ac:dyDescent="0.25">
      <c r="A1698" t="s">
        <v>1289</v>
      </c>
      <c r="B1698" t="str">
        <f t="shared" si="55"/>
        <v>&lt;prefix&gt;_&lt;mm&gt;01&lt;yy&gt;_&lt;ar&gt;Message Record Analysis</v>
      </c>
    </row>
    <row r="1699" spans="1:2" x14ac:dyDescent="0.25">
      <c r="A1699" t="s">
        <v>1290</v>
      </c>
      <c r="B1699" t="str">
        <f t="shared" si="55"/>
        <v>&lt;prefix&gt;_&lt;mm&gt;01&lt;yy&gt;_&lt;ar&gt;Messages and minutes billed by FG,CIC</v>
      </c>
    </row>
    <row r="1700" spans="1:2" x14ac:dyDescent="0.25">
      <c r="A1700" t="s">
        <v>1291</v>
      </c>
      <c r="B1700" t="str">
        <f t="shared" si="55"/>
        <v>&lt;prefix&gt;_&lt;mm&gt;01&lt;yy&gt;_&lt;ar&gt;Messages and minutes billed by FG,CIC(Local separa</v>
      </c>
    </row>
    <row r="1701" spans="1:2" x14ac:dyDescent="0.25">
      <c r="A1701" t="s">
        <v>1292</v>
      </c>
      <c r="B1701" t="str">
        <f t="shared" si="55"/>
        <v>&lt;prefix&gt;_&lt;mm&gt;01&lt;yy&gt;_&lt;ar&gt;Minutes</v>
      </c>
    </row>
    <row r="1702" spans="1:2" x14ac:dyDescent="0.25">
      <c r="A1702" t="s">
        <v>92</v>
      </c>
      <c r="B1702" t="str">
        <f t="shared" si="55"/>
        <v>&lt;prefix&gt;_&lt;mm&gt;01&lt;yy&gt;_&lt;ar&gt;Minutes and revenue billed by rate element</v>
      </c>
    </row>
    <row r="1703" spans="1:2" x14ac:dyDescent="0.25">
      <c r="A1703" t="s">
        <v>1293</v>
      </c>
      <c r="B1703" t="str">
        <f t="shared" si="55"/>
        <v>&lt;prefix&gt;_&lt;mm&gt;01&lt;yy&gt;_&lt;ar&gt;Minutes billed by BAN, Orig- Term Inter-Intra Stat</v>
      </c>
    </row>
    <row r="1704" spans="1:2" x14ac:dyDescent="0.25">
      <c r="A1704" t="s">
        <v>1294</v>
      </c>
      <c r="B1704" t="str">
        <f t="shared" si="55"/>
        <v>&lt;prefix&gt;_&lt;mm&gt;01&lt;yy&gt;_&lt;ar&gt;Minutes billed by BAN, Orig/ Term Inter/Intra Stat</v>
      </c>
    </row>
    <row r="1705" spans="1:2" x14ac:dyDescent="0.25">
      <c r="A1705" t="s">
        <v>1471</v>
      </c>
      <c r="B1705" t="str">
        <f t="shared" si="55"/>
        <v>&lt;prefix&gt;_&lt;mm&gt;01&lt;yy&gt;_&lt;ar&gt;MSG MOU REV Export - Facility</v>
      </c>
    </row>
    <row r="1706" spans="1:2" x14ac:dyDescent="0.25">
      <c r="A1706" t="s">
        <v>100</v>
      </c>
      <c r="B1706" t="str">
        <f t="shared" si="55"/>
        <v>&lt;prefix&gt;_&lt;mm&gt;01&lt;yy&gt;_&lt;ar&gt;NECA AS1000</v>
      </c>
    </row>
    <row r="1707" spans="1:2" x14ac:dyDescent="0.25">
      <c r="A1707" t="s">
        <v>101</v>
      </c>
      <c r="B1707" t="str">
        <f t="shared" si="55"/>
        <v>&lt;prefix&gt;_&lt;mm&gt;01&lt;yy&gt;_&lt;ar&gt;NECA EC1050</v>
      </c>
    </row>
    <row r="1708" spans="1:2" x14ac:dyDescent="0.25">
      <c r="A1708" t="s">
        <v>1297</v>
      </c>
      <c r="B1708" t="str">
        <f t="shared" ref="B1708:B1739" si="56">"&lt;prefix&gt;_&lt;mm&gt;01&lt;yy&gt;_&lt;ar&gt;"&amp;A1708</f>
        <v>&lt;prefix&gt;_&lt;mm&gt;01&lt;yy&gt;_&lt;ar&gt;Non FA Rate Element as Billed Table Report</v>
      </c>
    </row>
    <row r="1709" spans="1:2" x14ac:dyDescent="0.25">
      <c r="A1709" t="s">
        <v>1298</v>
      </c>
      <c r="B1709" t="str">
        <f t="shared" si="56"/>
        <v>&lt;prefix&gt;_&lt;mm&gt;01&lt;yy&gt;_&lt;ar&gt;OCC Detail Report - Posted</v>
      </c>
    </row>
    <row r="1710" spans="1:2" x14ac:dyDescent="0.25">
      <c r="A1710" t="s">
        <v>1299</v>
      </c>
      <c r="B1710" t="str">
        <f t="shared" si="56"/>
        <v>&lt;prefix&gt;_&lt;mm&gt;01&lt;yy&gt;_&lt;ar&gt;OCC Detail Report - Unposted</v>
      </c>
    </row>
    <row r="1711" spans="1:2" x14ac:dyDescent="0.25">
      <c r="A1711" t="s">
        <v>106</v>
      </c>
      <c r="B1711" t="str">
        <f t="shared" si="56"/>
        <v>&lt;prefix&gt;_&lt;mm&gt;01&lt;yy&gt;_&lt;ar&gt;OCC GL Trans by BAN Report - New</v>
      </c>
    </row>
    <row r="1712" spans="1:2" x14ac:dyDescent="0.25">
      <c r="A1712" t="s">
        <v>1479</v>
      </c>
      <c r="B1712" t="str">
        <f t="shared" si="56"/>
        <v>&lt;prefix&gt;_&lt;mm&gt;01&lt;yy&gt;_&lt;ar&gt;ONVOYV5_Reports_Table</v>
      </c>
    </row>
    <row r="1713" spans="1:2" x14ac:dyDescent="0.25">
      <c r="A1713" t="s">
        <v>1480</v>
      </c>
      <c r="B1713" t="str">
        <f t="shared" si="56"/>
        <v>&lt;prefix&gt;_&lt;mm&gt;01&lt;yy&gt;_&lt;ar&gt;ONVOYV5_Rpt_Argmnt</v>
      </c>
    </row>
    <row r="1714" spans="1:2" x14ac:dyDescent="0.25">
      <c r="A1714" t="s">
        <v>1300</v>
      </c>
      <c r="B1714" t="str">
        <f t="shared" si="56"/>
        <v>&lt;prefix&gt;_&lt;mm&gt;01&lt;yy&gt;_&lt;ar&gt;Partially Paid Invoices</v>
      </c>
    </row>
    <row r="1715" spans="1:2" x14ac:dyDescent="0.25">
      <c r="A1715" t="s">
        <v>1301</v>
      </c>
      <c r="B1715" t="str">
        <f t="shared" si="56"/>
        <v>&lt;prefix&gt;_&lt;mm&gt;01&lt;yy&gt;_&lt;ar&gt;Payment Details by Check</v>
      </c>
    </row>
    <row r="1716" spans="1:2" x14ac:dyDescent="0.25">
      <c r="A1716" t="s">
        <v>107</v>
      </c>
      <c r="B1716" t="str">
        <f t="shared" si="56"/>
        <v>&lt;prefix&gt;_&lt;mm&gt;01&lt;yy&gt;_&lt;ar&gt;Payment Report</v>
      </c>
    </row>
    <row r="1717" spans="1:2" x14ac:dyDescent="0.25">
      <c r="A1717" t="s">
        <v>1302</v>
      </c>
      <c r="B1717" t="str">
        <f t="shared" si="56"/>
        <v>&lt;prefix&gt;_&lt;mm&gt;01&lt;yy&gt;_&lt;ar&gt;Payments by Payer by BAN</v>
      </c>
    </row>
    <row r="1718" spans="1:2" x14ac:dyDescent="0.25">
      <c r="A1718" t="s">
        <v>1303</v>
      </c>
      <c r="B1718" t="str">
        <f t="shared" si="56"/>
        <v>&lt;prefix&gt;_&lt;mm&gt;01&lt;yy&gt;_&lt;ar&gt;Payments Not on Bill</v>
      </c>
    </row>
    <row r="1719" spans="1:2" x14ac:dyDescent="0.25">
      <c r="A1719" t="s">
        <v>1304</v>
      </c>
      <c r="B1719" t="str">
        <f t="shared" si="56"/>
        <v>&lt;prefix&gt;_&lt;mm&gt;01&lt;yy&gt;_&lt;ar&gt;Percent of disputes/billed per month/year</v>
      </c>
    </row>
    <row r="1720" spans="1:2" x14ac:dyDescent="0.25">
      <c r="A1720" t="s">
        <v>1305</v>
      </c>
      <c r="B1720" t="str">
        <f t="shared" si="56"/>
        <v>&lt;prefix&gt;_&lt;mm&gt;01&lt;yy&gt;_&lt;ar&gt;Percent of disputes/billed per qtr/year</v>
      </c>
    </row>
    <row r="1721" spans="1:2" x14ac:dyDescent="0.25">
      <c r="A1721" t="s">
        <v>1306</v>
      </c>
      <c r="B1721" t="str">
        <f t="shared" si="56"/>
        <v>&lt;prefix&gt;_&lt;mm&gt;01&lt;yy&gt;_&lt;ar&gt;Percent of disputes-billed per month-year</v>
      </c>
    </row>
    <row r="1722" spans="1:2" x14ac:dyDescent="0.25">
      <c r="A1722" t="s">
        <v>1307</v>
      </c>
      <c r="B1722" t="str">
        <f t="shared" si="56"/>
        <v>&lt;prefix&gt;_&lt;mm&gt;01&lt;yy&gt;_&lt;ar&gt;Percent of disputes-billed per qtr-year</v>
      </c>
    </row>
    <row r="1723" spans="1:2" x14ac:dyDescent="0.25">
      <c r="A1723" t="s">
        <v>1308</v>
      </c>
      <c r="B1723" t="str">
        <f t="shared" si="56"/>
        <v>&lt;prefix&gt;_&lt;mm&gt;01&lt;yy&gt;_&lt;ar&gt;Post billing rate change adj. calc. - FA</v>
      </c>
    </row>
    <row r="1724" spans="1:2" x14ac:dyDescent="0.25">
      <c r="A1724" t="s">
        <v>1309</v>
      </c>
      <c r="B1724" t="str">
        <f t="shared" si="56"/>
        <v>&lt;prefix&gt;_&lt;mm&gt;01&lt;yy&gt;_&lt;ar&gt;Post billing rate change adj. calc. - SW</v>
      </c>
    </row>
    <row r="1725" spans="1:2" x14ac:dyDescent="0.25">
      <c r="A1725" t="s">
        <v>1310</v>
      </c>
      <c r="B1725" t="str">
        <f t="shared" si="56"/>
        <v>&lt;prefix&gt;_&lt;mm&gt;01&lt;yy&gt;_&lt;ar&gt;Rate Element Table Report</v>
      </c>
    </row>
    <row r="1726" spans="1:2" x14ac:dyDescent="0.25">
      <c r="A1726" t="s">
        <v>1311</v>
      </c>
      <c r="B1726" t="str">
        <f t="shared" si="56"/>
        <v>&lt;prefix&gt;_&lt;mm&gt;01&lt;yy&gt;_&lt;ar&gt;Reconciliation of account balance over time</v>
      </c>
    </row>
    <row r="1727" spans="1:2" x14ac:dyDescent="0.25">
      <c r="A1727" t="s">
        <v>1312</v>
      </c>
      <c r="B1727" t="str">
        <f t="shared" si="56"/>
        <v>&lt;prefix&gt;_&lt;mm&gt;01&lt;yy&gt;_&lt;ar&gt;Resolved Disputes by carrier</v>
      </c>
    </row>
    <row r="1728" spans="1:2" x14ac:dyDescent="0.25">
      <c r="A1728" t="s">
        <v>1313</v>
      </c>
      <c r="B1728" t="str">
        <f t="shared" si="56"/>
        <v>&lt;prefix&gt;_&lt;mm&gt;01&lt;yy&gt;_&lt;ar&gt;Revenue</v>
      </c>
    </row>
    <row r="1729" spans="1:2" x14ac:dyDescent="0.25">
      <c r="A1729" t="s">
        <v>1314</v>
      </c>
      <c r="B1729" t="str">
        <f t="shared" si="56"/>
        <v>&lt;prefix&gt;_&lt;mm&gt;01&lt;yy&gt;_&lt;ar&gt;Revenue billed by BAN, Inter/Intra State</v>
      </c>
    </row>
    <row r="1730" spans="1:2" x14ac:dyDescent="0.25">
      <c r="A1730" t="s">
        <v>1315</v>
      </c>
      <c r="B1730" t="str">
        <f t="shared" si="56"/>
        <v>&lt;prefix&gt;_&lt;mm&gt;01&lt;yy&gt;_&lt;ar&gt;Revenue billed by BAN, Inter-Intra State</v>
      </c>
    </row>
    <row r="1731" spans="1:2" x14ac:dyDescent="0.25">
      <c r="A1731" t="s">
        <v>1316</v>
      </c>
      <c r="B1731" t="str">
        <f t="shared" si="56"/>
        <v>&lt;prefix&gt;_&lt;mm&gt;01&lt;yy&gt;_&lt;ar&gt;Security Report by User</v>
      </c>
    </row>
    <row r="1732" spans="1:2" x14ac:dyDescent="0.25">
      <c r="A1732" t="s">
        <v>1317</v>
      </c>
      <c r="B1732" t="str">
        <f t="shared" si="56"/>
        <v>&lt;prefix&gt;_&lt;mm&gt;01&lt;yy&gt;_&lt;ar&gt;Security Report by Window</v>
      </c>
    </row>
    <row r="1733" spans="1:2" x14ac:dyDescent="0.25">
      <c r="A1733" t="s">
        <v>1318</v>
      </c>
      <c r="B1733" t="str">
        <f t="shared" si="56"/>
        <v>&lt;prefix&gt;_&lt;mm&gt;01&lt;yy&gt;_&lt;ar&gt;SOC Jurisdiction Table Report</v>
      </c>
    </row>
    <row r="1734" spans="1:2" x14ac:dyDescent="0.25">
      <c r="A1734" t="s">
        <v>1319</v>
      </c>
      <c r="B1734" t="str">
        <f t="shared" si="56"/>
        <v>&lt;prefix&gt;_&lt;mm&gt;01&lt;yy&gt;_&lt;ar&gt;SOC Rate Comparison between companies</v>
      </c>
    </row>
    <row r="1735" spans="1:2" x14ac:dyDescent="0.25">
      <c r="A1735" t="s">
        <v>1320</v>
      </c>
      <c r="B1735" t="str">
        <f t="shared" si="56"/>
        <v>&lt;prefix&gt;_&lt;mm&gt;01&lt;yy&gt;_&lt;ar&gt;SOC Tariff Table Report</v>
      </c>
    </row>
    <row r="1736" spans="1:2" x14ac:dyDescent="0.25">
      <c r="A1736" t="s">
        <v>1472</v>
      </c>
      <c r="B1736" t="str">
        <f t="shared" si="56"/>
        <v>&lt;prefix&gt;_&lt;mm&gt;01&lt;yy&gt;_&lt;ar&gt;SOCs on BANs</v>
      </c>
    </row>
    <row r="1737" spans="1:2" x14ac:dyDescent="0.25">
      <c r="A1737" t="s">
        <v>1321</v>
      </c>
      <c r="B1737" t="str">
        <f t="shared" si="56"/>
        <v>&lt;prefix&gt;_&lt;mm&gt;01&lt;yy&gt;_&lt;ar&gt;Summary of Adjustments Report</v>
      </c>
    </row>
    <row r="1738" spans="1:2" x14ac:dyDescent="0.25">
      <c r="A1738" t="s">
        <v>1322</v>
      </c>
      <c r="B1738" t="str">
        <f t="shared" si="56"/>
        <v>&lt;prefix&gt;_&lt;mm&gt;01&lt;yy&gt;_&lt;ar&gt;Summary of OCCs Report</v>
      </c>
    </row>
    <row r="1739" spans="1:2" x14ac:dyDescent="0.25">
      <c r="A1739" t="s">
        <v>120</v>
      </c>
      <c r="B1739" t="str">
        <f t="shared" si="56"/>
        <v>&lt;prefix&gt;_&lt;mm&gt;01&lt;yy&gt;_&lt;ar&gt;SW Usage Charges Summary</v>
      </c>
    </row>
    <row r="1740" spans="1:2" x14ac:dyDescent="0.25">
      <c r="A1740" t="s">
        <v>1323</v>
      </c>
      <c r="B1740" t="str">
        <f t="shared" ref="B1740:B1765" si="57">"&lt;prefix&gt;_&lt;mm&gt;01&lt;yy&gt;_&lt;ar&gt;"&amp;A1740</f>
        <v>&lt;prefix&gt;_&lt;mm&gt;01&lt;yy&gt;_&lt;ar&gt;SW Usage Charges Summary by CLLI</v>
      </c>
    </row>
    <row r="1741" spans="1:2" x14ac:dyDescent="0.25">
      <c r="A1741" t="s">
        <v>1324</v>
      </c>
      <c r="B1741" t="str">
        <f t="shared" si="57"/>
        <v>&lt;prefix&gt;_&lt;mm&gt;01&lt;yy&gt;_&lt;ar&gt;SW Usage Statistics Summary</v>
      </c>
    </row>
    <row r="1742" spans="1:2" x14ac:dyDescent="0.25">
      <c r="A1742" t="s">
        <v>125</v>
      </c>
      <c r="B1742" t="str">
        <f t="shared" si="57"/>
        <v>&lt;prefix&gt;_&lt;mm&gt;01&lt;yy&gt;_&lt;ar&gt;Switched BANS Trending Report - New</v>
      </c>
    </row>
    <row r="1743" spans="1:2" x14ac:dyDescent="0.25">
      <c r="A1743" t="s">
        <v>1326</v>
      </c>
      <c r="B1743" t="str">
        <f t="shared" si="57"/>
        <v>&lt;prefix&gt;_&lt;mm&gt;01&lt;yy&gt;_&lt;ar&gt;Switched Billing Account - Factor Report</v>
      </c>
    </row>
    <row r="1744" spans="1:2" x14ac:dyDescent="0.25">
      <c r="A1744" t="s">
        <v>1327</v>
      </c>
      <c r="B1744" t="str">
        <f t="shared" si="57"/>
        <v>&lt;prefix&gt;_&lt;mm&gt;01&lt;yy&gt;_&lt;ar&gt;Switched Billing Account - SOC Report</v>
      </c>
    </row>
    <row r="1745" spans="1:2" x14ac:dyDescent="0.25">
      <c r="A1745" t="s">
        <v>1328</v>
      </c>
      <c r="B1745" t="str">
        <f t="shared" si="57"/>
        <v>&lt;prefix&gt;_&lt;mm&gt;01&lt;yy&gt;_&lt;ar&gt;Switched Billing Account - Wire Center Report</v>
      </c>
    </row>
    <row r="1746" spans="1:2" x14ac:dyDescent="0.25">
      <c r="A1746" t="s">
        <v>1329</v>
      </c>
      <c r="B1746" t="str">
        <f t="shared" si="57"/>
        <v>&lt;prefix&gt;_&lt;mm&gt;01&lt;yy&gt;_&lt;ar&gt;Tariff Element Tracking</v>
      </c>
    </row>
    <row r="1747" spans="1:2" x14ac:dyDescent="0.25">
      <c r="A1747" t="s">
        <v>619</v>
      </c>
      <c r="B1747" t="str">
        <f t="shared" si="57"/>
        <v>&lt;prefix&gt;_&lt;mm&gt;01&lt;yy&gt;_&lt;ar&gt;Transaction Detail Listing</v>
      </c>
    </row>
    <row r="1748" spans="1:2" x14ac:dyDescent="0.25">
      <c r="A1748" t="s">
        <v>616</v>
      </c>
      <c r="B1748" t="str">
        <f t="shared" si="57"/>
        <v>&lt;prefix&gt;_&lt;mm&gt;01&lt;yy&gt;_&lt;ar&gt;Transaction Summary</v>
      </c>
    </row>
    <row r="1749" spans="1:2" x14ac:dyDescent="0.25">
      <c r="A1749" t="s">
        <v>1331</v>
      </c>
      <c r="B1749" t="str">
        <f t="shared" si="57"/>
        <v>&lt;prefix&gt;_&lt;mm&gt;01&lt;yy&gt;_&lt;ar&gt;Transaction Summary - adjustments only</v>
      </c>
    </row>
    <row r="1750" spans="1:2" x14ac:dyDescent="0.25">
      <c r="A1750" t="s">
        <v>1332</v>
      </c>
      <c r="B1750" t="str">
        <f t="shared" si="57"/>
        <v>&lt;prefix&gt;_&lt;mm&gt;01&lt;yy&gt;_&lt;ar&gt;Transaction Summary - receipts only</v>
      </c>
    </row>
    <row r="1751" spans="1:2" x14ac:dyDescent="0.25">
      <c r="A1751" t="s">
        <v>1333</v>
      </c>
      <c r="B1751" t="str">
        <f t="shared" si="57"/>
        <v>&lt;prefix&gt;_&lt;mm&gt;01&lt;yy&gt;_&lt;ar&gt;Transaction Summary by transaction/bill type</v>
      </c>
    </row>
    <row r="1752" spans="1:2" x14ac:dyDescent="0.25">
      <c r="A1752" t="s">
        <v>1334</v>
      </c>
      <c r="B1752" t="str">
        <f t="shared" si="57"/>
        <v xml:space="preserve">&lt;prefix&gt;_&lt;mm&gt;01&lt;yy&gt;_&lt;ar&gt;Transaction Summary by transaction/bill type </v>
      </c>
    </row>
    <row r="1753" spans="1:2" x14ac:dyDescent="0.25">
      <c r="A1753" t="s">
        <v>1335</v>
      </c>
      <c r="B1753" t="str">
        <f t="shared" si="57"/>
        <v>&lt;prefix&gt;_&lt;mm&gt;01&lt;yy&gt;_&lt;ar&gt;Transaction Summary by transaction-bill type</v>
      </c>
    </row>
    <row r="1754" spans="1:2" x14ac:dyDescent="0.25">
      <c r="A1754" t="s">
        <v>129</v>
      </c>
      <c r="B1754" t="str">
        <f t="shared" si="57"/>
        <v>&lt;prefix&gt;_&lt;mm&gt;01&lt;yy&gt;_&lt;ar&gt;Transaction Summary Report - New</v>
      </c>
    </row>
    <row r="1755" spans="1:2" x14ac:dyDescent="0.25">
      <c r="A1755" t="s">
        <v>1336</v>
      </c>
      <c r="B1755" t="str">
        <f t="shared" si="57"/>
        <v>&lt;prefix&gt;_&lt;mm&gt;01&lt;yy&gt;_&lt;ar&gt;Unposted Adjustments</v>
      </c>
    </row>
    <row r="1756" spans="1:2" x14ac:dyDescent="0.25">
      <c r="A1756" t="s">
        <v>1337</v>
      </c>
      <c r="B1756" t="str">
        <f t="shared" si="57"/>
        <v>&lt;prefix&gt;_&lt;mm&gt;01&lt;yy&gt;_&lt;ar&gt;Unresolved Disputes by Carrier by code</v>
      </c>
    </row>
    <row r="1757" spans="1:2" x14ac:dyDescent="0.25">
      <c r="A1757" t="s">
        <v>1338</v>
      </c>
      <c r="B1757" t="str">
        <f t="shared" si="57"/>
        <v>&lt;prefix&gt;_&lt;mm&gt;01&lt;yy&gt;_&lt;ar&gt;Unresolved Disputes by Carrier by month</v>
      </c>
    </row>
    <row r="1758" spans="1:2" x14ac:dyDescent="0.25">
      <c r="A1758" t="s">
        <v>1339</v>
      </c>
      <c r="B1758" t="str">
        <f t="shared" si="57"/>
        <v>&lt;prefix&gt;_&lt;mm&gt;01&lt;yy&gt;_&lt;ar&gt;Usage Balancing - Company Totals</v>
      </c>
    </row>
    <row r="1759" spans="1:2" x14ac:dyDescent="0.25">
      <c r="A1759" t="s">
        <v>41</v>
      </c>
      <c r="B1759" t="str">
        <f t="shared" si="57"/>
        <v>&lt;prefix&gt;_&lt;mm&gt;01&lt;yy&gt;_&lt;ar&gt;Usage Balancing - Company Totals with Full Detail</v>
      </c>
    </row>
    <row r="1760" spans="1:2" x14ac:dyDescent="0.25">
      <c r="A1760" t="s">
        <v>1340</v>
      </c>
      <c r="B1760" t="str">
        <f t="shared" si="57"/>
        <v>&lt;prefix&gt;_&lt;mm&gt;01&lt;yy&gt;_&lt;ar&gt;Usage Balancing - Company, Ban, Clli Totals</v>
      </c>
    </row>
    <row r="1761" spans="1:4" x14ac:dyDescent="0.25">
      <c r="A1761" t="s">
        <v>1341</v>
      </c>
      <c r="B1761" t="str">
        <f t="shared" si="57"/>
        <v>&lt;prefix&gt;_&lt;mm&gt;01&lt;yy&gt;_&lt;ar&gt;Usage Balancing - Company, Ban, Clli, TT Totals</v>
      </c>
    </row>
    <row r="1762" spans="1:4" x14ac:dyDescent="0.25">
      <c r="A1762" t="s">
        <v>543</v>
      </c>
      <c r="B1762" t="str">
        <f t="shared" si="57"/>
        <v>&lt;prefix&gt;_&lt;mm&gt;01&lt;yy&gt;_&lt;ar&gt;Usage by Day Report</v>
      </c>
    </row>
    <row r="1763" spans="1:4" x14ac:dyDescent="0.25">
      <c r="A1763" t="s">
        <v>1342</v>
      </c>
      <c r="B1763" t="str">
        <f t="shared" si="57"/>
        <v>&lt;prefix&gt;_&lt;mm&gt;01&lt;yy&gt;_&lt;ar&gt;Usage Totaling Rule</v>
      </c>
    </row>
    <row r="1764" spans="1:4" x14ac:dyDescent="0.25">
      <c r="A1764" t="s">
        <v>1343</v>
      </c>
      <c r="B1764" t="str">
        <f t="shared" si="57"/>
        <v>&lt;prefix&gt;_&lt;mm&gt;01&lt;yy&gt;_&lt;ar&gt;Wire Center Mileage Segment Report</v>
      </c>
    </row>
    <row r="1765" spans="1:4" x14ac:dyDescent="0.25">
      <c r="A1765" t="s">
        <v>1344</v>
      </c>
      <c r="B1765" t="str">
        <f t="shared" si="57"/>
        <v>&lt;prefix&gt;_&lt;mm&gt;01&lt;yy&gt;_&lt;ar&gt;Wire Center Report</v>
      </c>
    </row>
    <row r="1766" spans="1:4" x14ac:dyDescent="0.25">
      <c r="A1766" s="2" t="s">
        <v>12</v>
      </c>
      <c r="B1766" s="2" t="str">
        <f>"&lt;prefix&gt;_&lt;mm&gt;-05-&lt;yy&gt;_&lt;ar&gt;"&amp;A1766</f>
        <v>&lt;prefix&gt;_&lt;mm&gt;-05-&lt;yy&gt;_&lt;ar&gt;AUR History Stats Report</v>
      </c>
      <c r="C1766" s="2" t="s">
        <v>1148</v>
      </c>
      <c r="D1766" s="12">
        <v>1</v>
      </c>
    </row>
    <row r="1767" spans="1:4" x14ac:dyDescent="0.25">
      <c r="A1767" s="13" t="s">
        <v>20</v>
      </c>
      <c r="B1767" s="13" t="s">
        <v>1149</v>
      </c>
      <c r="C1767" s="13" t="s">
        <v>1150</v>
      </c>
      <c r="D1767" s="22">
        <v>2</v>
      </c>
    </row>
    <row r="1768" spans="1:4" x14ac:dyDescent="0.25">
      <c r="A1768" s="14" t="s">
        <v>22</v>
      </c>
      <c r="B1768" s="14" t="str">
        <f>"&lt;prefix&gt;_&lt;mm&gt;-05-&lt;yy&gt;_&lt;ar&gt;"&amp;A1768</f>
        <v>&lt;prefix&gt;_&lt;mm&gt;-05-&lt;yy&gt;_&lt;ar&gt;Detailed CLLI Error Report</v>
      </c>
      <c r="C1768" s="14" t="s">
        <v>1151</v>
      </c>
      <c r="D1768" s="12">
        <v>3</v>
      </c>
    </row>
    <row r="1769" spans="1:4" x14ac:dyDescent="0.25">
      <c r="A1769" s="2" t="s">
        <v>29</v>
      </c>
      <c r="B1769" s="2" t="str">
        <f>"&lt;prefix&gt;_&lt;mm&gt;-05-&lt;yy&gt;_&lt;ar&gt;"&amp;A1769</f>
        <v>&lt;prefix&gt;_&lt;mm&gt;-05-&lt;yy&gt;_&lt;ar&gt;Exception Analysis Report</v>
      </c>
      <c r="C1769" s="2" t="s">
        <v>1152</v>
      </c>
      <c r="D1769" s="12">
        <v>4</v>
      </c>
    </row>
    <row r="1770" spans="1:4" x14ac:dyDescent="0.25">
      <c r="A1770" s="3" t="s">
        <v>47</v>
      </c>
      <c r="B1770" s="3" t="s">
        <v>1153</v>
      </c>
      <c r="C1770" s="3" t="s">
        <v>1154</v>
      </c>
      <c r="D1770" s="22">
        <v>5</v>
      </c>
    </row>
    <row r="1771" spans="1:4" x14ac:dyDescent="0.25">
      <c r="A1771" s="2" t="s">
        <v>27</v>
      </c>
      <c r="B1771" s="2" t="str">
        <f>"&lt;prefix&gt;_&lt;mm&gt;-05-&lt;yy&gt;_&lt;ar&gt;"&amp;A1771</f>
        <v>&lt;prefix&gt;_&lt;mm&gt;-05-&lt;yy&gt;_&lt;ar&gt;Duplicate File Processing Report</v>
      </c>
      <c r="C1771" s="2" t="s">
        <v>1155</v>
      </c>
      <c r="D1771" s="12">
        <v>6</v>
      </c>
    </row>
    <row r="1772" spans="1:4" x14ac:dyDescent="0.25">
      <c r="A1772" s="2" t="s">
        <v>45</v>
      </c>
      <c r="B1772" s="2" t="str">
        <f>"&lt;prefix&gt;_&lt;mm&gt;-05-&lt;yy&gt;_&lt;ar&gt;"&amp;A1772</f>
        <v>&lt;prefix&gt;_&lt;mm&gt;-05-&lt;yy&gt;_&lt;ar&gt;Usage Verify by Size Report</v>
      </c>
      <c r="C1772" s="2" t="s">
        <v>1156</v>
      </c>
      <c r="D1772" s="12">
        <v>7</v>
      </c>
    </row>
    <row r="1773" spans="1:4" x14ac:dyDescent="0.25">
      <c r="A1773" s="2" t="s">
        <v>543</v>
      </c>
      <c r="B1773" s="2" t="str">
        <f>"&lt;prefix&gt;_&lt;mm&gt;-05-&lt;yy&gt;_&lt;ar&gt;"&amp;A1773</f>
        <v>&lt;prefix&gt;_&lt;mm&gt;-05-&lt;yy&gt;_&lt;ar&gt;Usage by Day Report</v>
      </c>
      <c r="C1773" s="23" t="s">
        <v>1157</v>
      </c>
      <c r="D1773" s="12">
        <v>8</v>
      </c>
    </row>
    <row r="1774" spans="1:4" x14ac:dyDescent="0.25">
      <c r="A1774" s="3" t="s">
        <v>43</v>
      </c>
      <c r="B1774" s="3" t="s">
        <v>1158</v>
      </c>
      <c r="C1774" s="3" t="s">
        <v>1159</v>
      </c>
      <c r="D1774" s="22">
        <v>9</v>
      </c>
    </row>
    <row r="1775" spans="1:4" x14ac:dyDescent="0.25">
      <c r="A1775" s="3" t="s">
        <v>107</v>
      </c>
      <c r="B1775" s="3" t="s">
        <v>1160</v>
      </c>
      <c r="C1775" s="35" t="s">
        <v>1161</v>
      </c>
      <c r="D1775" s="22">
        <v>10</v>
      </c>
    </row>
    <row r="1776" spans="1:4" x14ac:dyDescent="0.25">
      <c r="A1776" s="2" t="s">
        <v>32</v>
      </c>
      <c r="B1776" s="2" t="str">
        <f>"&lt;prefix&gt;_&lt;mm&gt;-05-&lt;yy&gt;_&lt;ar&gt;"&amp;A1776</f>
        <v>&lt;prefix&gt;_&lt;mm&gt;-05-&lt;yy&gt;_&lt;ar&gt;Factor Change Audit Report</v>
      </c>
      <c r="C1776" s="2" t="s">
        <v>1162</v>
      </c>
      <c r="D1776" s="12">
        <v>11</v>
      </c>
    </row>
    <row r="1777" spans="1:4" x14ac:dyDescent="0.25">
      <c r="A1777" s="2" t="s">
        <v>7</v>
      </c>
      <c r="B1777" s="2" t="str">
        <f>"&lt;prefix&gt;_&lt;mm&gt;-05-&lt;yy&gt;_&lt;ar&gt;"&amp;A1777</f>
        <v>&lt;prefix&gt;_&lt;mm&gt;-05-&lt;yy&gt;_&lt;ar&gt;Adjustments Not Posted Report</v>
      </c>
      <c r="C1777" s="2" t="s">
        <v>1163</v>
      </c>
      <c r="D1777" s="12">
        <v>11</v>
      </c>
    </row>
    <row r="1778" spans="1:4" x14ac:dyDescent="0.25">
      <c r="A1778" s="3" t="s">
        <v>37</v>
      </c>
      <c r="B1778" s="3" t="s">
        <v>1164</v>
      </c>
      <c r="C1778" s="3" t="s">
        <v>1165</v>
      </c>
      <c r="D1778" s="22">
        <v>12</v>
      </c>
    </row>
    <row r="1779" spans="1:4" x14ac:dyDescent="0.25">
      <c r="A1779" s="2" t="s">
        <v>39</v>
      </c>
      <c r="B1779" s="2" t="str">
        <f>"&lt;prefix&gt;_&lt;mm&gt;-05-&lt;yy&gt;_&lt;ar&gt;"&amp;A1779</f>
        <v>&lt;prefix&gt;_&lt;mm&gt;-05-&lt;yy&gt;_&lt;ar&gt;SOC Change Audit Report</v>
      </c>
      <c r="C1779" s="2" t="s">
        <v>1166</v>
      </c>
      <c r="D1779" s="12">
        <v>13</v>
      </c>
    </row>
    <row r="1780" spans="1:4" x14ac:dyDescent="0.25">
      <c r="A1780" s="2" t="s">
        <v>16</v>
      </c>
      <c r="B1780" s="2" t="str">
        <f>"&lt;prefix&gt;_&lt;mm&gt;-05-&lt;yy&gt;_&lt;ar&gt;"&amp;A1780</f>
        <v>&lt;prefix&gt;_&lt;mm&gt;-05-&lt;yy&gt;_&lt;ar&gt;Bill Completion Check Report</v>
      </c>
      <c r="C1780" s="2" t="s">
        <v>1167</v>
      </c>
      <c r="D1780" s="12">
        <v>14</v>
      </c>
    </row>
    <row r="1781" spans="1:4" x14ac:dyDescent="0.25">
      <c r="A1781" s="3" t="s">
        <v>38</v>
      </c>
      <c r="B1781" s="3" t="s">
        <v>1168</v>
      </c>
      <c r="C1781" s="3" t="s">
        <v>1169</v>
      </c>
      <c r="D1781" s="22">
        <v>15</v>
      </c>
    </row>
    <row r="1782" spans="1:4" x14ac:dyDescent="0.25">
      <c r="A1782" s="5" t="s">
        <v>122</v>
      </c>
      <c r="B1782" s="5" t="str">
        <f>"&lt;prefix&gt;_&lt;mm&gt;-05-&lt;yy&gt;_&lt;ar&gt;"&amp;A1782</f>
        <v>&lt;prefix&gt;_&lt;mm&gt;-05-&lt;yy&gt;_&lt;ar&gt;Switched BANS Trending Report</v>
      </c>
      <c r="C1782" s="5" t="s">
        <v>1170</v>
      </c>
      <c r="D1782" s="12">
        <v>16</v>
      </c>
    </row>
    <row r="1783" spans="1:4" x14ac:dyDescent="0.25">
      <c r="A1783" s="2" t="s">
        <v>112</v>
      </c>
      <c r="B1783" s="2" t="str">
        <f>"&lt;prefix&gt;_&lt;mm&gt;-05-&lt;yy&gt;_&lt;ar&gt;"&amp;A1783</f>
        <v>&lt;prefix&gt;_&lt;mm&gt;-05-&lt;yy&gt;_&lt;ar&gt;Revenue Analysis</v>
      </c>
      <c r="C1783" s="2" t="s">
        <v>1171</v>
      </c>
      <c r="D1783" s="12">
        <v>17</v>
      </c>
    </row>
    <row r="1784" spans="1:4" x14ac:dyDescent="0.25">
      <c r="A1784" s="3" t="s">
        <v>23</v>
      </c>
      <c r="B1784" s="3" t="s">
        <v>1172</v>
      </c>
      <c r="C1784" s="3" t="s">
        <v>1173</v>
      </c>
      <c r="D1784" s="22">
        <v>18</v>
      </c>
    </row>
    <row r="1785" spans="1:4" x14ac:dyDescent="0.25">
      <c r="A1785" s="8" t="s">
        <v>49</v>
      </c>
      <c r="B1785" s="8" t="s">
        <v>1174</v>
      </c>
      <c r="C1785" s="8" t="s">
        <v>1175</v>
      </c>
      <c r="D1785" s="22">
        <v>19</v>
      </c>
    </row>
    <row r="1786" spans="1:4" x14ac:dyDescent="0.25">
      <c r="A1786" s="3" t="s">
        <v>95</v>
      </c>
      <c r="B1786" s="3" t="s">
        <v>1176</v>
      </c>
      <c r="C1786" s="3" t="s">
        <v>1177</v>
      </c>
      <c r="D1786" s="22">
        <v>20</v>
      </c>
    </row>
    <row r="1787" spans="1:4" x14ac:dyDescent="0.25">
      <c r="A1787" s="3" t="s">
        <v>127</v>
      </c>
      <c r="B1787" s="3" t="s">
        <v>1178</v>
      </c>
      <c r="C1787" s="3" t="s">
        <v>1179</v>
      </c>
      <c r="D1787" s="22">
        <v>21</v>
      </c>
    </row>
    <row r="1788" spans="1:4" x14ac:dyDescent="0.25">
      <c r="A1788" s="3" t="s">
        <v>13</v>
      </c>
      <c r="B1788" s="3" t="s">
        <v>1180</v>
      </c>
      <c r="C1788" s="3" t="s">
        <v>1181</v>
      </c>
      <c r="D1788" s="22">
        <v>22</v>
      </c>
    </row>
    <row r="1789" spans="1:4" x14ac:dyDescent="0.25">
      <c r="A1789" s="3" t="s">
        <v>102</v>
      </c>
      <c r="B1789" s="3" t="s">
        <v>1182</v>
      </c>
      <c r="C1789" s="3" t="s">
        <v>1183</v>
      </c>
      <c r="D1789" s="22">
        <v>23</v>
      </c>
    </row>
    <row r="1790" spans="1:4" x14ac:dyDescent="0.25">
      <c r="A1790" s="3" t="s">
        <v>140</v>
      </c>
      <c r="B1790" s="3" t="s">
        <v>1184</v>
      </c>
      <c r="C1790" s="3" t="s">
        <v>1185</v>
      </c>
      <c r="D1790" s="22">
        <v>24</v>
      </c>
    </row>
    <row r="1791" spans="1:4" x14ac:dyDescent="0.25">
      <c r="A1791" s="3" t="s">
        <v>85</v>
      </c>
      <c r="B1791" s="3" t="s">
        <v>1186</v>
      </c>
      <c r="C1791" s="3" t="s">
        <v>1187</v>
      </c>
      <c r="D1791" s="22">
        <v>25</v>
      </c>
    </row>
    <row r="1792" spans="1:4" x14ac:dyDescent="0.25">
      <c r="A1792" s="6" t="s">
        <v>30</v>
      </c>
      <c r="B1792" s="6" t="s">
        <v>1188</v>
      </c>
      <c r="C1792" s="6" t="s">
        <v>170</v>
      </c>
      <c r="D1792" s="22">
        <v>26</v>
      </c>
    </row>
    <row r="1793" spans="1:4" x14ac:dyDescent="0.25">
      <c r="A1793" s="7" t="s">
        <v>46</v>
      </c>
      <c r="B1793" s="7" t="str">
        <f>"&lt;prefix&gt;_&lt;mm&gt;-05-&lt;yy&gt;_&lt;ar&gt;"&amp;A1793</f>
        <v>&lt;prefix&gt;_&lt;mm&gt;-05-&lt;yy&gt;_&lt;ar&gt;Billed by Period Report</v>
      </c>
      <c r="C1793" s="7" t="s">
        <v>170</v>
      </c>
      <c r="D1793" s="12">
        <v>27</v>
      </c>
    </row>
    <row r="1794" spans="1:4" x14ac:dyDescent="0.25">
      <c r="A1794" s="7" t="s">
        <v>80</v>
      </c>
      <c r="B1794" s="7" t="str">
        <f>"&lt;prefix&gt;_&lt;mm&gt;-05-&lt;yy&gt;_&lt;ar&gt;"&amp;A1794</f>
        <v>&lt;prefix&gt;_&lt;mm&gt;-05-&lt;yy&gt;_&lt;ar&gt;GL Extract</v>
      </c>
      <c r="C1794" s="7" t="s">
        <v>170</v>
      </c>
      <c r="D1794" s="12">
        <v>28</v>
      </c>
    </row>
    <row r="1795" spans="1:4" x14ac:dyDescent="0.25">
      <c r="A1795" s="6" t="s">
        <v>54</v>
      </c>
      <c r="B1795" s="6" t="s">
        <v>1189</v>
      </c>
      <c r="C1795" s="6" t="s">
        <v>170</v>
      </c>
      <c r="D1795" s="22">
        <v>29</v>
      </c>
    </row>
    <row r="1796" spans="1:4" x14ac:dyDescent="0.25">
      <c r="A1796" s="6" t="s">
        <v>93</v>
      </c>
      <c r="B1796" s="6" t="s">
        <v>1190</v>
      </c>
      <c r="C1796" s="6" t="s">
        <v>170</v>
      </c>
      <c r="D1796" s="22">
        <v>30</v>
      </c>
    </row>
    <row r="1797" spans="1:4" x14ac:dyDescent="0.25">
      <c r="A1797" s="6" t="s">
        <v>110</v>
      </c>
      <c r="B1797" s="6" t="s">
        <v>1191</v>
      </c>
      <c r="C1797" s="6" t="s">
        <v>170</v>
      </c>
      <c r="D1797" s="22">
        <v>31</v>
      </c>
    </row>
    <row r="1798" spans="1:4" x14ac:dyDescent="0.25">
      <c r="A1798" s="7" t="s">
        <v>115</v>
      </c>
      <c r="B1798" s="7" t="str">
        <f>"&lt;prefix&gt;_&lt;mm&gt;-05-&lt;yy&gt;_&lt;ar&gt;"&amp;A1798</f>
        <v>&lt;prefix&gt;_&lt;mm&gt;-05-&lt;yy&gt;_&lt;ar&gt;SOC Jurisdiction Report</v>
      </c>
      <c r="C1798" s="7" t="s">
        <v>170</v>
      </c>
      <c r="D1798" s="12">
        <v>32</v>
      </c>
    </row>
    <row r="1799" spans="1:4" x14ac:dyDescent="0.25">
      <c r="A1799" s="7" t="s">
        <v>126</v>
      </c>
      <c r="B1799" s="7" t="str">
        <f>"&lt;prefix&gt;_&lt;mm&gt;-05-&lt;yy&gt;_&lt;ar&gt;"&amp;A1799</f>
        <v>&lt;prefix&gt;_&lt;mm&gt;-05-&lt;yy&gt;_&lt;ar&gt;Threshold Report by Period</v>
      </c>
      <c r="C1799" s="7" t="s">
        <v>170</v>
      </c>
      <c r="D1799" s="12">
        <v>32</v>
      </c>
    </row>
    <row r="1800" spans="1:4" x14ac:dyDescent="0.25">
      <c r="A1800" s="7" t="s">
        <v>111</v>
      </c>
      <c r="B1800" s="7" t="str">
        <f>"&lt;prefix&gt;_&lt;mm&gt;-05-&lt;yy&gt;_&lt;ar&gt;"&amp;A1800</f>
        <v>&lt;prefix&gt;_&lt;mm&gt;-05-&lt;yy&gt;_&lt;ar&gt;Rev Analysis by CLLI</v>
      </c>
      <c r="C1800" s="7" t="s">
        <v>170</v>
      </c>
      <c r="D1800" s="12"/>
    </row>
    <row r="1801" spans="1:4" x14ac:dyDescent="0.25">
      <c r="A1801" s="15" t="s">
        <v>78</v>
      </c>
      <c r="B1801" s="15" t="s">
        <v>1192</v>
      </c>
      <c r="C1801" s="15"/>
      <c r="D1801" s="22"/>
    </row>
    <row r="1802" spans="1:4" x14ac:dyDescent="0.25">
      <c r="A1802" t="s">
        <v>1231</v>
      </c>
      <c r="B1802" t="str">
        <f t="shared" ref="B1802:B1833" si="58">"&lt;prefix&gt;_&lt;mm&gt;-05-&lt;yy&gt;_&lt;ar&gt;"&amp;A1802</f>
        <v>&lt;prefix&gt;_&lt;mm&gt;-05-&lt;yy&gt;_&lt;ar&gt;Access MSG and MOU billed by CLLI,FG,CIC</v>
      </c>
      <c r="D1802" s="12"/>
    </row>
    <row r="1803" spans="1:4" x14ac:dyDescent="0.25">
      <c r="A1803" t="s">
        <v>1232</v>
      </c>
      <c r="B1803" t="str">
        <f t="shared" si="58"/>
        <v>&lt;prefix&gt;_&lt;mm&gt;-05-&lt;yy&gt;_&lt;ar&gt;Adjustments Detail Report - Posted</v>
      </c>
      <c r="D1803" s="12"/>
    </row>
    <row r="1804" spans="1:4" x14ac:dyDescent="0.25">
      <c r="A1804" t="s">
        <v>1233</v>
      </c>
      <c r="B1804" t="str">
        <f t="shared" si="58"/>
        <v>&lt;prefix&gt;_&lt;mm&gt;-05-&lt;yy&gt;_&lt;ar&gt;Adjustments Detail Report - Unposted</v>
      </c>
      <c r="D1804" s="12"/>
    </row>
    <row r="1805" spans="1:4" x14ac:dyDescent="0.25">
      <c r="A1805" t="s">
        <v>1234</v>
      </c>
      <c r="B1805" t="str">
        <f t="shared" si="58"/>
        <v>&lt;prefix&gt;_&lt;mm&gt;-05-&lt;yy&gt;_&lt;ar&gt;Aged Trial Balance by Company</v>
      </c>
      <c r="D1805" s="12"/>
    </row>
    <row r="1806" spans="1:4" x14ac:dyDescent="0.25">
      <c r="A1806" t="s">
        <v>1235</v>
      </c>
      <c r="B1806" t="str">
        <f t="shared" si="58"/>
        <v>&lt;prefix&gt;_&lt;mm&gt;-05-&lt;yy&gt;_&lt;ar&gt;Amount billed/disputed/settled by month/carrier</v>
      </c>
      <c r="D1806" s="12"/>
    </row>
    <row r="1807" spans="1:4" x14ac:dyDescent="0.25">
      <c r="A1807" t="s">
        <v>1236</v>
      </c>
      <c r="B1807" t="str">
        <f t="shared" si="58"/>
        <v>&lt;prefix&gt;_&lt;mm&gt;-05-&lt;yy&gt;_&lt;ar&gt;Amount billed/disputed/settled by qtr/carrier</v>
      </c>
      <c r="D1807" s="12"/>
    </row>
    <row r="1808" spans="1:4" x14ac:dyDescent="0.25">
      <c r="A1808" t="s">
        <v>1237</v>
      </c>
      <c r="B1808" t="str">
        <f t="shared" si="58"/>
        <v>&lt;prefix&gt;_&lt;mm&gt;-05-&lt;yy&gt;_&lt;ar&gt;Amount billed-disputed-settled by month-carrier</v>
      </c>
      <c r="D1808" s="12"/>
    </row>
    <row r="1809" spans="1:4" x14ac:dyDescent="0.25">
      <c r="A1809" t="s">
        <v>1238</v>
      </c>
      <c r="B1809" t="str">
        <f t="shared" si="58"/>
        <v>&lt;prefix&gt;_&lt;mm&gt;-05-&lt;yy&gt;_&lt;ar&gt;Amount billed-disputed-settled by qtr-carrier</v>
      </c>
      <c r="D1809" s="12"/>
    </row>
    <row r="1810" spans="1:4" x14ac:dyDescent="0.25">
      <c r="A1810" t="s">
        <v>1239</v>
      </c>
      <c r="B1810" t="str">
        <f t="shared" si="58"/>
        <v>&lt;prefix&gt;_&lt;mm&gt;-05-&lt;yy&gt;_&lt;ar&gt;AS1000 Report</v>
      </c>
      <c r="D1810" s="12"/>
    </row>
    <row r="1811" spans="1:4" x14ac:dyDescent="0.25">
      <c r="A1811" t="s">
        <v>9</v>
      </c>
      <c r="B1811" t="str">
        <f t="shared" si="58"/>
        <v>&lt;prefix&gt;_&lt;mm&gt;-05-&lt;yy&gt;_&lt;ar&gt;AUR History Stats</v>
      </c>
      <c r="D1811" s="12"/>
    </row>
    <row r="1812" spans="1:4" x14ac:dyDescent="0.25">
      <c r="A1812" t="s">
        <v>1240</v>
      </c>
      <c r="B1812" t="str">
        <f t="shared" si="58"/>
        <v>&lt;prefix&gt;_&lt;mm&gt;-05-&lt;yy&gt;_&lt;ar&gt;AUR History Stats (Seconds)</v>
      </c>
      <c r="D1812" s="12"/>
    </row>
    <row r="1813" spans="1:4" x14ac:dyDescent="0.25">
      <c r="A1813" t="s">
        <v>1241</v>
      </c>
      <c r="B1813" t="str">
        <f t="shared" si="58"/>
        <v>&lt;prefix&gt;_&lt;mm&gt;-05-&lt;yy&gt;_&lt;ar&gt;AUR History Summary</v>
      </c>
      <c r="D1813" s="12"/>
    </row>
    <row r="1814" spans="1:4" x14ac:dyDescent="0.25">
      <c r="A1814" t="s">
        <v>1242</v>
      </c>
      <c r="B1814" t="str">
        <f t="shared" si="58"/>
        <v>&lt;prefix&gt;_&lt;mm&gt;-05-&lt;yy&gt;_&lt;ar&gt;AUR History Summary by Day</v>
      </c>
      <c r="D1814" s="12"/>
    </row>
    <row r="1815" spans="1:4" x14ac:dyDescent="0.25">
      <c r="A1815" t="s">
        <v>1243</v>
      </c>
      <c r="B1815" t="str">
        <f t="shared" si="58"/>
        <v>&lt;prefix&gt;_&lt;mm&gt;-05-&lt;yy&gt;_&lt;ar&gt;Billed Minutes by Inter/Intra State</v>
      </c>
      <c r="D1815" s="12"/>
    </row>
    <row r="1816" spans="1:4" x14ac:dyDescent="0.25">
      <c r="A1816" t="s">
        <v>1244</v>
      </c>
      <c r="B1816" t="str">
        <f t="shared" si="58"/>
        <v>&lt;prefix&gt;_&lt;mm&gt;-05-&lt;yy&gt;_&lt;ar&gt;Billed Minutes by Inter-Intra State</v>
      </c>
      <c r="D1816" s="12"/>
    </row>
    <row r="1817" spans="1:4" x14ac:dyDescent="0.25">
      <c r="A1817" t="s">
        <v>1245</v>
      </c>
      <c r="B1817" t="str">
        <f t="shared" si="58"/>
        <v>&lt;prefix&gt;_&lt;mm&gt;-05-&lt;yy&gt;_&lt;ar&gt;Billed Minutes by Jurisdiction</v>
      </c>
      <c r="D1817" s="12"/>
    </row>
    <row r="1818" spans="1:4" x14ac:dyDescent="0.25">
      <c r="A1818" t="s">
        <v>1246</v>
      </c>
      <c r="B1818" t="str">
        <f t="shared" si="58"/>
        <v>&lt;prefix&gt;_&lt;mm&gt;-05-&lt;yy&gt;_&lt;ar&gt;Billed minutes by Quarter by Inter/Intra State</v>
      </c>
      <c r="D1818" s="12"/>
    </row>
    <row r="1819" spans="1:4" x14ac:dyDescent="0.25">
      <c r="A1819" t="s">
        <v>1247</v>
      </c>
      <c r="B1819" t="str">
        <f t="shared" si="58"/>
        <v>&lt;prefix&gt;_&lt;mm&gt;-05-&lt;yy&gt;_&lt;ar&gt;Billed minutes by Quarter by Inter-Intra State</v>
      </c>
      <c r="D1819" s="12"/>
    </row>
    <row r="1820" spans="1:4" x14ac:dyDescent="0.25">
      <c r="A1820" t="s">
        <v>1248</v>
      </c>
      <c r="B1820" t="str">
        <f t="shared" si="58"/>
        <v>&lt;prefix&gt;_&lt;mm&gt;-05-&lt;yy&gt;_&lt;ar&gt;Billed Minutes by Quarter by Jurisdiction</v>
      </c>
      <c r="D1820" s="12"/>
    </row>
    <row r="1821" spans="1:4" x14ac:dyDescent="0.25">
      <c r="A1821" t="s">
        <v>1249</v>
      </c>
      <c r="B1821" t="str">
        <f t="shared" si="58"/>
        <v>&lt;prefix&gt;_&lt;mm&gt;-05-&lt;yy&gt;_&lt;ar&gt;Billed Msg MOU Rev by BAN by Jurisdiction</v>
      </c>
      <c r="D1821" s="12"/>
    </row>
    <row r="1822" spans="1:4" x14ac:dyDescent="0.25">
      <c r="A1822" t="s">
        <v>51</v>
      </c>
      <c r="B1822" t="str">
        <f t="shared" si="58"/>
        <v>&lt;prefix&gt;_&lt;mm&gt;-05-&lt;yy&gt;_&lt;ar&gt;Billed Msg MOU Rev by CLLI by EMR Jurisdiction</v>
      </c>
      <c r="D1822" s="12"/>
    </row>
    <row r="1823" spans="1:4" x14ac:dyDescent="0.25">
      <c r="A1823" t="s">
        <v>1250</v>
      </c>
      <c r="B1823" t="str">
        <f t="shared" si="58"/>
        <v>&lt;prefix&gt;_&lt;mm&gt;-05-&lt;yy&gt;_&lt;ar&gt;Billed Msg MOU Rev by CLLI by Jurisdiction</v>
      </c>
      <c r="D1823" s="12"/>
    </row>
    <row r="1824" spans="1:4" x14ac:dyDescent="0.25">
      <c r="A1824" t="s">
        <v>1251</v>
      </c>
      <c r="B1824" t="str">
        <f t="shared" si="58"/>
        <v>&lt;prefix&gt;_&lt;mm&gt;-05-&lt;yy&gt;_&lt;ar&gt;CLNT aur_usage_by_day_co_v3</v>
      </c>
      <c r="D1824" s="12"/>
    </row>
    <row r="1825" spans="1:4" x14ac:dyDescent="0.25">
      <c r="A1825" t="s">
        <v>1252</v>
      </c>
      <c r="B1825" t="str">
        <f t="shared" si="58"/>
        <v>&lt;prefix&gt;_&lt;mm&gt;-05-&lt;yy&gt;_&lt;ar&gt;CLNT billed_by_period_for_exp_4_v2</v>
      </c>
      <c r="D1825" s="12"/>
    </row>
    <row r="1826" spans="1:4" x14ac:dyDescent="0.25">
      <c r="A1826" t="s">
        <v>1253</v>
      </c>
      <c r="B1826" t="str">
        <f t="shared" si="58"/>
        <v>&lt;prefix&gt;_&lt;mm&gt;-05-&lt;yy&gt;_&lt;ar&gt;CLNT cbeyond_m_m_r_to_export_v2</v>
      </c>
      <c r="D1826" s="12"/>
    </row>
    <row r="1827" spans="1:4" x14ac:dyDescent="0.25">
      <c r="A1827" t="s">
        <v>1254</v>
      </c>
      <c r="B1827" t="str">
        <f t="shared" si="58"/>
        <v>&lt;prefix&gt;_&lt;mm&gt;-05-&lt;yy&gt;_&lt;ar&gt;CLNT ckt_billed_live_disco_v1</v>
      </c>
      <c r="D1827" s="12"/>
    </row>
    <row r="1828" spans="1:4" x14ac:dyDescent="0.25">
      <c r="A1828" t="s">
        <v>1255</v>
      </c>
      <c r="B1828" t="str">
        <f t="shared" si="58"/>
        <v>&lt;prefix&gt;_&lt;mm&gt;-05-&lt;yy&gt;_&lt;ar&gt;CLNT gl_trans_from_adjustments_ban_v3</v>
      </c>
      <c r="D1828" s="12"/>
    </row>
    <row r="1829" spans="1:4" x14ac:dyDescent="0.25">
      <c r="A1829" t="s">
        <v>1256</v>
      </c>
      <c r="B1829" t="str">
        <f t="shared" si="58"/>
        <v>&lt;prefix&gt;_&lt;mm&gt;-05-&lt;yy&gt;_&lt;ar&gt;CLNT gl_trans_from_occ_ban_v3</v>
      </c>
      <c r="D1829" s="12"/>
    </row>
    <row r="1830" spans="1:4" x14ac:dyDescent="0.25">
      <c r="A1830" t="s">
        <v>1257</v>
      </c>
      <c r="B1830" t="str">
        <f t="shared" si="58"/>
        <v>&lt;prefix&gt;_&lt;mm&gt;-05-&lt;yy&gt;_&lt;ar&gt;CLNT invoice_balances_by_jur_w_lpc_v2</v>
      </c>
      <c r="D1830" s="12"/>
    </row>
    <row r="1831" spans="1:4" x14ac:dyDescent="0.25">
      <c r="A1831" t="s">
        <v>53</v>
      </c>
      <c r="B1831" t="str">
        <f t="shared" si="58"/>
        <v>&lt;prefix&gt;_&lt;mm&gt;-05-&lt;yy&gt;_&lt;ar&gt;CLNT ly_invoice_balances_by_jur_cic</v>
      </c>
      <c r="D1831" s="12"/>
    </row>
    <row r="1832" spans="1:4" x14ac:dyDescent="0.25">
      <c r="A1832" t="s">
        <v>55</v>
      </c>
      <c r="B1832" t="str">
        <f t="shared" si="58"/>
        <v>&lt;prefix&gt;_&lt;mm&gt;-05-&lt;yy&gt;_&lt;ar&gt;CLNT nt_ckt_billed_live_disco_v2</v>
      </c>
      <c r="D1832" s="12"/>
    </row>
    <row r="1833" spans="1:4" x14ac:dyDescent="0.25">
      <c r="A1833" t="s">
        <v>1258</v>
      </c>
      <c r="B1833" t="str">
        <f t="shared" si="58"/>
        <v>&lt;prefix&gt;_&lt;mm&gt;-05-&lt;yy&gt;_&lt;ar&gt;CLNT nt_fa_acctg_detail_rpt_v1</v>
      </c>
      <c r="D1833" s="12"/>
    </row>
    <row r="1834" spans="1:4" x14ac:dyDescent="0.25">
      <c r="A1834" t="s">
        <v>1259</v>
      </c>
      <c r="B1834" t="str">
        <f t="shared" ref="B1834:B1865" si="59">"&lt;prefix&gt;_&lt;mm&gt;-05-&lt;yy&gt;_&lt;ar&gt;"&amp;A1834</f>
        <v>&lt;prefix&gt;_&lt;mm&gt;-05-&lt;yy&gt;_&lt;ar&gt;CLNT nt_fa_acctg_rpt_v1</v>
      </c>
      <c r="D1834" s="12"/>
    </row>
    <row r="1835" spans="1:4" x14ac:dyDescent="0.25">
      <c r="A1835" t="s">
        <v>1260</v>
      </c>
      <c r="B1835" t="str">
        <f t="shared" si="59"/>
        <v>&lt;prefix&gt;_&lt;mm&gt;-05-&lt;yy&gt;_&lt;ar&gt;CLNT nt_m_m_r_p_to_export_v1</v>
      </c>
      <c r="D1835" s="12"/>
    </row>
    <row r="1836" spans="1:4" x14ac:dyDescent="0.25">
      <c r="A1836" t="s">
        <v>1261</v>
      </c>
      <c r="B1836" t="str">
        <f t="shared" si="59"/>
        <v>&lt;prefix&gt;_&lt;mm&gt;-05-&lt;yy&gt;_&lt;ar&gt;CLNT nt_m_m_r_to_export_v1</v>
      </c>
      <c r="D1836" s="12"/>
    </row>
    <row r="1837" spans="1:4" x14ac:dyDescent="0.25">
      <c r="A1837" t="s">
        <v>1262</v>
      </c>
      <c r="B1837" t="str">
        <f t="shared" si="59"/>
        <v>&lt;prefix&gt;_&lt;mm&gt;-05-&lt;yy&gt;_&lt;ar&gt;CLNT nt_rev_analysis_clli_2</v>
      </c>
      <c r="D1837" s="12"/>
    </row>
    <row r="1838" spans="1:4" x14ac:dyDescent="0.25">
      <c r="A1838" t="s">
        <v>1263</v>
      </c>
      <c r="B1838" t="str">
        <f t="shared" si="59"/>
        <v>&lt;prefix&gt;_&lt;mm&gt;-05-&lt;yy&gt;_&lt;ar&gt;CLNT payment_by_date8_v2</v>
      </c>
      <c r="D1838" s="12"/>
    </row>
    <row r="1839" spans="1:4" x14ac:dyDescent="0.25">
      <c r="A1839" t="s">
        <v>1264</v>
      </c>
      <c r="B1839" t="str">
        <f t="shared" si="59"/>
        <v>&lt;prefix&gt;_&lt;mm&gt;-05-&lt;yy&gt;_&lt;ar&gt;CLNT r_aged_trial_bal_1v3</v>
      </c>
      <c r="D1839" s="12"/>
    </row>
    <row r="1840" spans="1:4" x14ac:dyDescent="0.25">
      <c r="A1840" t="s">
        <v>1265</v>
      </c>
      <c r="B1840" t="str">
        <f t="shared" si="59"/>
        <v>&lt;prefix&gt;_&lt;mm&gt;-05-&lt;yy&gt;_&lt;ar&gt;CLNT r_aged_trial_bal_for_export_v2</v>
      </c>
      <c r="D1840" s="12"/>
    </row>
    <row r="1841" spans="1:4" x14ac:dyDescent="0.25">
      <c r="A1841" t="s">
        <v>1266</v>
      </c>
      <c r="B1841" t="str">
        <f t="shared" si="59"/>
        <v>&lt;prefix&gt;_&lt;mm&gt;-05-&lt;yy&gt;_&lt;ar&gt;CLNT r_sce_3_v3_2</v>
      </c>
      <c r="D1841" s="12"/>
    </row>
    <row r="1842" spans="1:4" x14ac:dyDescent="0.25">
      <c r="A1842" t="s">
        <v>1267</v>
      </c>
      <c r="B1842" t="str">
        <f t="shared" si="59"/>
        <v>&lt;prefix&gt;_&lt;mm&gt;-05-&lt;yy&gt;_&lt;ar&gt;CLNT r_transaction_summary_bills_v2</v>
      </c>
      <c r="D1842" s="12"/>
    </row>
    <row r="1843" spans="1:4" x14ac:dyDescent="0.25">
      <c r="A1843" t="s">
        <v>1268</v>
      </c>
      <c r="B1843" t="str">
        <f t="shared" si="59"/>
        <v>&lt;prefix&gt;_&lt;mm&gt;-05-&lt;yy&gt;_&lt;ar&gt;CLNT sw_invoice_trending_v6</v>
      </c>
      <c r="D1843" s="12"/>
    </row>
    <row r="1844" spans="1:4" x14ac:dyDescent="0.25">
      <c r="A1844" t="s">
        <v>1269</v>
      </c>
      <c r="B1844" t="str">
        <f t="shared" si="59"/>
        <v>&lt;prefix&gt;_&lt;mm&gt;-05-&lt;yy&gt;_&lt;ar&gt;Company Master Report</v>
      </c>
      <c r="D1844" s="12"/>
    </row>
    <row r="1845" spans="1:4" x14ac:dyDescent="0.25">
      <c r="A1845" t="s">
        <v>1347</v>
      </c>
      <c r="B1845" t="str">
        <f t="shared" si="59"/>
        <v>&lt;prefix&gt;_&lt;mm&gt;-05-&lt;yy&gt;_&lt;ar&gt;Customer BAN Info 4 v3</v>
      </c>
      <c r="D1845" s="12"/>
    </row>
    <row r="1846" spans="1:4" x14ac:dyDescent="0.25">
      <c r="A1846" t="s">
        <v>1271</v>
      </c>
      <c r="B1846" t="str">
        <f t="shared" si="59"/>
        <v>&lt;prefix&gt;_&lt;mm&gt;-05-&lt;yy&gt;_&lt;ar&gt;Dispute amounts by type by month</v>
      </c>
      <c r="D1846" s="12"/>
    </row>
    <row r="1847" spans="1:4" x14ac:dyDescent="0.25">
      <c r="A1847" t="s">
        <v>1272</v>
      </c>
      <c r="B1847" t="str">
        <f t="shared" si="59"/>
        <v>&lt;prefix&gt;_&lt;mm&gt;-05-&lt;yy&gt;_&lt;ar&gt;Dispute amounts by type by month by carrier</v>
      </c>
      <c r="D1847" s="12"/>
    </row>
    <row r="1848" spans="1:4" x14ac:dyDescent="0.25">
      <c r="A1848" t="s">
        <v>1273</v>
      </c>
      <c r="B1848" t="str">
        <f t="shared" si="59"/>
        <v>&lt;prefix&gt;_&lt;mm&gt;-05-&lt;yy&gt;_&lt;ar&gt;Dispute amounts by type by quarter</v>
      </c>
      <c r="D1848" s="12"/>
    </row>
    <row r="1849" spans="1:4" x14ac:dyDescent="0.25">
      <c r="A1849" t="s">
        <v>1274</v>
      </c>
      <c r="B1849" t="str">
        <f t="shared" si="59"/>
        <v>&lt;prefix&gt;_&lt;mm&gt;-05-&lt;yy&gt;_&lt;ar&gt;Dispute amounts by type by quarter by carrier</v>
      </c>
      <c r="D1849" s="12"/>
    </row>
    <row r="1850" spans="1:4" x14ac:dyDescent="0.25">
      <c r="A1850" t="s">
        <v>1275</v>
      </c>
      <c r="B1850" t="str">
        <f t="shared" si="59"/>
        <v>&lt;prefix&gt;_&lt;mm&gt;-05-&lt;yy&gt;_&lt;ar&gt;Dispute amounts/carrier/month for a given year</v>
      </c>
      <c r="D1850" s="12"/>
    </row>
    <row r="1851" spans="1:4" x14ac:dyDescent="0.25">
      <c r="A1851" t="s">
        <v>1276</v>
      </c>
      <c r="B1851" t="str">
        <f t="shared" si="59"/>
        <v>&lt;prefix&gt;_&lt;mm&gt;-05-&lt;yy&gt;_&lt;ar&gt;Dispute amounts/carrier/qtr for a given year</v>
      </c>
      <c r="D1851" s="12"/>
    </row>
    <row r="1852" spans="1:4" x14ac:dyDescent="0.25">
      <c r="A1852" t="s">
        <v>1277</v>
      </c>
      <c r="B1852" t="str">
        <f t="shared" si="59"/>
        <v>&lt;prefix&gt;_&lt;mm&gt;-05-&lt;yy&gt;_&lt;ar&gt;Dispute amounts-carrier-month for a given year</v>
      </c>
      <c r="D1852" s="12"/>
    </row>
    <row r="1853" spans="1:4" x14ac:dyDescent="0.25">
      <c r="A1853" t="s">
        <v>1278</v>
      </c>
      <c r="B1853" t="str">
        <f t="shared" si="59"/>
        <v>&lt;prefix&gt;_&lt;mm&gt;-05-&lt;yy&gt;_&lt;ar&gt;Dispute amounts-carrier-qtr for a given year</v>
      </c>
      <c r="D1853" s="12"/>
    </row>
    <row r="1854" spans="1:4" x14ac:dyDescent="0.25">
      <c r="A1854" t="s">
        <v>1279</v>
      </c>
      <c r="B1854" t="str">
        <f t="shared" si="59"/>
        <v>&lt;prefix&gt;_&lt;mm&gt;-05-&lt;yy&gt;_&lt;ar&gt;EC1050 Report</v>
      </c>
      <c r="D1854" s="12"/>
    </row>
    <row r="1855" spans="1:4" x14ac:dyDescent="0.25">
      <c r="A1855" t="s">
        <v>70</v>
      </c>
      <c r="B1855" t="str">
        <f t="shared" si="59"/>
        <v>&lt;prefix&gt;_&lt;mm&gt;-05-&lt;yy&gt;_&lt;ar&gt;FA Charges Summary</v>
      </c>
      <c r="D1855" s="12"/>
    </row>
    <row r="1856" spans="1:4" x14ac:dyDescent="0.25">
      <c r="A1856" t="s">
        <v>71</v>
      </c>
      <c r="B1856" t="str">
        <f t="shared" si="59"/>
        <v>&lt;prefix&gt;_&lt;mm&gt;-05-&lt;yy&gt;_&lt;ar&gt;FA Circuit Charges by CIC by CLLI</v>
      </c>
      <c r="D1856" s="12"/>
    </row>
    <row r="1857" spans="1:4" x14ac:dyDescent="0.25">
      <c r="A1857" t="s">
        <v>36</v>
      </c>
      <c r="B1857" t="str">
        <f t="shared" si="59"/>
        <v>&lt;prefix&gt;_&lt;mm&gt;-05-&lt;yy&gt;_&lt;ar&gt;Factor Compare Report</v>
      </c>
      <c r="D1857" s="12"/>
    </row>
    <row r="1858" spans="1:4" x14ac:dyDescent="0.25">
      <c r="A1858" t="s">
        <v>1281</v>
      </c>
      <c r="B1858" t="str">
        <f t="shared" si="59"/>
        <v>&lt;prefix&gt;_&lt;mm&gt;-05-&lt;yy&gt;_&lt;ar&gt;Graph - Disputed Amounts by Carrier</v>
      </c>
      <c r="D1858" s="12"/>
    </row>
    <row r="1859" spans="1:4" x14ac:dyDescent="0.25">
      <c r="A1859" t="s">
        <v>1282</v>
      </c>
      <c r="B1859" t="str">
        <f t="shared" si="59"/>
        <v>&lt;prefix&gt;_&lt;mm&gt;-05-&lt;yy&gt;_&lt;ar&gt;Graph - Disputed Amounts by Carrier by Date</v>
      </c>
      <c r="D1859" s="12"/>
    </row>
    <row r="1860" spans="1:4" x14ac:dyDescent="0.25">
      <c r="A1860" t="s">
        <v>1283</v>
      </c>
      <c r="B1860" t="str">
        <f t="shared" si="59"/>
        <v>&lt;prefix&gt;_&lt;mm&gt;-05-&lt;yy&gt;_&lt;ar&gt;Graph - Disputed Amounts by dispute types</v>
      </c>
      <c r="D1860" s="12"/>
    </row>
    <row r="1861" spans="1:4" x14ac:dyDescent="0.25">
      <c r="A1861" t="s">
        <v>1284</v>
      </c>
      <c r="B1861" t="str">
        <f t="shared" si="59"/>
        <v>&lt;prefix&gt;_&lt;mm&gt;-05-&lt;yy&gt;_&lt;ar&gt;Graph - Disputed Amounts vs Resolutions</v>
      </c>
      <c r="D1861" s="12"/>
    </row>
    <row r="1862" spans="1:4" x14ac:dyDescent="0.25">
      <c r="A1862" t="s">
        <v>1285</v>
      </c>
      <c r="B1862" t="str">
        <f t="shared" si="59"/>
        <v>&lt;prefix&gt;_&lt;mm&gt;-05-&lt;yy&gt;_&lt;ar&gt;Graph - No. of Disputes by Carrier</v>
      </c>
      <c r="D1862" s="12"/>
    </row>
    <row r="1863" spans="1:4" x14ac:dyDescent="0.25">
      <c r="A1863" t="s">
        <v>1286</v>
      </c>
      <c r="B1863" t="str">
        <f t="shared" si="59"/>
        <v>&lt;prefix&gt;_&lt;mm&gt;-05-&lt;yy&gt;_&lt;ar&gt;Graph - No. of Disputes by Carrier by Date</v>
      </c>
      <c r="D1863" s="12"/>
    </row>
    <row r="1864" spans="1:4" x14ac:dyDescent="0.25">
      <c r="A1864" t="s">
        <v>1289</v>
      </c>
      <c r="B1864" t="str">
        <f t="shared" si="59"/>
        <v>&lt;prefix&gt;_&lt;mm&gt;-05-&lt;yy&gt;_&lt;ar&gt;Message Record Analysis</v>
      </c>
      <c r="D1864" s="12"/>
    </row>
    <row r="1865" spans="1:4" x14ac:dyDescent="0.25">
      <c r="A1865" t="s">
        <v>1290</v>
      </c>
      <c r="B1865" t="str">
        <f t="shared" si="59"/>
        <v>&lt;prefix&gt;_&lt;mm&gt;-05-&lt;yy&gt;_&lt;ar&gt;Messages and minutes billed by FG,CIC</v>
      </c>
      <c r="D1865" s="12"/>
    </row>
    <row r="1866" spans="1:4" x14ac:dyDescent="0.25">
      <c r="A1866" t="s">
        <v>1291</v>
      </c>
      <c r="B1866" t="str">
        <f t="shared" ref="B1866:B1897" si="60">"&lt;prefix&gt;_&lt;mm&gt;-05-&lt;yy&gt;_&lt;ar&gt;"&amp;A1866</f>
        <v>&lt;prefix&gt;_&lt;mm&gt;-05-&lt;yy&gt;_&lt;ar&gt;Messages and minutes billed by FG,CIC(Local separa</v>
      </c>
      <c r="D1866" s="12"/>
    </row>
    <row r="1867" spans="1:4" x14ac:dyDescent="0.25">
      <c r="A1867" t="s">
        <v>1292</v>
      </c>
      <c r="B1867" t="str">
        <f t="shared" si="60"/>
        <v>&lt;prefix&gt;_&lt;mm&gt;-05-&lt;yy&gt;_&lt;ar&gt;Minutes</v>
      </c>
      <c r="D1867" s="12"/>
    </row>
    <row r="1868" spans="1:4" x14ac:dyDescent="0.25">
      <c r="A1868" t="s">
        <v>92</v>
      </c>
      <c r="B1868" t="str">
        <f t="shared" si="60"/>
        <v>&lt;prefix&gt;_&lt;mm&gt;-05-&lt;yy&gt;_&lt;ar&gt;Minutes and revenue billed by rate element</v>
      </c>
      <c r="D1868" s="12"/>
    </row>
    <row r="1869" spans="1:4" x14ac:dyDescent="0.25">
      <c r="A1869" t="s">
        <v>1293</v>
      </c>
      <c r="B1869" t="str">
        <f t="shared" si="60"/>
        <v>&lt;prefix&gt;_&lt;mm&gt;-05-&lt;yy&gt;_&lt;ar&gt;Minutes billed by BAN, Orig- Term Inter-Intra Stat</v>
      </c>
      <c r="D1869" s="12"/>
    </row>
    <row r="1870" spans="1:4" x14ac:dyDescent="0.25">
      <c r="A1870" t="s">
        <v>1294</v>
      </c>
      <c r="B1870" t="str">
        <f t="shared" si="60"/>
        <v>&lt;prefix&gt;_&lt;mm&gt;-05-&lt;yy&gt;_&lt;ar&gt;Minutes billed by BAN, Orig/ Term Inter/Intra Stat</v>
      </c>
      <c r="D1870" s="12"/>
    </row>
    <row r="1871" spans="1:4" x14ac:dyDescent="0.25">
      <c r="A1871" t="s">
        <v>100</v>
      </c>
      <c r="B1871" t="str">
        <f t="shared" si="60"/>
        <v>&lt;prefix&gt;_&lt;mm&gt;-05-&lt;yy&gt;_&lt;ar&gt;NECA AS1000</v>
      </c>
      <c r="D1871" s="12"/>
    </row>
    <row r="1872" spans="1:4" x14ac:dyDescent="0.25">
      <c r="A1872" t="s">
        <v>101</v>
      </c>
      <c r="B1872" t="str">
        <f t="shared" si="60"/>
        <v>&lt;prefix&gt;_&lt;mm&gt;-05-&lt;yy&gt;_&lt;ar&gt;NECA EC1050</v>
      </c>
      <c r="D1872" s="12"/>
    </row>
    <row r="1873" spans="1:4" x14ac:dyDescent="0.25">
      <c r="A1873" t="s">
        <v>1297</v>
      </c>
      <c r="B1873" t="str">
        <f t="shared" si="60"/>
        <v>&lt;prefix&gt;_&lt;mm&gt;-05-&lt;yy&gt;_&lt;ar&gt;Non FA Rate Element as Billed Table Report</v>
      </c>
      <c r="D1873" s="12"/>
    </row>
    <row r="1874" spans="1:4" x14ac:dyDescent="0.25">
      <c r="A1874" t="s">
        <v>1298</v>
      </c>
      <c r="B1874" t="str">
        <f t="shared" si="60"/>
        <v>&lt;prefix&gt;_&lt;mm&gt;-05-&lt;yy&gt;_&lt;ar&gt;OCC Detail Report - Posted</v>
      </c>
      <c r="D1874" s="12"/>
    </row>
    <row r="1875" spans="1:4" x14ac:dyDescent="0.25">
      <c r="A1875" t="s">
        <v>1299</v>
      </c>
      <c r="B1875" t="str">
        <f t="shared" si="60"/>
        <v>&lt;prefix&gt;_&lt;mm&gt;-05-&lt;yy&gt;_&lt;ar&gt;OCC Detail Report - Unposted</v>
      </c>
      <c r="D1875" s="12"/>
    </row>
    <row r="1876" spans="1:4" x14ac:dyDescent="0.25">
      <c r="A1876" t="s">
        <v>1300</v>
      </c>
      <c r="B1876" t="str">
        <f t="shared" si="60"/>
        <v>&lt;prefix&gt;_&lt;mm&gt;-05-&lt;yy&gt;_&lt;ar&gt;Partially Paid Invoices</v>
      </c>
      <c r="D1876" s="12"/>
    </row>
    <row r="1877" spans="1:4" x14ac:dyDescent="0.25">
      <c r="A1877" t="s">
        <v>1301</v>
      </c>
      <c r="B1877" t="str">
        <f t="shared" si="60"/>
        <v>&lt;prefix&gt;_&lt;mm&gt;-05-&lt;yy&gt;_&lt;ar&gt;Payment Details by Check</v>
      </c>
      <c r="D1877" s="12"/>
    </row>
    <row r="1878" spans="1:4" x14ac:dyDescent="0.25">
      <c r="A1878" t="s">
        <v>1481</v>
      </c>
      <c r="B1878" t="str">
        <f t="shared" si="60"/>
        <v>&lt;prefix&gt;_&lt;mm&gt;-05-&lt;yy&gt;_&lt;ar&gt;Payment Report Old</v>
      </c>
      <c r="D1878" s="12"/>
    </row>
    <row r="1879" spans="1:4" x14ac:dyDescent="0.25">
      <c r="A1879" t="s">
        <v>1302</v>
      </c>
      <c r="B1879" t="str">
        <f t="shared" si="60"/>
        <v>&lt;prefix&gt;_&lt;mm&gt;-05-&lt;yy&gt;_&lt;ar&gt;Payments by Payer by BAN</v>
      </c>
      <c r="D1879" s="12"/>
    </row>
    <row r="1880" spans="1:4" x14ac:dyDescent="0.25">
      <c r="A1880" t="s">
        <v>1303</v>
      </c>
      <c r="B1880" t="str">
        <f t="shared" si="60"/>
        <v>&lt;prefix&gt;_&lt;mm&gt;-05-&lt;yy&gt;_&lt;ar&gt;Payments Not on Bill</v>
      </c>
      <c r="D1880" s="12"/>
    </row>
    <row r="1881" spans="1:4" x14ac:dyDescent="0.25">
      <c r="A1881" t="s">
        <v>1482</v>
      </c>
      <c r="B1881" t="str">
        <f t="shared" si="60"/>
        <v>&lt;prefix&gt;_&lt;mm&gt;-05-&lt;yy&gt;_&lt;ar&gt;PEERV5_Reports_Table</v>
      </c>
      <c r="D1881" s="12"/>
    </row>
    <row r="1882" spans="1:4" x14ac:dyDescent="0.25">
      <c r="A1882" t="s">
        <v>1483</v>
      </c>
      <c r="B1882" t="str">
        <f t="shared" si="60"/>
        <v>&lt;prefix&gt;_&lt;mm&gt;-05-&lt;yy&gt;_&lt;ar&gt;PEERV5_Rpt_Argmnt</v>
      </c>
      <c r="D1882" s="12"/>
    </row>
    <row r="1883" spans="1:4" x14ac:dyDescent="0.25">
      <c r="A1883" t="s">
        <v>1304</v>
      </c>
      <c r="B1883" t="str">
        <f t="shared" si="60"/>
        <v>&lt;prefix&gt;_&lt;mm&gt;-05-&lt;yy&gt;_&lt;ar&gt;Percent of disputes/billed per month/year</v>
      </c>
      <c r="D1883" s="12"/>
    </row>
    <row r="1884" spans="1:4" x14ac:dyDescent="0.25">
      <c r="A1884" t="s">
        <v>1305</v>
      </c>
      <c r="B1884" t="str">
        <f t="shared" si="60"/>
        <v>&lt;prefix&gt;_&lt;mm&gt;-05-&lt;yy&gt;_&lt;ar&gt;Percent of disputes/billed per qtr/year</v>
      </c>
      <c r="D1884" s="12"/>
    </row>
    <row r="1885" spans="1:4" x14ac:dyDescent="0.25">
      <c r="A1885" t="s">
        <v>1306</v>
      </c>
      <c r="B1885" t="str">
        <f t="shared" si="60"/>
        <v>&lt;prefix&gt;_&lt;mm&gt;-05-&lt;yy&gt;_&lt;ar&gt;Percent of disputes-billed per month-year</v>
      </c>
      <c r="D1885" s="12"/>
    </row>
    <row r="1886" spans="1:4" x14ac:dyDescent="0.25">
      <c r="A1886" t="s">
        <v>1307</v>
      </c>
      <c r="B1886" t="str">
        <f t="shared" si="60"/>
        <v>&lt;prefix&gt;_&lt;mm&gt;-05-&lt;yy&gt;_&lt;ar&gt;Percent of disputes-billed per qtr-year</v>
      </c>
      <c r="D1886" s="12"/>
    </row>
    <row r="1887" spans="1:4" x14ac:dyDescent="0.25">
      <c r="A1887" t="s">
        <v>1308</v>
      </c>
      <c r="B1887" t="str">
        <f t="shared" si="60"/>
        <v>&lt;prefix&gt;_&lt;mm&gt;-05-&lt;yy&gt;_&lt;ar&gt;Post billing rate change adj. calc. - FA</v>
      </c>
      <c r="D1887" s="12"/>
    </row>
    <row r="1888" spans="1:4" x14ac:dyDescent="0.25">
      <c r="A1888" t="s">
        <v>1309</v>
      </c>
      <c r="B1888" t="str">
        <f t="shared" si="60"/>
        <v>&lt;prefix&gt;_&lt;mm&gt;-05-&lt;yy&gt;_&lt;ar&gt;Post billing rate change adj. calc. - SW</v>
      </c>
      <c r="D1888" s="12"/>
    </row>
    <row r="1889" spans="1:4" x14ac:dyDescent="0.25">
      <c r="A1889" t="s">
        <v>1310</v>
      </c>
      <c r="B1889" t="str">
        <f t="shared" si="60"/>
        <v>&lt;prefix&gt;_&lt;mm&gt;-05-&lt;yy&gt;_&lt;ar&gt;Rate Element Table Report</v>
      </c>
      <c r="D1889" s="12"/>
    </row>
    <row r="1890" spans="1:4" x14ac:dyDescent="0.25">
      <c r="A1890" t="s">
        <v>1311</v>
      </c>
      <c r="B1890" t="str">
        <f t="shared" si="60"/>
        <v>&lt;prefix&gt;_&lt;mm&gt;-05-&lt;yy&gt;_&lt;ar&gt;Reconciliation of account balance over time</v>
      </c>
      <c r="D1890" s="12"/>
    </row>
    <row r="1891" spans="1:4" x14ac:dyDescent="0.25">
      <c r="A1891" t="s">
        <v>1312</v>
      </c>
      <c r="B1891" t="str">
        <f t="shared" si="60"/>
        <v>&lt;prefix&gt;_&lt;mm&gt;-05-&lt;yy&gt;_&lt;ar&gt;Resolved Disputes by carrier</v>
      </c>
      <c r="D1891" s="12"/>
    </row>
    <row r="1892" spans="1:4" x14ac:dyDescent="0.25">
      <c r="A1892" t="s">
        <v>1313</v>
      </c>
      <c r="B1892" t="str">
        <f t="shared" si="60"/>
        <v>&lt;prefix&gt;_&lt;mm&gt;-05-&lt;yy&gt;_&lt;ar&gt;Revenue</v>
      </c>
      <c r="D1892" s="12"/>
    </row>
    <row r="1893" spans="1:4" x14ac:dyDescent="0.25">
      <c r="A1893" t="s">
        <v>1349</v>
      </c>
      <c r="B1893" t="str">
        <f t="shared" si="60"/>
        <v>&lt;prefix&gt;_&lt;mm&gt;-05-&lt;yy&gt;_&lt;ar&gt;Revenue Analysis7</v>
      </c>
      <c r="D1893" s="12"/>
    </row>
    <row r="1894" spans="1:4" x14ac:dyDescent="0.25">
      <c r="A1894" t="s">
        <v>1314</v>
      </c>
      <c r="B1894" t="str">
        <f t="shared" si="60"/>
        <v>&lt;prefix&gt;_&lt;mm&gt;-05-&lt;yy&gt;_&lt;ar&gt;Revenue billed by BAN, Inter/Intra State</v>
      </c>
      <c r="D1894" s="12"/>
    </row>
    <row r="1895" spans="1:4" x14ac:dyDescent="0.25">
      <c r="A1895" t="s">
        <v>1315</v>
      </c>
      <c r="B1895" t="str">
        <f t="shared" si="60"/>
        <v>&lt;prefix&gt;_&lt;mm&gt;-05-&lt;yy&gt;_&lt;ar&gt;Revenue billed by BAN, Inter-Intra State</v>
      </c>
      <c r="D1895" s="12"/>
    </row>
    <row r="1896" spans="1:4" x14ac:dyDescent="0.25">
      <c r="A1896" t="s">
        <v>1316</v>
      </c>
      <c r="B1896" t="str">
        <f t="shared" si="60"/>
        <v>&lt;prefix&gt;_&lt;mm&gt;-05-&lt;yy&gt;_&lt;ar&gt;Security Report by User</v>
      </c>
      <c r="D1896" s="12"/>
    </row>
    <row r="1897" spans="1:4" x14ac:dyDescent="0.25">
      <c r="A1897" t="s">
        <v>1317</v>
      </c>
      <c r="B1897" t="str">
        <f t="shared" si="60"/>
        <v>&lt;prefix&gt;_&lt;mm&gt;-05-&lt;yy&gt;_&lt;ar&gt;Security Report by Window</v>
      </c>
      <c r="D1897" s="12"/>
    </row>
    <row r="1898" spans="1:4" x14ac:dyDescent="0.25">
      <c r="A1898" t="s">
        <v>1318</v>
      </c>
      <c r="B1898" t="str">
        <f t="shared" ref="B1898:B1928" si="61">"&lt;prefix&gt;_&lt;mm&gt;-05-&lt;yy&gt;_&lt;ar&gt;"&amp;A1898</f>
        <v>&lt;prefix&gt;_&lt;mm&gt;-05-&lt;yy&gt;_&lt;ar&gt;SOC Jurisdiction Table Report</v>
      </c>
      <c r="D1898" s="22"/>
    </row>
    <row r="1899" spans="1:4" x14ac:dyDescent="0.25">
      <c r="A1899" t="s">
        <v>1319</v>
      </c>
      <c r="B1899" t="str">
        <f t="shared" si="61"/>
        <v>&lt;prefix&gt;_&lt;mm&gt;-05-&lt;yy&gt;_&lt;ar&gt;SOC Rate Comparison between companies</v>
      </c>
      <c r="D1899" s="12"/>
    </row>
    <row r="1900" spans="1:4" x14ac:dyDescent="0.25">
      <c r="A1900" t="s">
        <v>1320</v>
      </c>
      <c r="B1900" t="str">
        <f t="shared" si="61"/>
        <v>&lt;prefix&gt;_&lt;mm&gt;-05-&lt;yy&gt;_&lt;ar&gt;SOC Tariff Table Report</v>
      </c>
      <c r="D1900" s="12"/>
    </row>
    <row r="1901" spans="1:4" x14ac:dyDescent="0.25">
      <c r="A1901" t="s">
        <v>1484</v>
      </c>
      <c r="B1901" t="str">
        <f t="shared" si="61"/>
        <v>&lt;prefix&gt;_&lt;mm&gt;-05-&lt;yy&gt;_&lt;ar&gt;SOCs on BANs Report (History optional)</v>
      </c>
      <c r="D1901" s="12"/>
    </row>
    <row r="1902" spans="1:4" x14ac:dyDescent="0.25">
      <c r="A1902" t="s">
        <v>1321</v>
      </c>
      <c r="B1902" t="str">
        <f t="shared" si="61"/>
        <v>&lt;prefix&gt;_&lt;mm&gt;-05-&lt;yy&gt;_&lt;ar&gt;Summary of Adjustments Report</v>
      </c>
      <c r="D1902" s="12"/>
    </row>
    <row r="1903" spans="1:4" x14ac:dyDescent="0.25">
      <c r="A1903" t="s">
        <v>1322</v>
      </c>
      <c r="B1903" t="str">
        <f t="shared" si="61"/>
        <v>&lt;prefix&gt;_&lt;mm&gt;-05-&lt;yy&gt;_&lt;ar&gt;Summary of OCCs Report</v>
      </c>
      <c r="D1903" s="12"/>
    </row>
    <row r="1904" spans="1:4" x14ac:dyDescent="0.25">
      <c r="A1904" t="s">
        <v>120</v>
      </c>
      <c r="B1904" t="str">
        <f t="shared" si="61"/>
        <v>&lt;prefix&gt;_&lt;mm&gt;-05-&lt;yy&gt;_&lt;ar&gt;SW Usage Charges Summary</v>
      </c>
      <c r="D1904" s="12"/>
    </row>
    <row r="1905" spans="1:4" x14ac:dyDescent="0.25">
      <c r="A1905" t="s">
        <v>1323</v>
      </c>
      <c r="B1905" t="str">
        <f t="shared" si="61"/>
        <v>&lt;prefix&gt;_&lt;mm&gt;-05-&lt;yy&gt;_&lt;ar&gt;SW Usage Charges Summary by CLLI</v>
      </c>
      <c r="D1905" s="12"/>
    </row>
    <row r="1906" spans="1:4" x14ac:dyDescent="0.25">
      <c r="A1906" t="s">
        <v>1324</v>
      </c>
      <c r="B1906" t="str">
        <f t="shared" si="61"/>
        <v>&lt;prefix&gt;_&lt;mm&gt;-05-&lt;yy&gt;_&lt;ar&gt;SW Usage Statistics Summary</v>
      </c>
      <c r="D1906" s="12"/>
    </row>
    <row r="1907" spans="1:4" x14ac:dyDescent="0.25">
      <c r="A1907" t="s">
        <v>1485</v>
      </c>
      <c r="B1907" t="str">
        <f t="shared" si="61"/>
        <v>&lt;prefix&gt;_&lt;mm&gt;-05-&lt;yy&gt;_&lt;ar&gt;Switched BANS Trending Report JJS</v>
      </c>
      <c r="D1907" s="12"/>
    </row>
    <row r="1908" spans="1:4" x14ac:dyDescent="0.25">
      <c r="A1908" t="s">
        <v>1326</v>
      </c>
      <c r="B1908" t="str">
        <f t="shared" si="61"/>
        <v>&lt;prefix&gt;_&lt;mm&gt;-05-&lt;yy&gt;_&lt;ar&gt;Switched Billing Account - Factor Report</v>
      </c>
      <c r="D1908" s="12"/>
    </row>
    <row r="1909" spans="1:4" x14ac:dyDescent="0.25">
      <c r="A1909" t="s">
        <v>1327</v>
      </c>
      <c r="B1909" t="str">
        <f t="shared" si="61"/>
        <v>&lt;prefix&gt;_&lt;mm&gt;-05-&lt;yy&gt;_&lt;ar&gt;Switched Billing Account - SOC Report</v>
      </c>
      <c r="D1909" s="12"/>
    </row>
    <row r="1910" spans="1:4" x14ac:dyDescent="0.25">
      <c r="A1910" t="s">
        <v>1328</v>
      </c>
      <c r="B1910" t="str">
        <f t="shared" si="61"/>
        <v>&lt;prefix&gt;_&lt;mm&gt;-05-&lt;yy&gt;_&lt;ar&gt;Switched Billing Account - Wire Center Report</v>
      </c>
      <c r="D1910" s="12"/>
    </row>
    <row r="1911" spans="1:4" x14ac:dyDescent="0.25">
      <c r="A1911" t="s">
        <v>1329</v>
      </c>
      <c r="B1911" t="str">
        <f t="shared" si="61"/>
        <v>&lt;prefix&gt;_&lt;mm&gt;-05-&lt;yy&gt;_&lt;ar&gt;Tariff Element Tracking</v>
      </c>
      <c r="D1911" s="12"/>
    </row>
    <row r="1912" spans="1:4" x14ac:dyDescent="0.25">
      <c r="A1912" t="s">
        <v>619</v>
      </c>
      <c r="B1912" t="str">
        <f t="shared" si="61"/>
        <v>&lt;prefix&gt;_&lt;mm&gt;-05-&lt;yy&gt;_&lt;ar&gt;Transaction Detail Listing</v>
      </c>
      <c r="D1912" s="12"/>
    </row>
    <row r="1913" spans="1:4" x14ac:dyDescent="0.25">
      <c r="A1913" t="s">
        <v>616</v>
      </c>
      <c r="B1913" t="str">
        <f t="shared" si="61"/>
        <v>&lt;prefix&gt;_&lt;mm&gt;-05-&lt;yy&gt;_&lt;ar&gt;Transaction Summary</v>
      </c>
      <c r="D1913" s="12"/>
    </row>
    <row r="1914" spans="1:4" x14ac:dyDescent="0.25">
      <c r="A1914" t="s">
        <v>1331</v>
      </c>
      <c r="B1914" t="str">
        <f t="shared" si="61"/>
        <v>&lt;prefix&gt;_&lt;mm&gt;-05-&lt;yy&gt;_&lt;ar&gt;Transaction Summary - adjustments only</v>
      </c>
      <c r="D1914" s="12"/>
    </row>
    <row r="1915" spans="1:4" x14ac:dyDescent="0.25">
      <c r="A1915" t="s">
        <v>1332</v>
      </c>
      <c r="B1915" t="str">
        <f t="shared" si="61"/>
        <v>&lt;prefix&gt;_&lt;mm&gt;-05-&lt;yy&gt;_&lt;ar&gt;Transaction Summary - receipts only</v>
      </c>
      <c r="D1915" s="12"/>
    </row>
    <row r="1916" spans="1:4" x14ac:dyDescent="0.25">
      <c r="A1916" t="s">
        <v>1333</v>
      </c>
      <c r="B1916" t="str">
        <f t="shared" si="61"/>
        <v>&lt;prefix&gt;_&lt;mm&gt;-05-&lt;yy&gt;_&lt;ar&gt;Transaction Summary by transaction/bill type</v>
      </c>
      <c r="D1916" s="12"/>
    </row>
    <row r="1917" spans="1:4" x14ac:dyDescent="0.25">
      <c r="A1917" t="s">
        <v>1334</v>
      </c>
      <c r="B1917" t="str">
        <f t="shared" si="61"/>
        <v xml:space="preserve">&lt;prefix&gt;_&lt;mm&gt;-05-&lt;yy&gt;_&lt;ar&gt;Transaction Summary by transaction/bill type </v>
      </c>
      <c r="D1917" s="12"/>
    </row>
    <row r="1918" spans="1:4" x14ac:dyDescent="0.25">
      <c r="A1918" t="s">
        <v>1335</v>
      </c>
      <c r="B1918" t="str">
        <f t="shared" si="61"/>
        <v>&lt;prefix&gt;_&lt;mm&gt;-05-&lt;yy&gt;_&lt;ar&gt;Transaction Summary by transaction-bill type</v>
      </c>
      <c r="D1918" s="12"/>
    </row>
    <row r="1919" spans="1:4" x14ac:dyDescent="0.25">
      <c r="A1919" t="s">
        <v>1336</v>
      </c>
      <c r="B1919" t="str">
        <f t="shared" si="61"/>
        <v>&lt;prefix&gt;_&lt;mm&gt;-05-&lt;yy&gt;_&lt;ar&gt;Unposted Adjustments</v>
      </c>
      <c r="D1919" s="12"/>
    </row>
    <row r="1920" spans="1:4" x14ac:dyDescent="0.25">
      <c r="A1920" t="s">
        <v>1337</v>
      </c>
      <c r="B1920" t="str">
        <f t="shared" si="61"/>
        <v>&lt;prefix&gt;_&lt;mm&gt;-05-&lt;yy&gt;_&lt;ar&gt;Unresolved Disputes by Carrier by code</v>
      </c>
      <c r="D1920" s="12"/>
    </row>
    <row r="1921" spans="1:4" x14ac:dyDescent="0.25">
      <c r="A1921" t="s">
        <v>1338</v>
      </c>
      <c r="B1921" t="str">
        <f t="shared" si="61"/>
        <v>&lt;prefix&gt;_&lt;mm&gt;-05-&lt;yy&gt;_&lt;ar&gt;Unresolved Disputes by Carrier by month</v>
      </c>
      <c r="D1921" s="12"/>
    </row>
    <row r="1922" spans="1:4" x14ac:dyDescent="0.25">
      <c r="A1922" t="s">
        <v>1339</v>
      </c>
      <c r="B1922" t="str">
        <f t="shared" si="61"/>
        <v>&lt;prefix&gt;_&lt;mm&gt;-05-&lt;yy&gt;_&lt;ar&gt;Usage Balancing - Company Totals</v>
      </c>
      <c r="D1922" s="12"/>
    </row>
    <row r="1923" spans="1:4" x14ac:dyDescent="0.25">
      <c r="A1923" t="s">
        <v>41</v>
      </c>
      <c r="B1923" t="str">
        <f t="shared" si="61"/>
        <v>&lt;prefix&gt;_&lt;mm&gt;-05-&lt;yy&gt;_&lt;ar&gt;Usage Balancing - Company Totals with Full Detail</v>
      </c>
      <c r="D1923" s="12"/>
    </row>
    <row r="1924" spans="1:4" x14ac:dyDescent="0.25">
      <c r="A1924" t="s">
        <v>1340</v>
      </c>
      <c r="B1924" t="str">
        <f t="shared" si="61"/>
        <v>&lt;prefix&gt;_&lt;mm&gt;-05-&lt;yy&gt;_&lt;ar&gt;Usage Balancing - Company, Ban, Clli Totals</v>
      </c>
      <c r="D1924" s="12"/>
    </row>
    <row r="1925" spans="1:4" x14ac:dyDescent="0.25">
      <c r="A1925" t="s">
        <v>1341</v>
      </c>
      <c r="B1925" t="str">
        <f t="shared" si="61"/>
        <v>&lt;prefix&gt;_&lt;mm&gt;-05-&lt;yy&gt;_&lt;ar&gt;Usage Balancing - Company, Ban, Clli, TT Totals</v>
      </c>
      <c r="D1925" s="12"/>
    </row>
    <row r="1926" spans="1:4" x14ac:dyDescent="0.25">
      <c r="A1926" t="s">
        <v>1342</v>
      </c>
      <c r="B1926" t="str">
        <f t="shared" si="61"/>
        <v>&lt;prefix&gt;_&lt;mm&gt;-05-&lt;yy&gt;_&lt;ar&gt;Usage Totaling Rule</v>
      </c>
      <c r="D1926" s="12"/>
    </row>
    <row r="1927" spans="1:4" x14ac:dyDescent="0.25">
      <c r="A1927" t="s">
        <v>1343</v>
      </c>
      <c r="B1927" t="str">
        <f t="shared" si="61"/>
        <v>&lt;prefix&gt;_&lt;mm&gt;-05-&lt;yy&gt;_&lt;ar&gt;Wire Center Mileage Segment Report</v>
      </c>
      <c r="D1927" s="12"/>
    </row>
    <row r="1928" spans="1:4" x14ac:dyDescent="0.25">
      <c r="A1928" t="s">
        <v>1344</v>
      </c>
      <c r="B1928" t="str">
        <f t="shared" si="61"/>
        <v>&lt;prefix&gt;_&lt;mm&gt;-05-&lt;yy&gt;_&lt;ar&gt;Wire Center Report</v>
      </c>
      <c r="D1928" s="12"/>
    </row>
    <row r="1929" spans="1:4" x14ac:dyDescent="0.25">
      <c r="A1929" t="s">
        <v>107</v>
      </c>
      <c r="B1929" t="str">
        <f>"&lt;prefix&gt;_&lt;mm&gt;01&lt;yy&gt;_&lt;ar&gt;"&amp;A1929</f>
        <v>&lt;prefix&gt;_&lt;mm&gt;01&lt;yy&gt;_&lt;ar&gt;Payment Report</v>
      </c>
      <c r="C1929" s="18">
        <v>8</v>
      </c>
    </row>
    <row r="1930" spans="1:4" x14ac:dyDescent="0.25">
      <c r="A1930" t="s">
        <v>32</v>
      </c>
      <c r="B1930" t="str">
        <f>"&lt;prefix&gt;_&lt;mm&gt;01&lt;yy&gt;_&lt;ar&gt;"&amp;A1930</f>
        <v>&lt;prefix&gt;_&lt;mm&gt;01&lt;yy&gt;_&lt;ar&gt;Factor Change Audit Report</v>
      </c>
      <c r="C1930" s="18">
        <v>10</v>
      </c>
    </row>
    <row r="1931" spans="1:4" x14ac:dyDescent="0.25">
      <c r="A1931" t="s">
        <v>39</v>
      </c>
      <c r="B1931" t="str">
        <f>"&lt;prefix&gt;_&lt;mm&gt;01&lt;yy&gt;_&lt;ar&gt;"&amp;A1931</f>
        <v>&lt;prefix&gt;_&lt;mm&gt;01&lt;yy&gt;_&lt;ar&gt;SOC Change Audit Report</v>
      </c>
      <c r="C1931" s="18">
        <v>11</v>
      </c>
    </row>
    <row r="1932" spans="1:4" x14ac:dyDescent="0.25">
      <c r="A1932" t="s">
        <v>34</v>
      </c>
      <c r="B1932" t="s">
        <v>1094</v>
      </c>
      <c r="C1932" t="s">
        <v>362</v>
      </c>
    </row>
    <row r="1933" spans="1:4" x14ac:dyDescent="0.25">
      <c r="A1933" t="s">
        <v>16</v>
      </c>
      <c r="B1933" t="str">
        <f>"&lt;prefix&gt;_&lt;mm&gt;01&lt;yy&gt;_&lt;ar&gt;"&amp;A1933</f>
        <v>&lt;prefix&gt;_&lt;mm&gt;01&lt;yy&gt;_&lt;ar&gt;Bill Completion Check Report</v>
      </c>
      <c r="C1933" t="s">
        <v>383</v>
      </c>
    </row>
    <row r="1934" spans="1:4" x14ac:dyDescent="0.25">
      <c r="A1934" t="s">
        <v>122</v>
      </c>
      <c r="B1934" t="str">
        <f>"&lt;prefix&gt;_&lt;mm&gt;01&lt;yy&gt;_&lt;ar&gt;"&amp;A1934</f>
        <v>&lt;prefix&gt;_&lt;mm&gt;01&lt;yy&gt;_&lt;ar&gt;Switched BANS Trending Report</v>
      </c>
      <c r="C1934" t="s">
        <v>1193</v>
      </c>
    </row>
    <row r="1935" spans="1:4" x14ac:dyDescent="0.25">
      <c r="A1935" t="s">
        <v>68</v>
      </c>
      <c r="B1935" t="s">
        <v>1194</v>
      </c>
      <c r="C1935" t="s">
        <v>1195</v>
      </c>
    </row>
    <row r="1936" spans="1:4" x14ac:dyDescent="0.25">
      <c r="A1936" t="s">
        <v>13</v>
      </c>
      <c r="B1936" t="s">
        <v>1095</v>
      </c>
      <c r="C1936" t="s">
        <v>424</v>
      </c>
    </row>
    <row r="1937" spans="1:3" x14ac:dyDescent="0.25">
      <c r="A1937" t="s">
        <v>102</v>
      </c>
      <c r="B1937" t="s">
        <v>1096</v>
      </c>
      <c r="C1937" t="s">
        <v>428</v>
      </c>
    </row>
    <row r="1938" spans="1:3" x14ac:dyDescent="0.25">
      <c r="A1938" t="s">
        <v>12</v>
      </c>
      <c r="B1938" t="str">
        <f t="shared" ref="B1938:B1945" si="62">"&lt;prefix&gt;_&lt;mm&gt;01&lt;yy&gt;_&lt;ar&gt;"&amp;A1938</f>
        <v>&lt;prefix&gt;_&lt;mm&gt;01&lt;yy&gt;_&lt;ar&gt;AUR History Stats Report</v>
      </c>
      <c r="C1938" t="s">
        <v>216</v>
      </c>
    </row>
    <row r="1939" spans="1:3" x14ac:dyDescent="0.25">
      <c r="A1939" t="s">
        <v>18</v>
      </c>
      <c r="B1939" t="str">
        <f t="shared" si="62"/>
        <v>&lt;prefix&gt;_&lt;mm&gt;01&lt;yy&gt;_&lt;ar&gt;Detailed BAN Error Report</v>
      </c>
      <c r="C1939" t="s">
        <v>231</v>
      </c>
    </row>
    <row r="1940" spans="1:3" x14ac:dyDescent="0.25">
      <c r="A1940" t="s">
        <v>22</v>
      </c>
      <c r="B1940" t="str">
        <f t="shared" si="62"/>
        <v>&lt;prefix&gt;_&lt;mm&gt;01&lt;yy&gt;_&lt;ar&gt;Detailed CLLI Error Report</v>
      </c>
      <c r="C1940" t="s">
        <v>238</v>
      </c>
    </row>
    <row r="1941" spans="1:3" x14ac:dyDescent="0.25">
      <c r="A1941" t="s">
        <v>29</v>
      </c>
      <c r="B1941" t="str">
        <f t="shared" si="62"/>
        <v>&lt;prefix&gt;_&lt;mm&gt;01&lt;yy&gt;_&lt;ar&gt;Exception Analysis Report</v>
      </c>
      <c r="C1941" t="s">
        <v>248</v>
      </c>
    </row>
    <row r="1942" spans="1:3" x14ac:dyDescent="0.25">
      <c r="A1942" t="s">
        <v>47</v>
      </c>
      <c r="B1942" t="str">
        <f t="shared" si="62"/>
        <v>&lt;prefix&gt;_&lt;mm&gt;01&lt;yy&gt;_&lt;ar&gt;MOU Entries Error Report</v>
      </c>
      <c r="C1942" t="s">
        <v>251</v>
      </c>
    </row>
    <row r="1943" spans="1:3" x14ac:dyDescent="0.25">
      <c r="A1943" t="s">
        <v>27</v>
      </c>
      <c r="B1943" t="str">
        <f t="shared" si="62"/>
        <v>&lt;prefix&gt;_&lt;mm&gt;01&lt;yy&gt;_&lt;ar&gt;Duplicate File Processing Report</v>
      </c>
      <c r="C1943" t="s">
        <v>266</v>
      </c>
    </row>
    <row r="1944" spans="1:3" x14ac:dyDescent="0.25">
      <c r="A1944" t="s">
        <v>1011</v>
      </c>
      <c r="B1944" t="str">
        <f t="shared" si="62"/>
        <v xml:space="preserve">&lt;prefix&gt;_&lt;mm&gt;01&lt;yy&gt;_&lt;ar&gt;Usage Verify by Size Report </v>
      </c>
      <c r="C1944" t="s">
        <v>272</v>
      </c>
    </row>
    <row r="1945" spans="1:3" x14ac:dyDescent="0.25">
      <c r="A1945" t="s">
        <v>135</v>
      </c>
      <c r="B1945" t="str">
        <f t="shared" si="62"/>
        <v>&lt;prefix&gt;_&lt;mm&gt;01&lt;yy&gt;_&lt;ar&gt;Usage By Day Report</v>
      </c>
      <c r="C1945" t="s">
        <v>1014</v>
      </c>
    </row>
    <row r="1946" spans="1:3" x14ac:dyDescent="0.25">
      <c r="A1946" t="s">
        <v>43</v>
      </c>
      <c r="B1946" t="s">
        <v>1102</v>
      </c>
      <c r="C1946" t="s">
        <v>1196</v>
      </c>
    </row>
    <row r="1947" spans="1:3" x14ac:dyDescent="0.25">
      <c r="A1947" t="s">
        <v>7</v>
      </c>
      <c r="B1947" t="str">
        <f>"&lt;prefix&gt;_&lt;mm&gt;01&lt;yy&gt;_&lt;ar&gt;"&amp;A1947</f>
        <v>&lt;prefix&gt;_&lt;mm&gt;01&lt;yy&gt;_&lt;ar&gt;Adjustments Not Posted Report</v>
      </c>
      <c r="C1947" t="s">
        <v>336</v>
      </c>
    </row>
    <row r="1948" spans="1:3" x14ac:dyDescent="0.25">
      <c r="A1948" t="s">
        <v>70</v>
      </c>
      <c r="B1948" s="7" t="s">
        <v>1197</v>
      </c>
      <c r="C1948" s="7"/>
    </row>
    <row r="1949" spans="1:3" x14ac:dyDescent="0.25">
      <c r="A1949" t="s">
        <v>71</v>
      </c>
      <c r="B1949" s="7" t="s">
        <v>1198</v>
      </c>
      <c r="C1949" s="7"/>
    </row>
    <row r="1950" spans="1:3" x14ac:dyDescent="0.25">
      <c r="A1950" t="s">
        <v>86</v>
      </c>
      <c r="B1950" s="7" t="s">
        <v>1099</v>
      </c>
      <c r="C1950" s="7"/>
    </row>
    <row r="1951" spans="1:3" x14ac:dyDescent="0.25">
      <c r="A1951" t="s">
        <v>30</v>
      </c>
      <c r="B1951" s="7" t="s">
        <v>1103</v>
      </c>
      <c r="C1951" s="7"/>
    </row>
    <row r="1952" spans="1:3" x14ac:dyDescent="0.25">
      <c r="A1952" t="s">
        <v>40</v>
      </c>
      <c r="B1952" s="7" t="s">
        <v>1104</v>
      </c>
      <c r="C1952" s="7"/>
    </row>
    <row r="1953" spans="1:3" x14ac:dyDescent="0.25">
      <c r="A1953" t="s">
        <v>49</v>
      </c>
      <c r="B1953" s="7" t="s">
        <v>1097</v>
      </c>
      <c r="C1953" s="7"/>
    </row>
    <row r="1954" spans="1:3" x14ac:dyDescent="0.25">
      <c r="A1954" t="s">
        <v>56</v>
      </c>
      <c r="B1954" s="7" t="str">
        <f>"&lt;prefix&gt;_&lt;mm&gt;01&lt;yy&gt;_&lt;ar&gt;"&amp;A1954</f>
        <v>&lt;prefix&gt;_&lt;mm&gt;01&lt;yy&gt;_&lt;ar&gt;Facility Circuit Charges Billed Disconnected</v>
      </c>
      <c r="C1954" s="7"/>
    </row>
    <row r="1955" spans="1:3" x14ac:dyDescent="0.25">
      <c r="A1955" t="s">
        <v>81</v>
      </c>
      <c r="B1955" s="7" t="s">
        <v>1105</v>
      </c>
      <c r="C1955" s="7"/>
    </row>
    <row r="1956" spans="1:3" x14ac:dyDescent="0.25">
      <c r="A1956" t="s">
        <v>91</v>
      </c>
      <c r="B1956" s="7" t="str">
        <f>"&lt;prefix&gt;_&lt;mm&gt;01&lt;yy&gt;_&lt;ar&gt;"&amp;A1956</f>
        <v>&lt;prefix&gt;_&lt;mm&gt;01&lt;yy&gt;_&lt;ar&gt;Late Payment Charges</v>
      </c>
      <c r="C1956" s="7"/>
    </row>
    <row r="1957" spans="1:3" x14ac:dyDescent="0.25">
      <c r="A1957" t="s">
        <v>100</v>
      </c>
      <c r="B1957" s="7" t="str">
        <f>"&lt;prefix&gt;_&lt;mm&gt;01&lt;yy&gt;_&lt;ar&gt;"&amp;A1957</f>
        <v>&lt;prefix&gt;_&lt;mm&gt;01&lt;yy&gt;_&lt;ar&gt;NECA AS1000</v>
      </c>
      <c r="C1957" s="7"/>
    </row>
    <row r="1958" spans="1:3" x14ac:dyDescent="0.25">
      <c r="A1958" t="s">
        <v>101</v>
      </c>
      <c r="B1958" s="7" t="str">
        <f>"&lt;prefix&gt;_&lt;mm&gt;01&lt;yy&gt;_&lt;ar&gt;"&amp;A1958</f>
        <v>&lt;prefix&gt;_&lt;mm&gt;01&lt;yy&gt;_&lt;ar&gt;NECA EC1050</v>
      </c>
      <c r="C1958" s="7"/>
    </row>
    <row r="1959" spans="1:3" x14ac:dyDescent="0.25">
      <c r="A1959" t="s">
        <v>112</v>
      </c>
      <c r="B1959" s="7" t="s">
        <v>1108</v>
      </c>
      <c r="C1959" s="7"/>
    </row>
    <row r="1960" spans="1:3" x14ac:dyDescent="0.25">
      <c r="A1960" t="s">
        <v>121</v>
      </c>
      <c r="B1960" s="7" t="s">
        <v>1199</v>
      </c>
      <c r="C1960" s="7"/>
    </row>
    <row r="1961" spans="1:3" x14ac:dyDescent="0.25">
      <c r="A1961" t="s">
        <v>127</v>
      </c>
      <c r="B1961" s="7" t="s">
        <v>1200</v>
      </c>
      <c r="C1961" s="7"/>
    </row>
    <row r="1962" spans="1:3" x14ac:dyDescent="0.25">
      <c r="A1962" t="s">
        <v>28</v>
      </c>
      <c r="B1962" s="7" t="s">
        <v>1109</v>
      </c>
      <c r="C1962" s="7"/>
    </row>
    <row r="1963" spans="1:3" x14ac:dyDescent="0.25">
      <c r="A1963" t="s">
        <v>1231</v>
      </c>
      <c r="B1963" t="str">
        <f t="shared" ref="B1963:B1981" si="63">"&lt;prefix&gt;_&lt;mm&gt;01&lt;yy&gt;_&lt;ar&gt;"&amp;A1963</f>
        <v>&lt;prefix&gt;_&lt;mm&gt;01&lt;yy&gt;_&lt;ar&gt;Access MSG and MOU billed by CLLI,FG,CIC</v>
      </c>
    </row>
    <row r="1964" spans="1:3" x14ac:dyDescent="0.25">
      <c r="A1964" t="s">
        <v>1232</v>
      </c>
      <c r="B1964" t="str">
        <f t="shared" si="63"/>
        <v>&lt;prefix&gt;_&lt;mm&gt;01&lt;yy&gt;_&lt;ar&gt;Adjustments Detail Report - Posted</v>
      </c>
    </row>
    <row r="1965" spans="1:3" x14ac:dyDescent="0.25">
      <c r="A1965" t="s">
        <v>1233</v>
      </c>
      <c r="B1965" t="str">
        <f t="shared" si="63"/>
        <v>&lt;prefix&gt;_&lt;mm&gt;01&lt;yy&gt;_&lt;ar&gt;Adjustments Detail Report - Unposted</v>
      </c>
    </row>
    <row r="1966" spans="1:3" x14ac:dyDescent="0.25">
      <c r="A1966" t="s">
        <v>1234</v>
      </c>
      <c r="B1966" t="str">
        <f t="shared" si="63"/>
        <v>&lt;prefix&gt;_&lt;mm&gt;01&lt;yy&gt;_&lt;ar&gt;Aged Trial Balance by Company</v>
      </c>
    </row>
    <row r="1967" spans="1:3" x14ac:dyDescent="0.25">
      <c r="A1967" t="s">
        <v>1235</v>
      </c>
      <c r="B1967" t="str">
        <f t="shared" si="63"/>
        <v>&lt;prefix&gt;_&lt;mm&gt;01&lt;yy&gt;_&lt;ar&gt;Amount billed/disputed/settled by month/carrier</v>
      </c>
    </row>
    <row r="1968" spans="1:3" x14ac:dyDescent="0.25">
      <c r="A1968" t="s">
        <v>1236</v>
      </c>
      <c r="B1968" t="str">
        <f t="shared" si="63"/>
        <v>&lt;prefix&gt;_&lt;mm&gt;01&lt;yy&gt;_&lt;ar&gt;Amount billed/disputed/settled by qtr/carrier</v>
      </c>
    </row>
    <row r="1969" spans="1:2" x14ac:dyDescent="0.25">
      <c r="A1969" t="s">
        <v>1237</v>
      </c>
      <c r="B1969" t="str">
        <f t="shared" si="63"/>
        <v>&lt;prefix&gt;_&lt;mm&gt;01&lt;yy&gt;_&lt;ar&gt;Amount billed-disputed-settled by month-carrier</v>
      </c>
    </row>
    <row r="1970" spans="1:2" x14ac:dyDescent="0.25">
      <c r="A1970" t="s">
        <v>1238</v>
      </c>
      <c r="B1970" t="str">
        <f t="shared" si="63"/>
        <v>&lt;prefix&gt;_&lt;mm&gt;01&lt;yy&gt;_&lt;ar&gt;Amount billed-disputed-settled by qtr-carrier</v>
      </c>
    </row>
    <row r="1971" spans="1:2" x14ac:dyDescent="0.25">
      <c r="A1971" t="s">
        <v>1239</v>
      </c>
      <c r="B1971" t="str">
        <f t="shared" si="63"/>
        <v>&lt;prefix&gt;_&lt;mm&gt;01&lt;yy&gt;_&lt;ar&gt;AS1000 Report</v>
      </c>
    </row>
    <row r="1972" spans="1:2" x14ac:dyDescent="0.25">
      <c r="A1972" t="s">
        <v>9</v>
      </c>
      <c r="B1972" t="str">
        <f t="shared" si="63"/>
        <v>&lt;prefix&gt;_&lt;mm&gt;01&lt;yy&gt;_&lt;ar&gt;AUR History Stats</v>
      </c>
    </row>
    <row r="1973" spans="1:2" x14ac:dyDescent="0.25">
      <c r="A1973" t="s">
        <v>1240</v>
      </c>
      <c r="B1973" t="str">
        <f t="shared" si="63"/>
        <v>&lt;prefix&gt;_&lt;mm&gt;01&lt;yy&gt;_&lt;ar&gt;AUR History Stats (Seconds)</v>
      </c>
    </row>
    <row r="1974" spans="1:2" x14ac:dyDescent="0.25">
      <c r="A1974" t="s">
        <v>1241</v>
      </c>
      <c r="B1974" t="str">
        <f t="shared" si="63"/>
        <v>&lt;prefix&gt;_&lt;mm&gt;01&lt;yy&gt;_&lt;ar&gt;AUR History Summary</v>
      </c>
    </row>
    <row r="1975" spans="1:2" x14ac:dyDescent="0.25">
      <c r="A1975" t="s">
        <v>1242</v>
      </c>
      <c r="B1975" t="str">
        <f t="shared" si="63"/>
        <v>&lt;prefix&gt;_&lt;mm&gt;01&lt;yy&gt;_&lt;ar&gt;AUR History Summary by Day</v>
      </c>
    </row>
    <row r="1976" spans="1:2" x14ac:dyDescent="0.25">
      <c r="A1976" t="s">
        <v>1243</v>
      </c>
      <c r="B1976" t="str">
        <f t="shared" si="63"/>
        <v>&lt;prefix&gt;_&lt;mm&gt;01&lt;yy&gt;_&lt;ar&gt;Billed Minutes by Inter/Intra State</v>
      </c>
    </row>
    <row r="1977" spans="1:2" x14ac:dyDescent="0.25">
      <c r="A1977" t="s">
        <v>1244</v>
      </c>
      <c r="B1977" t="str">
        <f t="shared" si="63"/>
        <v>&lt;prefix&gt;_&lt;mm&gt;01&lt;yy&gt;_&lt;ar&gt;Billed Minutes by Inter-Intra State</v>
      </c>
    </row>
    <row r="1978" spans="1:2" x14ac:dyDescent="0.25">
      <c r="A1978" t="s">
        <v>1245</v>
      </c>
      <c r="B1978" t="str">
        <f t="shared" si="63"/>
        <v>&lt;prefix&gt;_&lt;mm&gt;01&lt;yy&gt;_&lt;ar&gt;Billed Minutes by Jurisdiction</v>
      </c>
    </row>
    <row r="1979" spans="1:2" x14ac:dyDescent="0.25">
      <c r="A1979" t="s">
        <v>1246</v>
      </c>
      <c r="B1979" t="str">
        <f t="shared" si="63"/>
        <v>&lt;prefix&gt;_&lt;mm&gt;01&lt;yy&gt;_&lt;ar&gt;Billed minutes by Quarter by Inter/Intra State</v>
      </c>
    </row>
    <row r="1980" spans="1:2" x14ac:dyDescent="0.25">
      <c r="A1980" t="s">
        <v>1247</v>
      </c>
      <c r="B1980" t="str">
        <f t="shared" si="63"/>
        <v>&lt;prefix&gt;_&lt;mm&gt;01&lt;yy&gt;_&lt;ar&gt;Billed minutes by Quarter by Inter-Intra State</v>
      </c>
    </row>
    <row r="1981" spans="1:2" x14ac:dyDescent="0.25">
      <c r="A1981" t="s">
        <v>1248</v>
      </c>
      <c r="B1981" t="str">
        <f t="shared" si="63"/>
        <v>&lt;prefix&gt;_&lt;mm&gt;01&lt;yy&gt;_&lt;ar&gt;Billed Minutes by Quarter by Jurisdiction</v>
      </c>
    </row>
    <row r="1982" spans="1:2" x14ac:dyDescent="0.25">
      <c r="A1982" t="s">
        <v>1249</v>
      </c>
      <c r="B1982" t="s">
        <v>1486</v>
      </c>
    </row>
    <row r="1983" spans="1:2" x14ac:dyDescent="0.25">
      <c r="A1983" t="s">
        <v>51</v>
      </c>
      <c r="B1983" t="str">
        <f t="shared" ref="B1983:B2014" si="64">"&lt;prefix&gt;_&lt;mm&gt;01&lt;yy&gt;_&lt;ar&gt;"&amp;A1983</f>
        <v>&lt;prefix&gt;_&lt;mm&gt;01&lt;yy&gt;_&lt;ar&gt;Billed Msg MOU Rev by CLLI by EMR Jurisdiction</v>
      </c>
    </row>
    <row r="1984" spans="1:2" x14ac:dyDescent="0.25">
      <c r="A1984" t="s">
        <v>1250</v>
      </c>
      <c r="B1984" t="str">
        <f t="shared" si="64"/>
        <v>&lt;prefix&gt;_&lt;mm&gt;01&lt;yy&gt;_&lt;ar&gt;Billed Msg MOU Rev by CLLI by Jurisdiction</v>
      </c>
    </row>
    <row r="1985" spans="1:2" x14ac:dyDescent="0.25">
      <c r="A1985" t="s">
        <v>1251</v>
      </c>
      <c r="B1985" t="str">
        <f t="shared" si="64"/>
        <v>&lt;prefix&gt;_&lt;mm&gt;01&lt;yy&gt;_&lt;ar&gt;CLNT aur_usage_by_day_co_v3</v>
      </c>
    </row>
    <row r="1986" spans="1:2" x14ac:dyDescent="0.25">
      <c r="A1986" t="s">
        <v>1252</v>
      </c>
      <c r="B1986" t="str">
        <f t="shared" si="64"/>
        <v>&lt;prefix&gt;_&lt;mm&gt;01&lt;yy&gt;_&lt;ar&gt;CLNT billed_by_period_for_exp_4_v2</v>
      </c>
    </row>
    <row r="1987" spans="1:2" x14ac:dyDescent="0.25">
      <c r="A1987" t="s">
        <v>1255</v>
      </c>
      <c r="B1987" t="str">
        <f t="shared" si="64"/>
        <v>&lt;prefix&gt;_&lt;mm&gt;01&lt;yy&gt;_&lt;ar&gt;CLNT gl_trans_from_adjustments_ban_v3</v>
      </c>
    </row>
    <row r="1988" spans="1:2" x14ac:dyDescent="0.25">
      <c r="A1988" t="s">
        <v>1256</v>
      </c>
      <c r="B1988" t="str">
        <f t="shared" si="64"/>
        <v>&lt;prefix&gt;_&lt;mm&gt;01&lt;yy&gt;_&lt;ar&gt;CLNT gl_trans_from_occ_ban_v3</v>
      </c>
    </row>
    <row r="1989" spans="1:2" x14ac:dyDescent="0.25">
      <c r="A1989" t="s">
        <v>1257</v>
      </c>
      <c r="B1989" t="str">
        <f t="shared" si="64"/>
        <v>&lt;prefix&gt;_&lt;mm&gt;01&lt;yy&gt;_&lt;ar&gt;CLNT invoice_balances_by_jur_w_lpc_v2</v>
      </c>
    </row>
    <row r="1990" spans="1:2" x14ac:dyDescent="0.25">
      <c r="A1990" t="s">
        <v>53</v>
      </c>
      <c r="B1990" t="str">
        <f t="shared" si="64"/>
        <v>&lt;prefix&gt;_&lt;mm&gt;01&lt;yy&gt;_&lt;ar&gt;CLNT ly_invoice_balances_by_jur_cic</v>
      </c>
    </row>
    <row r="1991" spans="1:2" x14ac:dyDescent="0.25">
      <c r="A1991" t="s">
        <v>55</v>
      </c>
      <c r="B1991" t="str">
        <f t="shared" si="64"/>
        <v>&lt;prefix&gt;_&lt;mm&gt;01&lt;yy&gt;_&lt;ar&gt;CLNT nt_ckt_billed_live_disco_v2</v>
      </c>
    </row>
    <row r="1992" spans="1:2" x14ac:dyDescent="0.25">
      <c r="A1992" t="s">
        <v>1258</v>
      </c>
      <c r="B1992" t="str">
        <f t="shared" si="64"/>
        <v>&lt;prefix&gt;_&lt;mm&gt;01&lt;yy&gt;_&lt;ar&gt;CLNT nt_fa_acctg_detail_rpt_v1</v>
      </c>
    </row>
    <row r="1993" spans="1:2" x14ac:dyDescent="0.25">
      <c r="A1993" t="s">
        <v>1259</v>
      </c>
      <c r="B1993" t="str">
        <f t="shared" si="64"/>
        <v>&lt;prefix&gt;_&lt;mm&gt;01&lt;yy&gt;_&lt;ar&gt;CLNT nt_fa_acctg_rpt_v1</v>
      </c>
    </row>
    <row r="1994" spans="1:2" x14ac:dyDescent="0.25">
      <c r="A1994" t="s">
        <v>1260</v>
      </c>
      <c r="B1994" t="str">
        <f t="shared" si="64"/>
        <v>&lt;prefix&gt;_&lt;mm&gt;01&lt;yy&gt;_&lt;ar&gt;CLNT nt_m_m_r_p_to_export_v1</v>
      </c>
    </row>
    <row r="1995" spans="1:2" x14ac:dyDescent="0.25">
      <c r="A1995" t="s">
        <v>1261</v>
      </c>
      <c r="B1995" t="str">
        <f t="shared" si="64"/>
        <v>&lt;prefix&gt;_&lt;mm&gt;01&lt;yy&gt;_&lt;ar&gt;CLNT nt_m_m_r_to_export_v1</v>
      </c>
    </row>
    <row r="1996" spans="1:2" x14ac:dyDescent="0.25">
      <c r="A1996" t="s">
        <v>1262</v>
      </c>
      <c r="B1996" t="str">
        <f t="shared" si="64"/>
        <v>&lt;prefix&gt;_&lt;mm&gt;01&lt;yy&gt;_&lt;ar&gt;CLNT nt_rev_analysis_clli_2</v>
      </c>
    </row>
    <row r="1997" spans="1:2" x14ac:dyDescent="0.25">
      <c r="A1997" t="s">
        <v>1263</v>
      </c>
      <c r="B1997" t="str">
        <f t="shared" si="64"/>
        <v>&lt;prefix&gt;_&lt;mm&gt;01&lt;yy&gt;_&lt;ar&gt;CLNT payment_by_date8_v2</v>
      </c>
    </row>
    <row r="1998" spans="1:2" x14ac:dyDescent="0.25">
      <c r="A1998" t="s">
        <v>1264</v>
      </c>
      <c r="B1998" t="str">
        <f t="shared" si="64"/>
        <v>&lt;prefix&gt;_&lt;mm&gt;01&lt;yy&gt;_&lt;ar&gt;CLNT r_aged_trial_bal_1v3</v>
      </c>
    </row>
    <row r="1999" spans="1:2" x14ac:dyDescent="0.25">
      <c r="A1999" t="s">
        <v>1265</v>
      </c>
      <c r="B1999" t="str">
        <f t="shared" si="64"/>
        <v>&lt;prefix&gt;_&lt;mm&gt;01&lt;yy&gt;_&lt;ar&gt;CLNT r_aged_trial_bal_for_export_v2</v>
      </c>
    </row>
    <row r="2000" spans="1:2" x14ac:dyDescent="0.25">
      <c r="A2000" t="s">
        <v>1266</v>
      </c>
      <c r="B2000" t="str">
        <f t="shared" si="64"/>
        <v>&lt;prefix&gt;_&lt;mm&gt;01&lt;yy&gt;_&lt;ar&gt;CLNT r_sce_3_v3_2</v>
      </c>
    </row>
    <row r="2001" spans="1:2" x14ac:dyDescent="0.25">
      <c r="A2001" t="s">
        <v>1267</v>
      </c>
      <c r="B2001" t="str">
        <f t="shared" si="64"/>
        <v>&lt;prefix&gt;_&lt;mm&gt;01&lt;yy&gt;_&lt;ar&gt;CLNT r_transaction_summary_bills_v2</v>
      </c>
    </row>
    <row r="2002" spans="1:2" x14ac:dyDescent="0.25">
      <c r="A2002" t="s">
        <v>1268</v>
      </c>
      <c r="B2002" t="str">
        <f t="shared" si="64"/>
        <v>&lt;prefix&gt;_&lt;mm&gt;01&lt;yy&gt;_&lt;ar&gt;CLNT sw_invoice_trending_v6</v>
      </c>
    </row>
    <row r="2003" spans="1:2" x14ac:dyDescent="0.25">
      <c r="A2003" t="s">
        <v>1269</v>
      </c>
      <c r="B2003" t="str">
        <f t="shared" si="64"/>
        <v>&lt;prefix&gt;_&lt;mm&gt;01&lt;yy&gt;_&lt;ar&gt;Company Master Report</v>
      </c>
    </row>
    <row r="2004" spans="1:2" x14ac:dyDescent="0.25">
      <c r="A2004" t="s">
        <v>1347</v>
      </c>
      <c r="B2004" t="str">
        <f t="shared" si="64"/>
        <v>&lt;prefix&gt;_&lt;mm&gt;01&lt;yy&gt;_&lt;ar&gt;Customer BAN Info 4 v3</v>
      </c>
    </row>
    <row r="2005" spans="1:2" x14ac:dyDescent="0.25">
      <c r="A2005" t="s">
        <v>1271</v>
      </c>
      <c r="B2005" t="str">
        <f t="shared" si="64"/>
        <v>&lt;prefix&gt;_&lt;mm&gt;01&lt;yy&gt;_&lt;ar&gt;Dispute amounts by type by month</v>
      </c>
    </row>
    <row r="2006" spans="1:2" x14ac:dyDescent="0.25">
      <c r="A2006" t="s">
        <v>1272</v>
      </c>
      <c r="B2006" t="str">
        <f t="shared" si="64"/>
        <v>&lt;prefix&gt;_&lt;mm&gt;01&lt;yy&gt;_&lt;ar&gt;Dispute amounts by type by month by carrier</v>
      </c>
    </row>
    <row r="2007" spans="1:2" x14ac:dyDescent="0.25">
      <c r="A2007" t="s">
        <v>1273</v>
      </c>
      <c r="B2007" t="str">
        <f t="shared" si="64"/>
        <v>&lt;prefix&gt;_&lt;mm&gt;01&lt;yy&gt;_&lt;ar&gt;Dispute amounts by type by quarter</v>
      </c>
    </row>
    <row r="2008" spans="1:2" x14ac:dyDescent="0.25">
      <c r="A2008" t="s">
        <v>1274</v>
      </c>
      <c r="B2008" t="str">
        <f t="shared" si="64"/>
        <v>&lt;prefix&gt;_&lt;mm&gt;01&lt;yy&gt;_&lt;ar&gt;Dispute amounts by type by quarter by carrier</v>
      </c>
    </row>
    <row r="2009" spans="1:2" x14ac:dyDescent="0.25">
      <c r="A2009" t="s">
        <v>1275</v>
      </c>
      <c r="B2009" t="str">
        <f t="shared" si="64"/>
        <v>&lt;prefix&gt;_&lt;mm&gt;01&lt;yy&gt;_&lt;ar&gt;Dispute amounts/carrier/month for a given year</v>
      </c>
    </row>
    <row r="2010" spans="1:2" x14ac:dyDescent="0.25">
      <c r="A2010" t="s">
        <v>1276</v>
      </c>
      <c r="B2010" t="str">
        <f t="shared" si="64"/>
        <v>&lt;prefix&gt;_&lt;mm&gt;01&lt;yy&gt;_&lt;ar&gt;Dispute amounts/carrier/qtr for a given year</v>
      </c>
    </row>
    <row r="2011" spans="1:2" x14ac:dyDescent="0.25">
      <c r="A2011" t="s">
        <v>1277</v>
      </c>
      <c r="B2011" t="str">
        <f t="shared" si="64"/>
        <v>&lt;prefix&gt;_&lt;mm&gt;01&lt;yy&gt;_&lt;ar&gt;Dispute amounts-carrier-month for a given year</v>
      </c>
    </row>
    <row r="2012" spans="1:2" x14ac:dyDescent="0.25">
      <c r="A2012" t="s">
        <v>1278</v>
      </c>
      <c r="B2012" t="str">
        <f t="shared" si="64"/>
        <v>&lt;prefix&gt;_&lt;mm&gt;01&lt;yy&gt;_&lt;ar&gt;Dispute amounts-carrier-qtr for a given year</v>
      </c>
    </row>
    <row r="2013" spans="1:2" x14ac:dyDescent="0.25">
      <c r="A2013" t="s">
        <v>1279</v>
      </c>
      <c r="B2013" t="str">
        <f t="shared" si="64"/>
        <v>&lt;prefix&gt;_&lt;mm&gt;01&lt;yy&gt;_&lt;ar&gt;EC1050 Report</v>
      </c>
    </row>
    <row r="2014" spans="1:2" x14ac:dyDescent="0.25">
      <c r="A2014" t="s">
        <v>1487</v>
      </c>
      <c r="B2014" t="str">
        <f t="shared" si="64"/>
        <v>&lt;prefix&gt;_&lt;mm&gt;01&lt;yy&gt;_&lt;ar&gt;Find A Circuit and BAN</v>
      </c>
    </row>
    <row r="2015" spans="1:2" x14ac:dyDescent="0.25">
      <c r="A2015" t="s">
        <v>78</v>
      </c>
      <c r="B2015" t="str">
        <f t="shared" ref="B2015:B2046" si="65">"&lt;prefix&gt;_&lt;mm&gt;01&lt;yy&gt;_&lt;ar&gt;"&amp;A2015</f>
        <v>&lt;prefix&gt;_&lt;mm&gt;01&lt;yy&gt;_&lt;ar&gt;Fulfillment Report</v>
      </c>
    </row>
    <row r="2016" spans="1:2" x14ac:dyDescent="0.25">
      <c r="A2016" t="s">
        <v>1281</v>
      </c>
      <c r="B2016" t="str">
        <f t="shared" si="65"/>
        <v>&lt;prefix&gt;_&lt;mm&gt;01&lt;yy&gt;_&lt;ar&gt;Graph - Disputed Amounts by Carrier</v>
      </c>
    </row>
    <row r="2017" spans="1:2" x14ac:dyDescent="0.25">
      <c r="A2017" t="s">
        <v>1282</v>
      </c>
      <c r="B2017" t="str">
        <f t="shared" si="65"/>
        <v>&lt;prefix&gt;_&lt;mm&gt;01&lt;yy&gt;_&lt;ar&gt;Graph - Disputed Amounts by Carrier by Date</v>
      </c>
    </row>
    <row r="2018" spans="1:2" x14ac:dyDescent="0.25">
      <c r="A2018" t="s">
        <v>1283</v>
      </c>
      <c r="B2018" t="str">
        <f t="shared" si="65"/>
        <v>&lt;prefix&gt;_&lt;mm&gt;01&lt;yy&gt;_&lt;ar&gt;Graph - Disputed Amounts by dispute types</v>
      </c>
    </row>
    <row r="2019" spans="1:2" x14ac:dyDescent="0.25">
      <c r="A2019" t="s">
        <v>1284</v>
      </c>
      <c r="B2019" t="str">
        <f t="shared" si="65"/>
        <v>&lt;prefix&gt;_&lt;mm&gt;01&lt;yy&gt;_&lt;ar&gt;Graph - Disputed Amounts vs Resolutions</v>
      </c>
    </row>
    <row r="2020" spans="1:2" x14ac:dyDescent="0.25">
      <c r="A2020" t="s">
        <v>1285</v>
      </c>
      <c r="B2020" t="str">
        <f t="shared" si="65"/>
        <v>&lt;prefix&gt;_&lt;mm&gt;01&lt;yy&gt;_&lt;ar&gt;Graph - No. of Disputes by Carrier</v>
      </c>
    </row>
    <row r="2021" spans="1:2" x14ac:dyDescent="0.25">
      <c r="A2021" t="s">
        <v>1286</v>
      </c>
      <c r="B2021" t="str">
        <f t="shared" si="65"/>
        <v>&lt;prefix&gt;_&lt;mm&gt;01&lt;yy&gt;_&lt;ar&gt;Graph - No. of Disputes by Carrier by Date</v>
      </c>
    </row>
    <row r="2022" spans="1:2" x14ac:dyDescent="0.25">
      <c r="A2022" t="s">
        <v>87</v>
      </c>
      <c r="B2022" t="str">
        <f t="shared" si="65"/>
        <v>&lt;prefix&gt;_&lt;mm&gt;01&lt;yy&gt;_&lt;ar&gt;Invoice Count Report (non-zero balances)</v>
      </c>
    </row>
    <row r="2023" spans="1:2" x14ac:dyDescent="0.25">
      <c r="A2023" t="s">
        <v>1289</v>
      </c>
      <c r="B2023" t="str">
        <f t="shared" si="65"/>
        <v>&lt;prefix&gt;_&lt;mm&gt;01&lt;yy&gt;_&lt;ar&gt;Message Record Analysis</v>
      </c>
    </row>
    <row r="2024" spans="1:2" x14ac:dyDescent="0.25">
      <c r="A2024" t="s">
        <v>1290</v>
      </c>
      <c r="B2024" t="str">
        <f t="shared" si="65"/>
        <v>&lt;prefix&gt;_&lt;mm&gt;01&lt;yy&gt;_&lt;ar&gt;Messages and minutes billed by FG,CIC</v>
      </c>
    </row>
    <row r="2025" spans="1:2" x14ac:dyDescent="0.25">
      <c r="A2025" t="s">
        <v>1291</v>
      </c>
      <c r="B2025" t="str">
        <f t="shared" si="65"/>
        <v>&lt;prefix&gt;_&lt;mm&gt;01&lt;yy&gt;_&lt;ar&gt;Messages and minutes billed by FG,CIC(Local separa</v>
      </c>
    </row>
    <row r="2026" spans="1:2" x14ac:dyDescent="0.25">
      <c r="A2026" t="s">
        <v>1292</v>
      </c>
      <c r="B2026" t="str">
        <f t="shared" si="65"/>
        <v>&lt;prefix&gt;_&lt;mm&gt;01&lt;yy&gt;_&lt;ar&gt;Minutes</v>
      </c>
    </row>
    <row r="2027" spans="1:2" x14ac:dyDescent="0.25">
      <c r="A2027" t="s">
        <v>92</v>
      </c>
      <c r="B2027" t="str">
        <f t="shared" si="65"/>
        <v>&lt;prefix&gt;_&lt;mm&gt;01&lt;yy&gt;_&lt;ar&gt;Minutes and revenue billed by rate element</v>
      </c>
    </row>
    <row r="2028" spans="1:2" x14ac:dyDescent="0.25">
      <c r="A2028" t="s">
        <v>1293</v>
      </c>
      <c r="B2028" t="str">
        <f t="shared" si="65"/>
        <v>&lt;prefix&gt;_&lt;mm&gt;01&lt;yy&gt;_&lt;ar&gt;Minutes billed by BAN, Orig- Term Inter-Intra Stat</v>
      </c>
    </row>
    <row r="2029" spans="1:2" x14ac:dyDescent="0.25">
      <c r="A2029" t="s">
        <v>1294</v>
      </c>
      <c r="B2029" t="str">
        <f t="shared" si="65"/>
        <v>&lt;prefix&gt;_&lt;mm&gt;01&lt;yy&gt;_&lt;ar&gt;Minutes billed by BAN, Orig/ Term Inter/Intra Stat</v>
      </c>
    </row>
    <row r="2030" spans="1:2" x14ac:dyDescent="0.25">
      <c r="A2030" t="s">
        <v>1488</v>
      </c>
      <c r="B2030" t="str">
        <f t="shared" si="65"/>
        <v>&lt;prefix&gt;_&lt;mm&gt;01&lt;yy&gt;_&lt;ar&gt;MMR by BAN CLLI FA CIC</v>
      </c>
    </row>
    <row r="2031" spans="1:2" x14ac:dyDescent="0.25">
      <c r="A2031" t="s">
        <v>1297</v>
      </c>
      <c r="B2031" t="str">
        <f t="shared" si="65"/>
        <v>&lt;prefix&gt;_&lt;mm&gt;01&lt;yy&gt;_&lt;ar&gt;Non FA Rate Element as Billed Table Report</v>
      </c>
    </row>
    <row r="2032" spans="1:2" x14ac:dyDescent="0.25">
      <c r="A2032" t="s">
        <v>1298</v>
      </c>
      <c r="B2032" t="str">
        <f t="shared" si="65"/>
        <v>&lt;prefix&gt;_&lt;mm&gt;01&lt;yy&gt;_&lt;ar&gt;OCC Detail Report - Posted</v>
      </c>
    </row>
    <row r="2033" spans="1:2" x14ac:dyDescent="0.25">
      <c r="A2033" t="s">
        <v>1299</v>
      </c>
      <c r="B2033" t="str">
        <f t="shared" si="65"/>
        <v>&lt;prefix&gt;_&lt;mm&gt;01&lt;yy&gt;_&lt;ar&gt;OCC Detail Report - Unposted</v>
      </c>
    </row>
    <row r="2034" spans="1:2" x14ac:dyDescent="0.25">
      <c r="A2034" t="s">
        <v>1300</v>
      </c>
      <c r="B2034" t="str">
        <f t="shared" si="65"/>
        <v>&lt;prefix&gt;_&lt;mm&gt;01&lt;yy&gt;_&lt;ar&gt;Partially Paid Invoices</v>
      </c>
    </row>
    <row r="2035" spans="1:2" x14ac:dyDescent="0.25">
      <c r="A2035" t="s">
        <v>1301</v>
      </c>
      <c r="B2035" t="str">
        <f t="shared" si="65"/>
        <v>&lt;prefix&gt;_&lt;mm&gt;01&lt;yy&gt;_&lt;ar&gt;Payment Details by Check</v>
      </c>
    </row>
    <row r="2036" spans="1:2" x14ac:dyDescent="0.25">
      <c r="A2036" t="s">
        <v>1302</v>
      </c>
      <c r="B2036" t="str">
        <f t="shared" si="65"/>
        <v>&lt;prefix&gt;_&lt;mm&gt;01&lt;yy&gt;_&lt;ar&gt;Payments by Payer by BAN</v>
      </c>
    </row>
    <row r="2037" spans="1:2" x14ac:dyDescent="0.25">
      <c r="A2037" t="s">
        <v>1303</v>
      </c>
      <c r="B2037" t="str">
        <f t="shared" si="65"/>
        <v>&lt;prefix&gt;_&lt;mm&gt;01&lt;yy&gt;_&lt;ar&gt;Payments Not on Bill</v>
      </c>
    </row>
    <row r="2038" spans="1:2" x14ac:dyDescent="0.25">
      <c r="A2038" t="s">
        <v>1304</v>
      </c>
      <c r="B2038" t="str">
        <f t="shared" si="65"/>
        <v>&lt;prefix&gt;_&lt;mm&gt;01&lt;yy&gt;_&lt;ar&gt;Percent of disputes/billed per month/year</v>
      </c>
    </row>
    <row r="2039" spans="1:2" x14ac:dyDescent="0.25">
      <c r="A2039" t="s">
        <v>1305</v>
      </c>
      <c r="B2039" t="str">
        <f t="shared" si="65"/>
        <v>&lt;prefix&gt;_&lt;mm&gt;01&lt;yy&gt;_&lt;ar&gt;Percent of disputes/billed per qtr/year</v>
      </c>
    </row>
    <row r="2040" spans="1:2" x14ac:dyDescent="0.25">
      <c r="A2040" t="s">
        <v>1306</v>
      </c>
      <c r="B2040" t="str">
        <f t="shared" si="65"/>
        <v>&lt;prefix&gt;_&lt;mm&gt;01&lt;yy&gt;_&lt;ar&gt;Percent of disputes-billed per month-year</v>
      </c>
    </row>
    <row r="2041" spans="1:2" x14ac:dyDescent="0.25">
      <c r="A2041" t="s">
        <v>1307</v>
      </c>
      <c r="B2041" t="str">
        <f t="shared" si="65"/>
        <v>&lt;prefix&gt;_&lt;mm&gt;01&lt;yy&gt;_&lt;ar&gt;Percent of disputes-billed per qtr-year</v>
      </c>
    </row>
    <row r="2042" spans="1:2" x14ac:dyDescent="0.25">
      <c r="A2042" t="s">
        <v>1308</v>
      </c>
      <c r="B2042" t="str">
        <f t="shared" si="65"/>
        <v>&lt;prefix&gt;_&lt;mm&gt;01&lt;yy&gt;_&lt;ar&gt;Post billing rate change adj. calc. - FA</v>
      </c>
    </row>
    <row r="2043" spans="1:2" x14ac:dyDescent="0.25">
      <c r="A2043" t="s">
        <v>1309</v>
      </c>
      <c r="B2043" t="str">
        <f t="shared" si="65"/>
        <v>&lt;prefix&gt;_&lt;mm&gt;01&lt;yy&gt;_&lt;ar&gt;Post billing rate change adj. calc. - SW</v>
      </c>
    </row>
    <row r="2044" spans="1:2" x14ac:dyDescent="0.25">
      <c r="A2044" t="s">
        <v>1310</v>
      </c>
      <c r="B2044" t="str">
        <f t="shared" si="65"/>
        <v>&lt;prefix&gt;_&lt;mm&gt;01&lt;yy&gt;_&lt;ar&gt;Rate Element Table Report</v>
      </c>
    </row>
    <row r="2045" spans="1:2" x14ac:dyDescent="0.25">
      <c r="A2045" t="s">
        <v>1311</v>
      </c>
      <c r="B2045" t="str">
        <f t="shared" si="65"/>
        <v>&lt;prefix&gt;_&lt;mm&gt;01&lt;yy&gt;_&lt;ar&gt;Reconciliation of account balance over time</v>
      </c>
    </row>
    <row r="2046" spans="1:2" x14ac:dyDescent="0.25">
      <c r="A2046" t="s">
        <v>1312</v>
      </c>
      <c r="B2046" t="str">
        <f t="shared" si="65"/>
        <v>&lt;prefix&gt;_&lt;mm&gt;01&lt;yy&gt;_&lt;ar&gt;Resolved Disputes by carrier</v>
      </c>
    </row>
    <row r="2047" spans="1:2" x14ac:dyDescent="0.25">
      <c r="A2047" t="s">
        <v>1313</v>
      </c>
      <c r="B2047" t="str">
        <f t="shared" ref="B2047:B2078" si="66">"&lt;prefix&gt;_&lt;mm&gt;01&lt;yy&gt;_&lt;ar&gt;"&amp;A2047</f>
        <v>&lt;prefix&gt;_&lt;mm&gt;01&lt;yy&gt;_&lt;ar&gt;Revenue</v>
      </c>
    </row>
    <row r="2048" spans="1:2" x14ac:dyDescent="0.25">
      <c r="A2048" t="s">
        <v>1314</v>
      </c>
      <c r="B2048" t="str">
        <f t="shared" si="66"/>
        <v>&lt;prefix&gt;_&lt;mm&gt;01&lt;yy&gt;_&lt;ar&gt;Revenue billed by BAN, Inter/Intra State</v>
      </c>
    </row>
    <row r="2049" spans="1:2" x14ac:dyDescent="0.25">
      <c r="A2049" t="s">
        <v>1315</v>
      </c>
      <c r="B2049" t="str">
        <f t="shared" si="66"/>
        <v>&lt;prefix&gt;_&lt;mm&gt;01&lt;yy&gt;_&lt;ar&gt;Revenue billed by BAN, Inter-Intra State</v>
      </c>
    </row>
    <row r="2050" spans="1:2" x14ac:dyDescent="0.25">
      <c r="A2050" t="s">
        <v>1316</v>
      </c>
      <c r="B2050" t="str">
        <f t="shared" si="66"/>
        <v>&lt;prefix&gt;_&lt;mm&gt;01&lt;yy&gt;_&lt;ar&gt;Security Report by User</v>
      </c>
    </row>
    <row r="2051" spans="1:2" x14ac:dyDescent="0.25">
      <c r="A2051" t="s">
        <v>1317</v>
      </c>
      <c r="B2051" t="str">
        <f t="shared" si="66"/>
        <v>&lt;prefix&gt;_&lt;mm&gt;01&lt;yy&gt;_&lt;ar&gt;Security Report by Window</v>
      </c>
    </row>
    <row r="2052" spans="1:2" x14ac:dyDescent="0.25">
      <c r="A2052" t="s">
        <v>1489</v>
      </c>
      <c r="B2052" t="str">
        <f t="shared" si="66"/>
        <v>&lt;prefix&gt;_&lt;mm&gt;01&lt;yy&gt;_&lt;ar&gt;SELCTV5_Reports_Table</v>
      </c>
    </row>
    <row r="2053" spans="1:2" x14ac:dyDescent="0.25">
      <c r="A2053" t="s">
        <v>1490</v>
      </c>
      <c r="B2053" t="str">
        <f t="shared" si="66"/>
        <v>&lt;prefix&gt;_&lt;mm&gt;01&lt;yy&gt;_&lt;ar&gt;SELCTV5_Rpt_Argmnt</v>
      </c>
    </row>
    <row r="2054" spans="1:2" x14ac:dyDescent="0.25">
      <c r="A2054" t="s">
        <v>1318</v>
      </c>
      <c r="B2054" t="str">
        <f t="shared" si="66"/>
        <v>&lt;prefix&gt;_&lt;mm&gt;01&lt;yy&gt;_&lt;ar&gt;SOC Jurisdiction Table Report</v>
      </c>
    </row>
    <row r="2055" spans="1:2" x14ac:dyDescent="0.25">
      <c r="A2055" t="s">
        <v>1319</v>
      </c>
      <c r="B2055" t="str">
        <f t="shared" si="66"/>
        <v>&lt;prefix&gt;_&lt;mm&gt;01&lt;yy&gt;_&lt;ar&gt;SOC Rate Comparison between companies</v>
      </c>
    </row>
    <row r="2056" spans="1:2" x14ac:dyDescent="0.25">
      <c r="A2056" t="s">
        <v>1320</v>
      </c>
      <c r="B2056" t="str">
        <f t="shared" si="66"/>
        <v>&lt;prefix&gt;_&lt;mm&gt;01&lt;yy&gt;_&lt;ar&gt;SOC Tariff Table Report</v>
      </c>
    </row>
    <row r="2057" spans="1:2" x14ac:dyDescent="0.25">
      <c r="A2057" t="s">
        <v>1321</v>
      </c>
      <c r="B2057" t="str">
        <f t="shared" si="66"/>
        <v>&lt;prefix&gt;_&lt;mm&gt;01&lt;yy&gt;_&lt;ar&gt;Summary of Adjustments Report</v>
      </c>
    </row>
    <row r="2058" spans="1:2" x14ac:dyDescent="0.25">
      <c r="A2058" t="s">
        <v>1322</v>
      </c>
      <c r="B2058" t="str">
        <f t="shared" si="66"/>
        <v>&lt;prefix&gt;_&lt;mm&gt;01&lt;yy&gt;_&lt;ar&gt;Summary of OCCs Report</v>
      </c>
    </row>
    <row r="2059" spans="1:2" x14ac:dyDescent="0.25">
      <c r="A2059" t="s">
        <v>120</v>
      </c>
      <c r="B2059" t="str">
        <f t="shared" si="66"/>
        <v>&lt;prefix&gt;_&lt;mm&gt;01&lt;yy&gt;_&lt;ar&gt;SW Usage Charges Summary</v>
      </c>
    </row>
    <row r="2060" spans="1:2" x14ac:dyDescent="0.25">
      <c r="A2060" t="s">
        <v>1323</v>
      </c>
      <c r="B2060" t="str">
        <f t="shared" si="66"/>
        <v>&lt;prefix&gt;_&lt;mm&gt;01&lt;yy&gt;_&lt;ar&gt;SW Usage Charges Summary by CLLI</v>
      </c>
    </row>
    <row r="2061" spans="1:2" x14ac:dyDescent="0.25">
      <c r="A2061" t="s">
        <v>1324</v>
      </c>
      <c r="B2061" t="str">
        <f t="shared" si="66"/>
        <v>&lt;prefix&gt;_&lt;mm&gt;01&lt;yy&gt;_&lt;ar&gt;SW Usage Statistics Summary</v>
      </c>
    </row>
    <row r="2062" spans="1:2" x14ac:dyDescent="0.25">
      <c r="A2062" t="s">
        <v>1326</v>
      </c>
      <c r="B2062" t="str">
        <f t="shared" si="66"/>
        <v>&lt;prefix&gt;_&lt;mm&gt;01&lt;yy&gt;_&lt;ar&gt;Switched Billing Account - Factor Report</v>
      </c>
    </row>
    <row r="2063" spans="1:2" x14ac:dyDescent="0.25">
      <c r="A2063" t="s">
        <v>1327</v>
      </c>
      <c r="B2063" t="str">
        <f t="shared" si="66"/>
        <v>&lt;prefix&gt;_&lt;mm&gt;01&lt;yy&gt;_&lt;ar&gt;Switched Billing Account - SOC Report</v>
      </c>
    </row>
    <row r="2064" spans="1:2" x14ac:dyDescent="0.25">
      <c r="A2064" t="s">
        <v>1328</v>
      </c>
      <c r="B2064" t="str">
        <f t="shared" si="66"/>
        <v>&lt;prefix&gt;_&lt;mm&gt;01&lt;yy&gt;_&lt;ar&gt;Switched Billing Account - Wire Center Report</v>
      </c>
    </row>
    <row r="2065" spans="1:2" x14ac:dyDescent="0.25">
      <c r="A2065" t="s">
        <v>1329</v>
      </c>
      <c r="B2065" t="str">
        <f t="shared" si="66"/>
        <v>&lt;prefix&gt;_&lt;mm&gt;01&lt;yy&gt;_&lt;ar&gt;Tariff Element Tracking</v>
      </c>
    </row>
    <row r="2066" spans="1:2" x14ac:dyDescent="0.25">
      <c r="A2066" t="s">
        <v>619</v>
      </c>
      <c r="B2066" t="str">
        <f t="shared" si="66"/>
        <v>&lt;prefix&gt;_&lt;mm&gt;01&lt;yy&gt;_&lt;ar&gt;Transaction Detail Listing</v>
      </c>
    </row>
    <row r="2067" spans="1:2" x14ac:dyDescent="0.25">
      <c r="A2067" t="s">
        <v>616</v>
      </c>
      <c r="B2067" t="str">
        <f t="shared" si="66"/>
        <v>&lt;prefix&gt;_&lt;mm&gt;01&lt;yy&gt;_&lt;ar&gt;Transaction Summary</v>
      </c>
    </row>
    <row r="2068" spans="1:2" x14ac:dyDescent="0.25">
      <c r="A2068" t="s">
        <v>1331</v>
      </c>
      <c r="B2068" t="str">
        <f t="shared" si="66"/>
        <v>&lt;prefix&gt;_&lt;mm&gt;01&lt;yy&gt;_&lt;ar&gt;Transaction Summary - adjustments only</v>
      </c>
    </row>
    <row r="2069" spans="1:2" x14ac:dyDescent="0.25">
      <c r="A2069" t="s">
        <v>1332</v>
      </c>
      <c r="B2069" t="str">
        <f t="shared" si="66"/>
        <v>&lt;prefix&gt;_&lt;mm&gt;01&lt;yy&gt;_&lt;ar&gt;Transaction Summary - receipts only</v>
      </c>
    </row>
    <row r="2070" spans="1:2" x14ac:dyDescent="0.25">
      <c r="A2070" t="s">
        <v>1333</v>
      </c>
      <c r="B2070" t="str">
        <f t="shared" si="66"/>
        <v>&lt;prefix&gt;_&lt;mm&gt;01&lt;yy&gt;_&lt;ar&gt;Transaction Summary by transaction/bill type</v>
      </c>
    </row>
    <row r="2071" spans="1:2" x14ac:dyDescent="0.25">
      <c r="A2071" t="s">
        <v>1334</v>
      </c>
      <c r="B2071" t="str">
        <f t="shared" si="66"/>
        <v xml:space="preserve">&lt;prefix&gt;_&lt;mm&gt;01&lt;yy&gt;_&lt;ar&gt;Transaction Summary by transaction/bill type </v>
      </c>
    </row>
    <row r="2072" spans="1:2" x14ac:dyDescent="0.25">
      <c r="A2072" t="s">
        <v>1335</v>
      </c>
      <c r="B2072" t="str">
        <f t="shared" si="66"/>
        <v>&lt;prefix&gt;_&lt;mm&gt;01&lt;yy&gt;_&lt;ar&gt;Transaction Summary by transaction-bill type</v>
      </c>
    </row>
    <row r="2073" spans="1:2" x14ac:dyDescent="0.25">
      <c r="A2073" t="s">
        <v>1336</v>
      </c>
      <c r="B2073" t="str">
        <f t="shared" si="66"/>
        <v>&lt;prefix&gt;_&lt;mm&gt;01&lt;yy&gt;_&lt;ar&gt;Unposted Adjustments</v>
      </c>
    </row>
    <row r="2074" spans="1:2" x14ac:dyDescent="0.25">
      <c r="A2074" t="s">
        <v>1337</v>
      </c>
      <c r="B2074" t="str">
        <f t="shared" si="66"/>
        <v>&lt;prefix&gt;_&lt;mm&gt;01&lt;yy&gt;_&lt;ar&gt;Unresolved Disputes by Carrier by code</v>
      </c>
    </row>
    <row r="2075" spans="1:2" x14ac:dyDescent="0.25">
      <c r="A2075" t="s">
        <v>1338</v>
      </c>
      <c r="B2075" t="str">
        <f t="shared" si="66"/>
        <v>&lt;prefix&gt;_&lt;mm&gt;01&lt;yy&gt;_&lt;ar&gt;Unresolved Disputes by Carrier by month</v>
      </c>
    </row>
    <row r="2076" spans="1:2" x14ac:dyDescent="0.25">
      <c r="A2076" t="s">
        <v>1339</v>
      </c>
      <c r="B2076" t="str">
        <f t="shared" si="66"/>
        <v>&lt;prefix&gt;_&lt;mm&gt;01&lt;yy&gt;_&lt;ar&gt;Usage Balancing - Company Totals</v>
      </c>
    </row>
    <row r="2077" spans="1:2" x14ac:dyDescent="0.25">
      <c r="A2077" t="s">
        <v>41</v>
      </c>
      <c r="B2077" t="str">
        <f t="shared" si="66"/>
        <v>&lt;prefix&gt;_&lt;mm&gt;01&lt;yy&gt;_&lt;ar&gt;Usage Balancing - Company Totals with Full Detail</v>
      </c>
    </row>
    <row r="2078" spans="1:2" x14ac:dyDescent="0.25">
      <c r="A2078" t="s">
        <v>1340</v>
      </c>
      <c r="B2078" t="str">
        <f t="shared" si="66"/>
        <v>&lt;prefix&gt;_&lt;mm&gt;01&lt;yy&gt;_&lt;ar&gt;Usage Balancing - Company, Ban, Clli Totals</v>
      </c>
    </row>
    <row r="2079" spans="1:2" x14ac:dyDescent="0.25">
      <c r="A2079" t="s">
        <v>1341</v>
      </c>
      <c r="B2079" t="str">
        <f t="shared" ref="B2079:B2082" si="67">"&lt;prefix&gt;_&lt;mm&gt;01&lt;yy&gt;_&lt;ar&gt;"&amp;A2079</f>
        <v>&lt;prefix&gt;_&lt;mm&gt;01&lt;yy&gt;_&lt;ar&gt;Usage Balancing - Company, Ban, Clli, TT Totals</v>
      </c>
    </row>
    <row r="2080" spans="1:2" x14ac:dyDescent="0.25">
      <c r="A2080" t="s">
        <v>1342</v>
      </c>
      <c r="B2080" t="str">
        <f t="shared" si="67"/>
        <v>&lt;prefix&gt;_&lt;mm&gt;01&lt;yy&gt;_&lt;ar&gt;Usage Totaling Rule</v>
      </c>
    </row>
    <row r="2081" spans="1:4" x14ac:dyDescent="0.25">
      <c r="A2081" t="s">
        <v>1343</v>
      </c>
      <c r="B2081" t="str">
        <f t="shared" si="67"/>
        <v>&lt;prefix&gt;_&lt;mm&gt;01&lt;yy&gt;_&lt;ar&gt;Wire Center Mileage Segment Report</v>
      </c>
    </row>
    <row r="2082" spans="1:4" x14ac:dyDescent="0.25">
      <c r="A2082" t="s">
        <v>1344</v>
      </c>
      <c r="B2082" t="str">
        <f t="shared" si="67"/>
        <v>&lt;prefix&gt;_&lt;mm&gt;01&lt;yy&gt;_&lt;ar&gt;Wire Center Report</v>
      </c>
    </row>
    <row r="2083" spans="1:4" x14ac:dyDescent="0.25">
      <c r="A2083" s="2" t="s">
        <v>12</v>
      </c>
      <c r="B2083" s="2" t="str">
        <f t="shared" ref="B2083:B2090" si="68">"&lt;prefix&gt;_&lt;mm&gt;20&lt;yyyy&gt;_&lt;ar&gt;"&amp;A2083</f>
        <v>&lt;prefix&gt;_&lt;mm&gt;20&lt;yyyy&gt;_&lt;ar&gt;AUR History Stats Report</v>
      </c>
      <c r="C2083" s="2" t="s">
        <v>216</v>
      </c>
      <c r="D2083" s="12">
        <v>1</v>
      </c>
    </row>
    <row r="2084" spans="1:4" x14ac:dyDescent="0.25">
      <c r="A2084" s="2" t="s">
        <v>18</v>
      </c>
      <c r="B2084" s="2" t="str">
        <f t="shared" si="68"/>
        <v>&lt;prefix&gt;_&lt;mm&gt;20&lt;yyyy&gt;_&lt;ar&gt;Detailed BAN Error Report</v>
      </c>
      <c r="C2084" s="2" t="s">
        <v>231</v>
      </c>
      <c r="D2084" s="12">
        <v>2</v>
      </c>
    </row>
    <row r="2085" spans="1:4" x14ac:dyDescent="0.25">
      <c r="A2085" s="2" t="s">
        <v>22</v>
      </c>
      <c r="B2085" s="2" t="str">
        <f t="shared" si="68"/>
        <v>&lt;prefix&gt;_&lt;mm&gt;20&lt;yyyy&gt;_&lt;ar&gt;Detailed CLLI Error Report</v>
      </c>
      <c r="C2085" s="2" t="s">
        <v>238</v>
      </c>
      <c r="D2085" s="12">
        <v>3</v>
      </c>
    </row>
    <row r="2086" spans="1:4" x14ac:dyDescent="0.25">
      <c r="A2086" s="2" t="s">
        <v>29</v>
      </c>
      <c r="B2086" s="2" t="str">
        <f t="shared" si="68"/>
        <v>&lt;prefix&gt;_&lt;mm&gt;20&lt;yyyy&gt;_&lt;ar&gt;Exception Analysis Report</v>
      </c>
      <c r="C2086" s="2" t="s">
        <v>248</v>
      </c>
      <c r="D2086" s="12">
        <v>4</v>
      </c>
    </row>
    <row r="2087" spans="1:4" x14ac:dyDescent="0.25">
      <c r="A2087" s="2" t="s">
        <v>47</v>
      </c>
      <c r="B2087" s="2" t="str">
        <f t="shared" si="68"/>
        <v>&lt;prefix&gt;_&lt;mm&gt;20&lt;yyyy&gt;_&lt;ar&gt;MOU Entries Error Report</v>
      </c>
      <c r="C2087" s="2" t="s">
        <v>251</v>
      </c>
      <c r="D2087" s="12">
        <v>5</v>
      </c>
    </row>
    <row r="2088" spans="1:4" x14ac:dyDescent="0.25">
      <c r="A2088" s="2" t="s">
        <v>27</v>
      </c>
      <c r="B2088" s="2" t="str">
        <f t="shared" si="68"/>
        <v>&lt;prefix&gt;_&lt;mm&gt;20&lt;yyyy&gt;_&lt;ar&gt;Duplicate File Processing Report</v>
      </c>
      <c r="C2088" s="2" t="s">
        <v>266</v>
      </c>
      <c r="D2088" s="12">
        <v>6</v>
      </c>
    </row>
    <row r="2089" spans="1:4" x14ac:dyDescent="0.25">
      <c r="A2089" s="2" t="s">
        <v>45</v>
      </c>
      <c r="B2089" s="2" t="str">
        <f t="shared" si="68"/>
        <v>&lt;prefix&gt;_&lt;mm&gt;20&lt;yyyy&gt;_&lt;ar&gt;Usage Verify by Size Report</v>
      </c>
      <c r="C2089" s="2" t="s">
        <v>272</v>
      </c>
      <c r="D2089" s="12">
        <v>7</v>
      </c>
    </row>
    <row r="2090" spans="1:4" x14ac:dyDescent="0.25">
      <c r="A2090" s="2" t="s">
        <v>543</v>
      </c>
      <c r="B2090" s="2" t="str">
        <f t="shared" si="68"/>
        <v>&lt;prefix&gt;_&lt;mm&gt;20&lt;yyyy&gt;_&lt;ar&gt;Usage by Day Report</v>
      </c>
      <c r="C2090" s="23" t="s">
        <v>1057</v>
      </c>
      <c r="D2090" s="12">
        <v>8</v>
      </c>
    </row>
    <row r="2091" spans="1:4" x14ac:dyDescent="0.25">
      <c r="A2091" s="16" t="s">
        <v>43</v>
      </c>
      <c r="B2091" s="16" t="s">
        <v>1201</v>
      </c>
      <c r="C2091" s="16" t="s">
        <v>1196</v>
      </c>
      <c r="D2091" s="22">
        <v>9</v>
      </c>
    </row>
    <row r="2092" spans="1:4" x14ac:dyDescent="0.25">
      <c r="A2092" s="2" t="s">
        <v>107</v>
      </c>
      <c r="B2092" s="2" t="str">
        <f>"&lt;prefix&gt;_&lt;mm&gt;20&lt;yyyy&gt;_&lt;ar&gt;"&amp;A2092</f>
        <v>&lt;prefix&gt;_&lt;mm&gt;20&lt;yyyy&gt;_&lt;ar&gt;Payment Report</v>
      </c>
      <c r="C2092" s="31">
        <v>8</v>
      </c>
      <c r="D2092" s="12">
        <v>10</v>
      </c>
    </row>
    <row r="2093" spans="1:4" x14ac:dyDescent="0.25">
      <c r="A2093" s="2" t="s">
        <v>7</v>
      </c>
      <c r="B2093" s="2" t="str">
        <f>"&lt;prefix&gt;_&lt;mm&gt;20&lt;yyyy&gt;_&lt;ar&gt;"&amp;A2093</f>
        <v>&lt;prefix&gt;_&lt;mm&gt;20&lt;yyyy&gt;_&lt;ar&gt;Adjustments Not Posted Report</v>
      </c>
      <c r="C2093" s="2" t="s">
        <v>336</v>
      </c>
      <c r="D2093" s="12">
        <v>11</v>
      </c>
    </row>
    <row r="2094" spans="1:4" x14ac:dyDescent="0.25">
      <c r="A2094" s="2" t="s">
        <v>32</v>
      </c>
      <c r="B2094" s="2" t="str">
        <f>"&lt;prefix&gt;_&lt;mm&gt;20&lt;yyyy&gt;_&lt;ar&gt;"&amp;A2094</f>
        <v>&lt;prefix&gt;_&lt;mm&gt;20&lt;yyyy&gt;_&lt;ar&gt;Factor Change Audit Report</v>
      </c>
      <c r="C2094" s="31">
        <v>10</v>
      </c>
      <c r="D2094" s="12">
        <v>12</v>
      </c>
    </row>
    <row r="2095" spans="1:4" x14ac:dyDescent="0.25">
      <c r="A2095" s="3" t="s">
        <v>34</v>
      </c>
      <c r="B2095" s="3" t="s">
        <v>1202</v>
      </c>
      <c r="C2095" s="3" t="s">
        <v>362</v>
      </c>
      <c r="D2095" s="22">
        <v>13</v>
      </c>
    </row>
    <row r="2096" spans="1:4" x14ac:dyDescent="0.25">
      <c r="A2096" s="2" t="s">
        <v>39</v>
      </c>
      <c r="B2096" s="2" t="str">
        <f>"&lt;prefix&gt;_&lt;mm&gt;20&lt;yyyy&gt;_&lt;ar&gt;"&amp;A2096</f>
        <v>&lt;prefix&gt;_&lt;mm&gt;20&lt;yyyy&gt;_&lt;ar&gt;SOC Change Audit Report</v>
      </c>
      <c r="C2096" s="31">
        <v>11</v>
      </c>
      <c r="D2096" s="12">
        <v>14</v>
      </c>
    </row>
    <row r="2097" spans="1:4" x14ac:dyDescent="0.25">
      <c r="A2097" s="2" t="s">
        <v>16</v>
      </c>
      <c r="B2097" s="2" t="str">
        <f>"&lt;prefix&gt;_&lt;mm&gt;20&lt;yyyy&gt;_&lt;ar&gt;"&amp;A2097</f>
        <v>&lt;prefix&gt;_&lt;mm&gt;20&lt;yyyy&gt;_&lt;ar&gt;Bill Completion Check Report</v>
      </c>
      <c r="C2097" s="2" t="s">
        <v>383</v>
      </c>
      <c r="D2097" s="12">
        <v>15</v>
      </c>
    </row>
    <row r="2098" spans="1:4" x14ac:dyDescent="0.25">
      <c r="A2098" s="8" t="s">
        <v>117</v>
      </c>
      <c r="B2098" s="8" t="s">
        <v>1203</v>
      </c>
      <c r="C2098" s="8" t="s">
        <v>389</v>
      </c>
      <c r="D2098" s="22">
        <v>16</v>
      </c>
    </row>
    <row r="2099" spans="1:4" x14ac:dyDescent="0.25">
      <c r="A2099" s="3" t="s">
        <v>13</v>
      </c>
      <c r="B2099" s="3" t="s">
        <v>1204</v>
      </c>
      <c r="C2099" s="3" t="s">
        <v>424</v>
      </c>
      <c r="D2099" s="22">
        <v>17</v>
      </c>
    </row>
    <row r="2100" spans="1:4" x14ac:dyDescent="0.25">
      <c r="A2100" s="3" t="s">
        <v>105</v>
      </c>
      <c r="B2100" s="3" t="s">
        <v>1205</v>
      </c>
      <c r="C2100" s="3" t="s">
        <v>428</v>
      </c>
      <c r="D2100" s="22">
        <v>18</v>
      </c>
    </row>
    <row r="2101" spans="1:4" x14ac:dyDescent="0.25">
      <c r="A2101" s="3" t="s">
        <v>127</v>
      </c>
      <c r="B2101" s="3" t="s">
        <v>1206</v>
      </c>
      <c r="C2101" s="3" t="s">
        <v>751</v>
      </c>
      <c r="D2101" s="22">
        <v>19</v>
      </c>
    </row>
    <row r="2102" spans="1:4" x14ac:dyDescent="0.25">
      <c r="A2102" s="3" t="s">
        <v>87</v>
      </c>
      <c r="B2102" s="3" t="s">
        <v>1207</v>
      </c>
      <c r="C2102" s="3" t="s">
        <v>767</v>
      </c>
      <c r="D2102" s="22">
        <v>20</v>
      </c>
    </row>
    <row r="2103" spans="1:4" x14ac:dyDescent="0.25">
      <c r="A2103" s="6" t="s">
        <v>23</v>
      </c>
      <c r="B2103" s="6" t="s">
        <v>1208</v>
      </c>
      <c r="C2103" s="6"/>
      <c r="D2103" s="22">
        <v>21</v>
      </c>
    </row>
    <row r="2104" spans="1:4" x14ac:dyDescent="0.25">
      <c r="A2104" s="6" t="s">
        <v>89</v>
      </c>
      <c r="B2104" s="6" t="s">
        <v>1209</v>
      </c>
      <c r="C2104" s="6"/>
      <c r="D2104" s="22">
        <v>22</v>
      </c>
    </row>
    <row r="2105" spans="1:4" x14ac:dyDescent="0.25">
      <c r="A2105" s="6" t="s">
        <v>90</v>
      </c>
      <c r="B2105" s="6" t="s">
        <v>1210</v>
      </c>
      <c r="C2105" s="6"/>
      <c r="D2105" s="22">
        <v>23</v>
      </c>
    </row>
    <row r="2106" spans="1:4" x14ac:dyDescent="0.25">
      <c r="A2106" s="8" t="s">
        <v>49</v>
      </c>
      <c r="B2106" s="8" t="s">
        <v>1211</v>
      </c>
      <c r="C2106" s="8"/>
      <c r="D2106" s="22">
        <v>24</v>
      </c>
    </row>
    <row r="2107" spans="1:4" x14ac:dyDescent="0.25">
      <c r="A2107" s="6" t="s">
        <v>99</v>
      </c>
      <c r="B2107" s="6" t="s">
        <v>1212</v>
      </c>
      <c r="C2107" s="6"/>
      <c r="D2107" s="22">
        <v>25</v>
      </c>
    </row>
    <row r="2108" spans="1:4" x14ac:dyDescent="0.25">
      <c r="A2108" s="6" t="s">
        <v>116</v>
      </c>
      <c r="B2108" s="6" t="s">
        <v>1213</v>
      </c>
      <c r="C2108" s="6"/>
      <c r="D2108" s="22">
        <v>26</v>
      </c>
    </row>
    <row r="2109" spans="1:4" x14ac:dyDescent="0.25">
      <c r="A2109" s="7" t="s">
        <v>112</v>
      </c>
      <c r="B2109" s="7" t="str">
        <f t="shared" ref="B2109:B2140" si="69">"&lt;prefix&gt;_&lt;mm&gt;20&lt;yyyy&gt;_&lt;ar&gt;"&amp;A2109</f>
        <v>&lt;prefix&gt;_&lt;mm&gt;20&lt;yyyy&gt;_&lt;ar&gt;Revenue Analysis</v>
      </c>
      <c r="C2109" s="7"/>
      <c r="D2109" s="12">
        <v>27</v>
      </c>
    </row>
    <row r="2110" spans="1:4" x14ac:dyDescent="0.25">
      <c r="A2110" t="s">
        <v>122</v>
      </c>
      <c r="B2110" t="str">
        <f t="shared" si="69"/>
        <v>&lt;prefix&gt;_&lt;mm&gt;20&lt;yyyy&gt;_&lt;ar&gt;Switched BANS Trending Report</v>
      </c>
      <c r="D2110" s="12"/>
    </row>
    <row r="2111" spans="1:4" x14ac:dyDescent="0.25">
      <c r="A2111" t="s">
        <v>1231</v>
      </c>
      <c r="B2111" t="str">
        <f t="shared" si="69"/>
        <v>&lt;prefix&gt;_&lt;mm&gt;20&lt;yyyy&gt;_&lt;ar&gt;Access MSG and MOU billed by CLLI,FG,CIC</v>
      </c>
      <c r="D2111" s="12"/>
    </row>
    <row r="2112" spans="1:4" x14ac:dyDescent="0.25">
      <c r="A2112" t="s">
        <v>1491</v>
      </c>
      <c r="B2112" t="str">
        <f t="shared" si="69"/>
        <v>&lt;prefix&gt;_&lt;mm&gt;20&lt;yyyy&gt;_&lt;ar&gt;Access Study by Lata</v>
      </c>
      <c r="D2112" s="12"/>
    </row>
    <row r="2113" spans="1:4" x14ac:dyDescent="0.25">
      <c r="A2113" t="s">
        <v>1492</v>
      </c>
      <c r="B2113" t="str">
        <f t="shared" si="69"/>
        <v>&lt;prefix&gt;_&lt;mm&gt;20&lt;yyyy&gt;_&lt;ar&gt;Adjustment Approval Report</v>
      </c>
      <c r="D2113" s="12"/>
    </row>
    <row r="2114" spans="1:4" x14ac:dyDescent="0.25">
      <c r="A2114" t="s">
        <v>1493</v>
      </c>
      <c r="B2114" t="str">
        <f t="shared" si="69"/>
        <v>&lt;prefix&gt;_&lt;mm&gt;20&lt;yyyy&gt;_&lt;ar&gt;Adjustment Approval Report - SPR</v>
      </c>
      <c r="D2114" s="12"/>
    </row>
    <row r="2115" spans="1:4" x14ac:dyDescent="0.25">
      <c r="A2115" t="s">
        <v>1494</v>
      </c>
      <c r="B2115" t="str">
        <f t="shared" si="69"/>
        <v>&lt;prefix&gt;_&lt;mm&gt;20&lt;yyyy&gt;_&lt;ar&gt;Adjustment GL Trans by BAN Report - SPR</v>
      </c>
      <c r="D2115" s="12"/>
    </row>
    <row r="2116" spans="1:4" x14ac:dyDescent="0.25">
      <c r="A2116" t="s">
        <v>14</v>
      </c>
      <c r="B2116" t="str">
        <f t="shared" si="69"/>
        <v>&lt;prefix&gt;_&lt;mm&gt;20&lt;yyyy&gt;_&lt;ar&gt;Adjustment Report</v>
      </c>
      <c r="D2116" s="12"/>
    </row>
    <row r="2117" spans="1:4" x14ac:dyDescent="0.25">
      <c r="A2117" t="s">
        <v>1495</v>
      </c>
      <c r="B2117" t="str">
        <f t="shared" si="69"/>
        <v>&lt;prefix&gt;_&lt;mm&gt;20&lt;yyyy&gt;_&lt;ar&gt;Adjustment Report - SPR</v>
      </c>
      <c r="D2117" s="12"/>
    </row>
    <row r="2118" spans="1:4" x14ac:dyDescent="0.25">
      <c r="A2118" t="s">
        <v>1232</v>
      </c>
      <c r="B2118" t="str">
        <f t="shared" si="69"/>
        <v>&lt;prefix&gt;_&lt;mm&gt;20&lt;yyyy&gt;_&lt;ar&gt;Adjustments Detail Report - Posted</v>
      </c>
      <c r="D2118" s="12"/>
    </row>
    <row r="2119" spans="1:4" x14ac:dyDescent="0.25">
      <c r="A2119" t="s">
        <v>1233</v>
      </c>
      <c r="B2119" t="str">
        <f t="shared" si="69"/>
        <v>&lt;prefix&gt;_&lt;mm&gt;20&lt;yyyy&gt;_&lt;ar&gt;Adjustments Detail Report - Unposted</v>
      </c>
      <c r="D2119" s="12"/>
    </row>
    <row r="2120" spans="1:4" x14ac:dyDescent="0.25">
      <c r="A2120" t="s">
        <v>30</v>
      </c>
      <c r="B2120" t="str">
        <f t="shared" si="69"/>
        <v>&lt;prefix&gt;_&lt;mm&gt;20&lt;yyyy&gt;_&lt;ar&gt;Aged trial Balance</v>
      </c>
      <c r="D2120" s="12"/>
    </row>
    <row r="2121" spans="1:4" x14ac:dyDescent="0.25">
      <c r="A2121" t="s">
        <v>1496</v>
      </c>
      <c r="B2121" t="str">
        <f t="shared" si="69"/>
        <v>&lt;prefix&gt;_&lt;mm&gt;20&lt;yyyy&gt;_&lt;ar&gt;Aged Trial Balance by ACNA</v>
      </c>
      <c r="D2121" s="12"/>
    </row>
    <row r="2122" spans="1:4" x14ac:dyDescent="0.25">
      <c r="A2122" t="s">
        <v>1234</v>
      </c>
      <c r="B2122" t="str">
        <f t="shared" si="69"/>
        <v>&lt;prefix&gt;_&lt;mm&gt;20&lt;yyyy&gt;_&lt;ar&gt;Aged Trial Balance by Company</v>
      </c>
      <c r="D2122" s="12"/>
    </row>
    <row r="2123" spans="1:4" x14ac:dyDescent="0.25">
      <c r="A2123" t="s">
        <v>1497</v>
      </c>
      <c r="B2123" t="str">
        <f t="shared" si="69"/>
        <v>&lt;prefix&gt;_&lt;mm&gt;20&lt;yyyy&gt;_&lt;ar&gt;Aged Trial Balance by Juris_export</v>
      </c>
      <c r="D2123" s="12"/>
    </row>
    <row r="2124" spans="1:4" x14ac:dyDescent="0.25">
      <c r="A2124" t="s">
        <v>1498</v>
      </c>
      <c r="B2124" t="str">
        <f t="shared" si="69"/>
        <v>&lt;prefix&gt;_&lt;mm&gt;20&lt;yyyy&gt;_&lt;ar&gt;Aged Trial Balance by Juris_export - SPR</v>
      </c>
      <c r="D2124" s="12"/>
    </row>
    <row r="2125" spans="1:4" x14ac:dyDescent="0.25">
      <c r="A2125" t="s">
        <v>1499</v>
      </c>
      <c r="B2125" t="str">
        <f t="shared" si="69"/>
        <v>&lt;prefix&gt;_&lt;mm&gt;20&lt;yyyy&gt;_&lt;ar&gt;Aged Trial Balance for Export - SPR</v>
      </c>
      <c r="D2125" s="12"/>
    </row>
    <row r="2126" spans="1:4" x14ac:dyDescent="0.25">
      <c r="A2126" t="s">
        <v>1354</v>
      </c>
      <c r="B2126" t="str">
        <f t="shared" si="69"/>
        <v>&lt;prefix&gt;_&lt;mm&gt;20&lt;yyyy&gt;_&lt;ar&gt;Aging (MOU) - 15-60-90</v>
      </c>
      <c r="D2126" s="12"/>
    </row>
    <row r="2127" spans="1:4" x14ac:dyDescent="0.25">
      <c r="A2127" t="s">
        <v>1355</v>
      </c>
      <c r="B2127" t="str">
        <f t="shared" si="69"/>
        <v>&lt;prefix&gt;_&lt;mm&gt;20&lt;yyyy&gt;_&lt;ar&gt;Aging (PEGS) - 15-60-90</v>
      </c>
      <c r="D2127" s="12"/>
    </row>
    <row r="2128" spans="1:4" x14ac:dyDescent="0.25">
      <c r="A2128" t="s">
        <v>1356</v>
      </c>
      <c r="B2128" t="str">
        <f t="shared" si="69"/>
        <v>&lt;prefix&gt;_&lt;mm&gt;20&lt;yyyy&gt;_&lt;ar&gt;Aging (WOS) - 15-60-90</v>
      </c>
      <c r="D2128" s="12"/>
    </row>
    <row r="2129" spans="1:4" x14ac:dyDescent="0.25">
      <c r="A2129" t="s">
        <v>1357</v>
      </c>
      <c r="B2129" t="str">
        <f t="shared" si="69"/>
        <v>&lt;prefix&gt;_&lt;mm&gt;20&lt;yyyy&gt;_&lt;ar&gt;All Record Type 720</v>
      </c>
      <c r="D2129" s="12"/>
    </row>
    <row r="2130" spans="1:4" x14ac:dyDescent="0.25">
      <c r="A2130" t="s">
        <v>1235</v>
      </c>
      <c r="B2130" t="str">
        <f t="shared" si="69"/>
        <v>&lt;prefix&gt;_&lt;mm&gt;20&lt;yyyy&gt;_&lt;ar&gt;Amount billed/disputed/settled by month/carrier</v>
      </c>
      <c r="D2130" s="12"/>
    </row>
    <row r="2131" spans="1:4" x14ac:dyDescent="0.25">
      <c r="A2131" t="s">
        <v>1236</v>
      </c>
      <c r="B2131" t="str">
        <f t="shared" si="69"/>
        <v>&lt;prefix&gt;_&lt;mm&gt;20&lt;yyyy&gt;_&lt;ar&gt;Amount billed/disputed/settled by qtr/carrier</v>
      </c>
      <c r="D2131" s="12"/>
    </row>
    <row r="2132" spans="1:4" x14ac:dyDescent="0.25">
      <c r="A2132" t="s">
        <v>1237</v>
      </c>
      <c r="B2132" t="str">
        <f t="shared" si="69"/>
        <v>&lt;prefix&gt;_&lt;mm&gt;20&lt;yyyy&gt;_&lt;ar&gt;Amount billed-disputed-settled by month-carrier</v>
      </c>
      <c r="D2132" s="12"/>
    </row>
    <row r="2133" spans="1:4" x14ac:dyDescent="0.25">
      <c r="A2133" t="s">
        <v>1238</v>
      </c>
      <c r="B2133" t="str">
        <f t="shared" si="69"/>
        <v>&lt;prefix&gt;_&lt;mm&gt;20&lt;yyyy&gt;_&lt;ar&gt;Amount billed-disputed-settled by qtr-carrier</v>
      </c>
      <c r="D2133" s="12"/>
    </row>
    <row r="2134" spans="1:4" x14ac:dyDescent="0.25">
      <c r="A2134" t="s">
        <v>1239</v>
      </c>
      <c r="B2134" t="str">
        <f t="shared" si="69"/>
        <v>&lt;prefix&gt;_&lt;mm&gt;20&lt;yyyy&gt;_&lt;ar&gt;AS1000 Report</v>
      </c>
      <c r="D2134" s="12"/>
    </row>
    <row r="2135" spans="1:4" x14ac:dyDescent="0.25">
      <c r="A2135" t="s">
        <v>1500</v>
      </c>
      <c r="B2135" t="str">
        <f t="shared" si="69"/>
        <v>&lt;prefix&gt;_&lt;mm&gt;20&lt;yyyy&gt;_&lt;ar&gt;AUR History by day by FCCID for date range - SPR</v>
      </c>
      <c r="D2135" s="12"/>
    </row>
    <row r="2136" spans="1:4" x14ac:dyDescent="0.25">
      <c r="A2136" t="s">
        <v>1501</v>
      </c>
      <c r="B2136" t="str">
        <f t="shared" si="69"/>
        <v>&lt;prefix&gt;_&lt;mm&gt;20&lt;yyyy&gt;_&lt;ar&gt;AUR History by Day, Co, BAN &amp; Direction</v>
      </c>
      <c r="D2136" s="12"/>
    </row>
    <row r="2137" spans="1:4" x14ac:dyDescent="0.25">
      <c r="A2137" t="s">
        <v>9</v>
      </c>
      <c r="B2137" t="str">
        <f t="shared" si="69"/>
        <v>&lt;prefix&gt;_&lt;mm&gt;20&lt;yyyy&gt;_&lt;ar&gt;AUR History Stats</v>
      </c>
      <c r="D2137" s="12"/>
    </row>
    <row r="2138" spans="1:4" x14ac:dyDescent="0.25">
      <c r="A2138" t="s">
        <v>1240</v>
      </c>
      <c r="B2138" t="str">
        <f t="shared" si="69"/>
        <v>&lt;prefix&gt;_&lt;mm&gt;20&lt;yyyy&gt;_&lt;ar&gt;AUR History Stats (Seconds)</v>
      </c>
      <c r="D2138" s="12"/>
    </row>
    <row r="2139" spans="1:4" x14ac:dyDescent="0.25">
      <c r="A2139" t="s">
        <v>1502</v>
      </c>
      <c r="B2139" t="str">
        <f t="shared" si="69"/>
        <v>&lt;prefix&gt;_&lt;mm&gt;20&lt;yyyy&gt;_&lt;ar&gt;AUR History Stats Report - Seconds</v>
      </c>
      <c r="D2139" s="12"/>
    </row>
    <row r="2140" spans="1:4" x14ac:dyDescent="0.25">
      <c r="A2140" t="s">
        <v>1503</v>
      </c>
      <c r="B2140" t="str">
        <f t="shared" si="69"/>
        <v>&lt;prefix&gt;_&lt;mm&gt;20&lt;yyyy&gt;_&lt;ar&gt;AUR History Stats Report - SPR</v>
      </c>
      <c r="D2140" s="12"/>
    </row>
    <row r="2141" spans="1:4" x14ac:dyDescent="0.25">
      <c r="A2141" t="s">
        <v>1241</v>
      </c>
      <c r="B2141" t="str">
        <f t="shared" ref="B2141:B2172" si="70">"&lt;prefix&gt;_&lt;mm&gt;20&lt;yyyy&gt;_&lt;ar&gt;"&amp;A2141</f>
        <v>&lt;prefix&gt;_&lt;mm&gt;20&lt;yyyy&gt;_&lt;ar&gt;AUR History Summary</v>
      </c>
      <c r="D2141" s="12"/>
    </row>
    <row r="2142" spans="1:4" x14ac:dyDescent="0.25">
      <c r="A2142" t="s">
        <v>1242</v>
      </c>
      <c r="B2142" t="str">
        <f t="shared" si="70"/>
        <v>&lt;prefix&gt;_&lt;mm&gt;20&lt;yyyy&gt;_&lt;ar&gt;AUR History Summary by Day</v>
      </c>
      <c r="D2142" s="12"/>
    </row>
    <row r="2143" spans="1:4" x14ac:dyDescent="0.25">
      <c r="A2143" t="s">
        <v>232</v>
      </c>
      <c r="B2143" t="str">
        <f t="shared" si="70"/>
        <v>&lt;prefix&gt;_&lt;mm&gt;20&lt;yyyy&gt;_&lt;ar&gt;BAN Error Report</v>
      </c>
      <c r="D2143" s="12"/>
    </row>
    <row r="2144" spans="1:4" x14ac:dyDescent="0.25">
      <c r="A2144" t="s">
        <v>1504</v>
      </c>
      <c r="B2144" t="str">
        <f t="shared" si="70"/>
        <v>&lt;prefix&gt;_&lt;mm&gt;20&lt;yyyy&gt;_&lt;ar&gt;BAN Error Report - SPR</v>
      </c>
      <c r="D2144" s="12"/>
    </row>
    <row r="2145" spans="1:4" x14ac:dyDescent="0.25">
      <c r="A2145" t="s">
        <v>1358</v>
      </c>
      <c r="B2145" t="str">
        <f t="shared" si="70"/>
        <v>&lt;prefix&gt;_&lt;mm&gt;20&lt;yyyy&gt;_&lt;ar&gt;BAS Change Value</v>
      </c>
      <c r="D2145" s="12"/>
    </row>
    <row r="2146" spans="1:4" x14ac:dyDescent="0.25">
      <c r="A2146" t="s">
        <v>1359</v>
      </c>
      <c r="B2146" t="str">
        <f t="shared" si="70"/>
        <v>&lt;prefix&gt;_&lt;mm&gt;20&lt;yyyy&gt;_&lt;ar&gt;BAS Gary Trans</v>
      </c>
      <c r="D2146" s="12"/>
    </row>
    <row r="2147" spans="1:4" x14ac:dyDescent="0.25">
      <c r="A2147" t="s">
        <v>1360</v>
      </c>
      <c r="B2147" t="str">
        <f t="shared" si="70"/>
        <v>&lt;prefix&gt;_&lt;mm&gt;20&lt;yyyy&gt;_&lt;ar&gt;BAS History by Trans ID</v>
      </c>
      <c r="D2147" s="12"/>
    </row>
    <row r="2148" spans="1:4" x14ac:dyDescent="0.25">
      <c r="A2148" t="s">
        <v>1361</v>
      </c>
      <c r="B2148" t="str">
        <f t="shared" si="70"/>
        <v>&lt;prefix&gt;_&lt;mm&gt;20&lt;yyyy&gt;_&lt;ar&gt;BAS History Name</v>
      </c>
      <c r="D2148" s="12"/>
    </row>
    <row r="2149" spans="1:4" x14ac:dyDescent="0.25">
      <c r="A2149" t="s">
        <v>1505</v>
      </c>
      <c r="B2149" t="str">
        <f t="shared" si="70"/>
        <v>&lt;prefix&gt;_&lt;mm&gt;20&lt;yyyy&gt;_&lt;ar&gt;Bill Completion Check Report - SPR</v>
      </c>
      <c r="D2149" s="12"/>
    </row>
    <row r="2150" spans="1:4" x14ac:dyDescent="0.25">
      <c r="A2150" t="s">
        <v>1362</v>
      </c>
      <c r="B2150" t="str">
        <f t="shared" si="70"/>
        <v>&lt;prefix&gt;_&lt;mm&gt;20&lt;yyyy&gt;_&lt;ar&gt;Bill Guarantee IOS/72V</v>
      </c>
      <c r="D2150" s="12"/>
    </row>
    <row r="2151" spans="1:4" x14ac:dyDescent="0.25">
      <c r="A2151" t="s">
        <v>1363</v>
      </c>
      <c r="B2151" t="str">
        <f t="shared" si="70"/>
        <v>&lt;prefix&gt;_&lt;mm&gt;20&lt;yyyy&gt;_&lt;ar&gt;Bill Guarantee IOS/72V (All Sites)</v>
      </c>
      <c r="D2151" s="12"/>
    </row>
    <row r="2152" spans="1:4" x14ac:dyDescent="0.25">
      <c r="A2152" t="s">
        <v>1364</v>
      </c>
      <c r="B2152" t="str">
        <f t="shared" si="70"/>
        <v>&lt;prefix&gt;_&lt;mm&gt;20&lt;yyyy&gt;_&lt;ar&gt;Bill Guarantee OTS/CABSTT</v>
      </c>
      <c r="D2152" s="12"/>
    </row>
    <row r="2153" spans="1:4" x14ac:dyDescent="0.25">
      <c r="A2153" t="s">
        <v>1365</v>
      </c>
      <c r="B2153" t="str">
        <f t="shared" si="70"/>
        <v>&lt;prefix&gt;_&lt;mm&gt;20&lt;yyyy&gt;_&lt;ar&gt;Bill Guarantee OTS/CABSTT (All Sites)</v>
      </c>
      <c r="D2153" s="12"/>
    </row>
    <row r="2154" spans="1:4" x14ac:dyDescent="0.25">
      <c r="A2154" t="s">
        <v>1366</v>
      </c>
      <c r="B2154" t="str">
        <f t="shared" si="70"/>
        <v>&lt;prefix&gt;_&lt;mm&gt;20&lt;yyyy&gt;_&lt;ar&gt;Bill Guarantee Query 2</v>
      </c>
      <c r="D2154" s="12"/>
    </row>
    <row r="2155" spans="1:4" x14ac:dyDescent="0.25">
      <c r="A2155" t="s">
        <v>46</v>
      </c>
      <c r="B2155" t="str">
        <f t="shared" si="70"/>
        <v>&lt;prefix&gt;_&lt;mm&gt;20&lt;yyyy&gt;_&lt;ar&gt;Billed by Period Report</v>
      </c>
      <c r="D2155" s="12"/>
    </row>
    <row r="2156" spans="1:4" x14ac:dyDescent="0.25">
      <c r="A2156" t="s">
        <v>1506</v>
      </c>
      <c r="B2156" t="str">
        <f t="shared" si="70"/>
        <v>&lt;prefix&gt;_&lt;mm&gt;20&lt;yyyy&gt;_&lt;ar&gt;Billed by Period Report - SPR</v>
      </c>
      <c r="D2156" s="12"/>
    </row>
    <row r="2157" spans="1:4" x14ac:dyDescent="0.25">
      <c r="A2157" t="s">
        <v>1243</v>
      </c>
      <c r="B2157" t="str">
        <f t="shared" si="70"/>
        <v>&lt;prefix&gt;_&lt;mm&gt;20&lt;yyyy&gt;_&lt;ar&gt;Billed Minutes by Inter/Intra State</v>
      </c>
      <c r="D2157" s="12"/>
    </row>
    <row r="2158" spans="1:4" x14ac:dyDescent="0.25">
      <c r="A2158" t="s">
        <v>1244</v>
      </c>
      <c r="B2158" t="str">
        <f t="shared" si="70"/>
        <v>&lt;prefix&gt;_&lt;mm&gt;20&lt;yyyy&gt;_&lt;ar&gt;Billed Minutes by Inter-Intra State</v>
      </c>
      <c r="D2158" s="12"/>
    </row>
    <row r="2159" spans="1:4" x14ac:dyDescent="0.25">
      <c r="A2159" t="s">
        <v>1245</v>
      </c>
      <c r="B2159" t="str">
        <f t="shared" si="70"/>
        <v>&lt;prefix&gt;_&lt;mm&gt;20&lt;yyyy&gt;_&lt;ar&gt;Billed Minutes by Jurisdiction</v>
      </c>
      <c r="D2159" s="12"/>
    </row>
    <row r="2160" spans="1:4" x14ac:dyDescent="0.25">
      <c r="A2160" t="s">
        <v>1246</v>
      </c>
      <c r="B2160" t="str">
        <f t="shared" si="70"/>
        <v>&lt;prefix&gt;_&lt;mm&gt;20&lt;yyyy&gt;_&lt;ar&gt;Billed minutes by Quarter by Inter/Intra State</v>
      </c>
      <c r="D2160" s="12"/>
    </row>
    <row r="2161" spans="1:4" x14ac:dyDescent="0.25">
      <c r="A2161" t="s">
        <v>1247</v>
      </c>
      <c r="B2161" t="str">
        <f t="shared" si="70"/>
        <v>&lt;prefix&gt;_&lt;mm&gt;20&lt;yyyy&gt;_&lt;ar&gt;Billed minutes by Quarter by Inter-Intra State</v>
      </c>
      <c r="D2161" s="12"/>
    </row>
    <row r="2162" spans="1:4" x14ac:dyDescent="0.25">
      <c r="A2162" t="s">
        <v>1248</v>
      </c>
      <c r="B2162" t="str">
        <f t="shared" si="70"/>
        <v>&lt;prefix&gt;_&lt;mm&gt;20&lt;yyyy&gt;_&lt;ar&gt;Billed Minutes by Quarter by Jurisdiction</v>
      </c>
      <c r="D2162" s="12"/>
    </row>
    <row r="2163" spans="1:4" x14ac:dyDescent="0.25">
      <c r="A2163" t="s">
        <v>1249</v>
      </c>
      <c r="B2163" t="str">
        <f t="shared" si="70"/>
        <v>&lt;prefix&gt;_&lt;mm&gt;20&lt;yyyy&gt;_&lt;ar&gt;Billed Msg MOU Rev by BAN by Jurisdiction</v>
      </c>
      <c r="D2163" s="12"/>
    </row>
    <row r="2164" spans="1:4" x14ac:dyDescent="0.25">
      <c r="A2164" t="s">
        <v>51</v>
      </c>
      <c r="B2164" t="str">
        <f t="shared" si="70"/>
        <v>&lt;prefix&gt;_&lt;mm&gt;20&lt;yyyy&gt;_&lt;ar&gt;Billed Msg MOU Rev by CLLI by EMR Jurisdiction</v>
      </c>
      <c r="D2164" s="12"/>
    </row>
    <row r="2165" spans="1:4" x14ac:dyDescent="0.25">
      <c r="A2165" t="s">
        <v>1250</v>
      </c>
      <c r="B2165" t="str">
        <f t="shared" si="70"/>
        <v>&lt;prefix&gt;_&lt;mm&gt;20&lt;yyyy&gt;_&lt;ar&gt;Billed Msg MOU Rev by CLLI by Jurisdiction</v>
      </c>
      <c r="D2165" s="12"/>
    </row>
    <row r="2166" spans="1:4" x14ac:dyDescent="0.25">
      <c r="A2166" t="s">
        <v>1507</v>
      </c>
      <c r="B2166" t="str">
        <f t="shared" si="70"/>
        <v>&lt;prefix&gt;_&lt;mm&gt;20&lt;yyyy&gt;_&lt;ar&gt;Billing Recording CIC report - SPR</v>
      </c>
      <c r="D2166" s="12"/>
    </row>
    <row r="2167" spans="1:4" x14ac:dyDescent="0.25">
      <c r="A2167" t="s">
        <v>1367</v>
      </c>
      <c r="B2167" t="str">
        <f t="shared" si="70"/>
        <v>&lt;prefix&gt;_&lt;mm&gt;20&lt;yyyy&gt;_&lt;ar&gt;BJS Error BK</v>
      </c>
      <c r="D2167" s="12"/>
    </row>
    <row r="2168" spans="1:4" x14ac:dyDescent="0.25">
      <c r="A2168" t="s">
        <v>1368</v>
      </c>
      <c r="B2168" t="str">
        <f t="shared" si="70"/>
        <v>&lt;prefix&gt;_&lt;mm&gt;20&lt;yyyy&gt;_&lt;ar&gt;BJS IBIS with  Msgs and MOUs</v>
      </c>
      <c r="D2168" s="12"/>
    </row>
    <row r="2169" spans="1:4" x14ac:dyDescent="0.25">
      <c r="A2169" t="s">
        <v>1369</v>
      </c>
      <c r="B2169" t="str">
        <f t="shared" si="70"/>
        <v>&lt;prefix&gt;_&lt;mm&gt;20&lt;yyyy&gt;_&lt;ar&gt;Bob Incoming Error Volumes</v>
      </c>
      <c r="D2169" s="12"/>
    </row>
    <row r="2170" spans="1:4" x14ac:dyDescent="0.25">
      <c r="A2170" t="s">
        <v>1370</v>
      </c>
      <c r="B2170" t="str">
        <f t="shared" si="70"/>
        <v>&lt;prefix&gt;_&lt;mm&gt;20&lt;yyyy&gt;_&lt;ar&gt;Bob Snapshot by Case for Site RC</v>
      </c>
      <c r="D2170" s="12"/>
    </row>
    <row r="2171" spans="1:4" x14ac:dyDescent="0.25">
      <c r="A2171" t="s">
        <v>1371</v>
      </c>
      <c r="B2171" t="str">
        <f t="shared" si="70"/>
        <v>&lt;prefix&gt;_&lt;mm&gt;20&lt;yyyy&gt;_&lt;ar&gt;Bob Snapshot for Specifc Site RC</v>
      </c>
      <c r="D2171" s="12"/>
    </row>
    <row r="2172" spans="1:4" x14ac:dyDescent="0.25">
      <c r="A2172" t="s">
        <v>1372</v>
      </c>
      <c r="B2172" t="str">
        <f t="shared" si="70"/>
        <v>&lt;prefix&gt;_&lt;mm&gt;20&lt;yyyy&gt;_&lt;ar&gt;Bob Test for Res Code on Rules</v>
      </c>
      <c r="D2172" s="12"/>
    </row>
    <row r="2173" spans="1:4" x14ac:dyDescent="0.25">
      <c r="A2173" t="s">
        <v>1373</v>
      </c>
      <c r="B2173" t="str">
        <f t="shared" ref="B2173:B2204" si="71">"&lt;prefix&gt;_&lt;mm&gt;20&lt;yyyy&gt;_&lt;ar&gt;"&amp;A2173</f>
        <v>&lt;prefix&gt;_&lt;mm&gt;20&lt;yyyy&gt;_&lt;ar&gt;Bobs CLLI Search</v>
      </c>
      <c r="D2173" s="12"/>
    </row>
    <row r="2174" spans="1:4" x14ac:dyDescent="0.25">
      <c r="A2174" t="s">
        <v>1374</v>
      </c>
      <c r="B2174" t="str">
        <f t="shared" si="71"/>
        <v>&lt;prefix&gt;_&lt;mm&gt;20&lt;yyyy&gt;_&lt;ar&gt;Bobs Pegs by Site</v>
      </c>
      <c r="D2174" s="12"/>
    </row>
    <row r="2175" spans="1:4" x14ac:dyDescent="0.25">
      <c r="A2175" t="s">
        <v>1375</v>
      </c>
      <c r="B2175" t="str">
        <f t="shared" si="71"/>
        <v>&lt;prefix&gt;_&lt;mm&gt;20&lt;yyyy&gt;_&lt;ar&gt;BRAVO Usage - Charge NPANXX</v>
      </c>
      <c r="D2175" s="12"/>
    </row>
    <row r="2176" spans="1:4" x14ac:dyDescent="0.25">
      <c r="A2176" t="s">
        <v>1376</v>
      </c>
      <c r="B2176" t="str">
        <f t="shared" si="71"/>
        <v>&lt;prefix&gt;_&lt;mm&gt;20&lt;yyyy&gt;_&lt;ar&gt;BRAVO Usage - Originating NPANXX</v>
      </c>
      <c r="D2176" s="12"/>
    </row>
    <row r="2177" spans="1:4" x14ac:dyDescent="0.25">
      <c r="A2177" t="s">
        <v>1377</v>
      </c>
      <c r="B2177" t="str">
        <f t="shared" si="71"/>
        <v>&lt;prefix&gt;_&lt;mm&gt;20&lt;yyyy&gt;_&lt;ar&gt;BRAVO Usage - Terminating NPANXX</v>
      </c>
      <c r="D2177" s="12"/>
    </row>
    <row r="2178" spans="1:4" x14ac:dyDescent="0.25">
      <c r="A2178" t="s">
        <v>1378</v>
      </c>
      <c r="B2178" t="str">
        <f t="shared" si="71"/>
        <v>&lt;prefix&gt;_&lt;mm&gt;20&lt;yyyy&gt;_&lt;ar&gt;Bridget Case Transactions</v>
      </c>
      <c r="D2178" s="12"/>
    </row>
    <row r="2179" spans="1:4" x14ac:dyDescent="0.25">
      <c r="A2179" t="s">
        <v>1379</v>
      </c>
      <c r="B2179" t="str">
        <f t="shared" si="71"/>
        <v>&lt;prefix&gt;_&lt;mm&gt;20&lt;yyyy&gt;_&lt;ar&gt;Bridget CHG RL for Month all Sites</v>
      </c>
      <c r="D2179" s="12"/>
    </row>
    <row r="2180" spans="1:4" x14ac:dyDescent="0.25">
      <c r="A2180" t="s">
        <v>1380</v>
      </c>
      <c r="B2180" t="str">
        <f t="shared" si="71"/>
        <v>&lt;prefix&gt;_&lt;mm&gt;20&lt;yyyy&gt;_&lt;ar&gt;Bridget CLLI CIC History</v>
      </c>
      <c r="D2180" s="12"/>
    </row>
    <row r="2181" spans="1:4" x14ac:dyDescent="0.25">
      <c r="A2181" t="s">
        <v>1381</v>
      </c>
      <c r="B2181" t="str">
        <f t="shared" si="71"/>
        <v>&lt;prefix&gt;_&lt;mm&gt;20&lt;yyyy&gt;_&lt;ar&gt;Bridget Find Usage by CIC</v>
      </c>
      <c r="D2181" s="12"/>
    </row>
    <row r="2182" spans="1:4" x14ac:dyDescent="0.25">
      <c r="A2182" t="s">
        <v>1382</v>
      </c>
      <c r="B2182" t="str">
        <f t="shared" si="71"/>
        <v>&lt;prefix&gt;_&lt;mm&gt;20&lt;yyyy&gt;_&lt;ar&gt;Bridget ICO CLEC on Case</v>
      </c>
      <c r="D2182" s="12"/>
    </row>
    <row r="2183" spans="1:4" x14ac:dyDescent="0.25">
      <c r="A2183" t="s">
        <v>1383</v>
      </c>
      <c r="B2183" t="str">
        <f t="shared" si="71"/>
        <v>&lt;prefix&gt;_&lt;mm&gt;20&lt;yyyy&gt;_&lt;ar&gt;Bridget Other Held Usage</v>
      </c>
      <c r="D2183" s="12"/>
    </row>
    <row r="2184" spans="1:4" x14ac:dyDescent="0.25">
      <c r="A2184" t="s">
        <v>1384</v>
      </c>
      <c r="B2184" t="str">
        <f t="shared" si="71"/>
        <v>&lt;prefix&gt;_&lt;mm&gt;20&lt;yyyy&gt;_&lt;ar&gt;Bridget Other Usage</v>
      </c>
      <c r="D2184" s="12"/>
    </row>
    <row r="2185" spans="1:4" x14ac:dyDescent="0.25">
      <c r="A2185" t="s">
        <v>1385</v>
      </c>
      <c r="B2185" t="str">
        <f t="shared" si="71"/>
        <v>&lt;prefix&gt;_&lt;mm&gt;20&lt;yyyy&gt;_&lt;ar&gt;Bridget Other Usage Older than ???</v>
      </c>
      <c r="D2185" s="12"/>
    </row>
    <row r="2186" spans="1:4" x14ac:dyDescent="0.25">
      <c r="A2186" t="s">
        <v>1386</v>
      </c>
      <c r="B2186" t="str">
        <f t="shared" si="71"/>
        <v>&lt;prefix&gt;_&lt;mm&gt;20&lt;yyyy&gt;_&lt;ar&gt;Bridget R0 Aging Report</v>
      </c>
      <c r="D2186" s="12"/>
    </row>
    <row r="2187" spans="1:4" x14ac:dyDescent="0.25">
      <c r="A2187" t="s">
        <v>1387</v>
      </c>
      <c r="B2187" t="str">
        <f t="shared" si="71"/>
        <v>&lt;prefix&gt;_&lt;mm&gt;20&lt;yyyy&gt;_&lt;ar&gt;Bridget Snapshot by Site with RC</v>
      </c>
      <c r="D2187" s="12"/>
    </row>
    <row r="2188" spans="1:4" x14ac:dyDescent="0.25">
      <c r="A2188" t="s">
        <v>1388</v>
      </c>
      <c r="B2188" t="str">
        <f t="shared" si="71"/>
        <v>&lt;prefix&gt;_&lt;mm&gt;20&lt;yyyy&gt;_&lt;ar&gt;Bridget Snapshot by Site with RC with Case</v>
      </c>
      <c r="D2188" s="12"/>
    </row>
    <row r="2189" spans="1:4" x14ac:dyDescent="0.25">
      <c r="A2189" t="s">
        <v>1389</v>
      </c>
      <c r="B2189" t="str">
        <f t="shared" si="71"/>
        <v>&lt;prefix&gt;_&lt;mm&gt;20&lt;yyyy&gt;_&lt;ar&gt;Bridget Transactions by RC</v>
      </c>
      <c r="D2189" s="12"/>
    </row>
    <row r="2190" spans="1:4" x14ac:dyDescent="0.25">
      <c r="A2190" t="s">
        <v>1390</v>
      </c>
      <c r="B2190" t="str">
        <f t="shared" si="71"/>
        <v>&lt;prefix&gt;_&lt;mm&gt;20&lt;yyyy&gt;_&lt;ar&gt;Bridget User Activity for a Day</v>
      </c>
      <c r="D2190" s="12"/>
    </row>
    <row r="2191" spans="1:4" x14ac:dyDescent="0.25">
      <c r="A2191" t="s">
        <v>1391</v>
      </c>
      <c r="B2191" t="str">
        <f t="shared" si="71"/>
        <v>&lt;prefix&gt;_&lt;mm&gt;20&lt;yyyy&gt;_&lt;ar&gt;Bridget WriteOff Delete Volumes with Res codes</v>
      </c>
      <c r="D2191" s="12"/>
    </row>
    <row r="2192" spans="1:4" x14ac:dyDescent="0.25">
      <c r="A2192" t="s">
        <v>239</v>
      </c>
      <c r="B2192" t="str">
        <f t="shared" si="71"/>
        <v>&lt;prefix&gt;_&lt;mm&gt;20&lt;yyyy&gt;_&lt;ar&gt;CLLI Error Report</v>
      </c>
      <c r="D2192" s="12"/>
    </row>
    <row r="2193" spans="1:4" x14ac:dyDescent="0.25">
      <c r="A2193" t="s">
        <v>1508</v>
      </c>
      <c r="B2193" t="str">
        <f t="shared" si="71"/>
        <v>&lt;prefix&gt;_&lt;mm&gt;20&lt;yyyy&gt;_&lt;ar&gt;CLLI Error Report - SPR</v>
      </c>
      <c r="D2193" s="12"/>
    </row>
    <row r="2194" spans="1:4" x14ac:dyDescent="0.25">
      <c r="A2194" t="s">
        <v>1251</v>
      </c>
      <c r="B2194" t="str">
        <f t="shared" si="71"/>
        <v>&lt;prefix&gt;_&lt;mm&gt;20&lt;yyyy&gt;_&lt;ar&gt;CLNT aur_usage_by_day_co_v3</v>
      </c>
      <c r="D2194" s="12"/>
    </row>
    <row r="2195" spans="1:4" x14ac:dyDescent="0.25">
      <c r="A2195" t="s">
        <v>1252</v>
      </c>
      <c r="B2195" t="str">
        <f t="shared" si="71"/>
        <v>&lt;prefix&gt;_&lt;mm&gt;20&lt;yyyy&gt;_&lt;ar&gt;CLNT billed_by_period_for_exp_4_v2</v>
      </c>
      <c r="D2195" s="12"/>
    </row>
    <row r="2196" spans="1:4" x14ac:dyDescent="0.25">
      <c r="A2196" t="s">
        <v>1253</v>
      </c>
      <c r="B2196" t="str">
        <f t="shared" si="71"/>
        <v>&lt;prefix&gt;_&lt;mm&gt;20&lt;yyyy&gt;_&lt;ar&gt;CLNT cbeyond_m_m_r_to_export_v2</v>
      </c>
      <c r="D2196" s="12"/>
    </row>
    <row r="2197" spans="1:4" x14ac:dyDescent="0.25">
      <c r="A2197" t="s">
        <v>1254</v>
      </c>
      <c r="B2197" t="str">
        <f t="shared" si="71"/>
        <v>&lt;prefix&gt;_&lt;mm&gt;20&lt;yyyy&gt;_&lt;ar&gt;CLNT ckt_billed_live_disco_v1</v>
      </c>
      <c r="D2197" s="12"/>
    </row>
    <row r="2198" spans="1:4" x14ac:dyDescent="0.25">
      <c r="A2198" t="s">
        <v>1255</v>
      </c>
      <c r="B2198" t="str">
        <f t="shared" si="71"/>
        <v>&lt;prefix&gt;_&lt;mm&gt;20&lt;yyyy&gt;_&lt;ar&gt;CLNT gl_trans_from_adjustments_ban_v3</v>
      </c>
      <c r="D2198" s="12"/>
    </row>
    <row r="2199" spans="1:4" x14ac:dyDescent="0.25">
      <c r="A2199" t="s">
        <v>1256</v>
      </c>
      <c r="B2199" t="str">
        <f t="shared" si="71"/>
        <v>&lt;prefix&gt;_&lt;mm&gt;20&lt;yyyy&gt;_&lt;ar&gt;CLNT gl_trans_from_occ_ban_v3</v>
      </c>
      <c r="D2199" s="12"/>
    </row>
    <row r="2200" spans="1:4" x14ac:dyDescent="0.25">
      <c r="A2200" t="s">
        <v>1257</v>
      </c>
      <c r="B2200" t="str">
        <f t="shared" si="71"/>
        <v>&lt;prefix&gt;_&lt;mm&gt;20&lt;yyyy&gt;_&lt;ar&gt;CLNT invoice_balances_by_jur_w_lpc_v2</v>
      </c>
      <c r="D2200" s="12"/>
    </row>
    <row r="2201" spans="1:4" x14ac:dyDescent="0.25">
      <c r="A2201" t="s">
        <v>53</v>
      </c>
      <c r="B2201" t="str">
        <f t="shared" si="71"/>
        <v>&lt;prefix&gt;_&lt;mm&gt;20&lt;yyyy&gt;_&lt;ar&gt;CLNT ly_invoice_balances_by_jur_cic</v>
      </c>
      <c r="D2201" s="12"/>
    </row>
    <row r="2202" spans="1:4" x14ac:dyDescent="0.25">
      <c r="A2202" t="s">
        <v>55</v>
      </c>
      <c r="B2202" t="str">
        <f t="shared" si="71"/>
        <v>&lt;prefix&gt;_&lt;mm&gt;20&lt;yyyy&gt;_&lt;ar&gt;CLNT nt_ckt_billed_live_disco_v2</v>
      </c>
      <c r="D2202" s="12"/>
    </row>
    <row r="2203" spans="1:4" x14ac:dyDescent="0.25">
      <c r="A2203" t="s">
        <v>1258</v>
      </c>
      <c r="B2203" t="str">
        <f t="shared" si="71"/>
        <v>&lt;prefix&gt;_&lt;mm&gt;20&lt;yyyy&gt;_&lt;ar&gt;CLNT nt_fa_acctg_detail_rpt_v1</v>
      </c>
      <c r="D2203" s="12"/>
    </row>
    <row r="2204" spans="1:4" x14ac:dyDescent="0.25">
      <c r="A2204" t="s">
        <v>1259</v>
      </c>
      <c r="B2204" t="str">
        <f t="shared" si="71"/>
        <v>&lt;prefix&gt;_&lt;mm&gt;20&lt;yyyy&gt;_&lt;ar&gt;CLNT nt_fa_acctg_rpt_v1</v>
      </c>
      <c r="D2204" s="12"/>
    </row>
    <row r="2205" spans="1:4" x14ac:dyDescent="0.25">
      <c r="A2205" t="s">
        <v>1260</v>
      </c>
      <c r="B2205" t="str">
        <f t="shared" ref="B2205:B2236" si="72">"&lt;prefix&gt;_&lt;mm&gt;20&lt;yyyy&gt;_&lt;ar&gt;"&amp;A2205</f>
        <v>&lt;prefix&gt;_&lt;mm&gt;20&lt;yyyy&gt;_&lt;ar&gt;CLNT nt_m_m_r_p_to_export_v1</v>
      </c>
      <c r="D2205" s="12"/>
    </row>
    <row r="2206" spans="1:4" x14ac:dyDescent="0.25">
      <c r="A2206" t="s">
        <v>1261</v>
      </c>
      <c r="B2206" t="str">
        <f t="shared" si="72"/>
        <v>&lt;prefix&gt;_&lt;mm&gt;20&lt;yyyy&gt;_&lt;ar&gt;CLNT nt_m_m_r_to_export_v1</v>
      </c>
      <c r="D2206" s="12"/>
    </row>
    <row r="2207" spans="1:4" x14ac:dyDescent="0.25">
      <c r="A2207" t="s">
        <v>1262</v>
      </c>
      <c r="B2207" t="str">
        <f t="shared" si="72"/>
        <v>&lt;prefix&gt;_&lt;mm&gt;20&lt;yyyy&gt;_&lt;ar&gt;CLNT nt_rev_analysis_clli_2</v>
      </c>
      <c r="D2207" s="12"/>
    </row>
    <row r="2208" spans="1:4" x14ac:dyDescent="0.25">
      <c r="A2208" t="s">
        <v>1263</v>
      </c>
      <c r="B2208" t="str">
        <f t="shared" si="72"/>
        <v>&lt;prefix&gt;_&lt;mm&gt;20&lt;yyyy&gt;_&lt;ar&gt;CLNT payment_by_date8_v2</v>
      </c>
      <c r="D2208" s="12"/>
    </row>
    <row r="2209" spans="1:4" x14ac:dyDescent="0.25">
      <c r="A2209" t="s">
        <v>1264</v>
      </c>
      <c r="B2209" t="str">
        <f t="shared" si="72"/>
        <v>&lt;prefix&gt;_&lt;mm&gt;20&lt;yyyy&gt;_&lt;ar&gt;CLNT r_aged_trial_bal_1v3</v>
      </c>
      <c r="D2209" s="12"/>
    </row>
    <row r="2210" spans="1:4" x14ac:dyDescent="0.25">
      <c r="A2210" t="s">
        <v>1265</v>
      </c>
      <c r="B2210" t="str">
        <f t="shared" si="72"/>
        <v>&lt;prefix&gt;_&lt;mm&gt;20&lt;yyyy&gt;_&lt;ar&gt;CLNT r_aged_trial_bal_for_export_v2</v>
      </c>
      <c r="D2210" s="12"/>
    </row>
    <row r="2211" spans="1:4" x14ac:dyDescent="0.25">
      <c r="A2211" t="s">
        <v>1266</v>
      </c>
      <c r="B2211" t="str">
        <f t="shared" si="72"/>
        <v>&lt;prefix&gt;_&lt;mm&gt;20&lt;yyyy&gt;_&lt;ar&gt;CLNT r_sce_3_v3_2</v>
      </c>
      <c r="D2211" s="12"/>
    </row>
    <row r="2212" spans="1:4" x14ac:dyDescent="0.25">
      <c r="A2212" t="s">
        <v>1267</v>
      </c>
      <c r="B2212" t="str">
        <f t="shared" si="72"/>
        <v>&lt;prefix&gt;_&lt;mm&gt;20&lt;yyyy&gt;_&lt;ar&gt;CLNT r_transaction_summary_bills_v2</v>
      </c>
      <c r="D2212" s="12"/>
    </row>
    <row r="2213" spans="1:4" x14ac:dyDescent="0.25">
      <c r="A2213" t="s">
        <v>1268</v>
      </c>
      <c r="B2213" t="str">
        <f t="shared" si="72"/>
        <v>&lt;prefix&gt;_&lt;mm&gt;20&lt;yyyy&gt;_&lt;ar&gt;CLNT sw_invoice_trending_v6</v>
      </c>
      <c r="D2213" s="12"/>
    </row>
    <row r="2214" spans="1:4" x14ac:dyDescent="0.25">
      <c r="A2214" t="s">
        <v>1392</v>
      </c>
      <c r="B2214" t="str">
        <f t="shared" si="72"/>
        <v>&lt;prefix&gt;_&lt;mm&gt;20&lt;yyyy&gt;_&lt;ar&gt;CMRS Detail Usage not Loaded by Site by Day</v>
      </c>
      <c r="D2214" s="12"/>
    </row>
    <row r="2215" spans="1:4" x14ac:dyDescent="0.25">
      <c r="A2215" t="s">
        <v>1269</v>
      </c>
      <c r="B2215" t="str">
        <f t="shared" si="72"/>
        <v>&lt;prefix&gt;_&lt;mm&gt;20&lt;yyyy&gt;_&lt;ar&gt;Company Master Report</v>
      </c>
      <c r="D2215" s="12"/>
    </row>
    <row r="2216" spans="1:4" x14ac:dyDescent="0.25">
      <c r="A2216" t="s">
        <v>1347</v>
      </c>
      <c r="B2216" t="str">
        <f t="shared" si="72"/>
        <v>&lt;prefix&gt;_&lt;mm&gt;20&lt;yyyy&gt;_&lt;ar&gt;Customer BAN Info 4 v3</v>
      </c>
      <c r="D2216" s="12"/>
    </row>
    <row r="2217" spans="1:4" x14ac:dyDescent="0.25">
      <c r="A2217" t="s">
        <v>1393</v>
      </c>
      <c r="B2217" t="str">
        <f t="shared" si="72"/>
        <v>&lt;prefix&gt;_&lt;mm&gt;20&lt;yyyy&gt;_&lt;ar&gt;DA vs Other Reports</v>
      </c>
      <c r="D2217" s="12"/>
    </row>
    <row r="2218" spans="1:4" x14ac:dyDescent="0.25">
      <c r="A2218" t="s">
        <v>1394</v>
      </c>
      <c r="B2218" t="str">
        <f t="shared" si="72"/>
        <v>&lt;prefix&gt;_&lt;mm&gt;20&lt;yyyy&gt;_&lt;ar&gt;Days Old Held</v>
      </c>
      <c r="D2218" s="12"/>
    </row>
    <row r="2219" spans="1:4" x14ac:dyDescent="0.25">
      <c r="A2219" t="s">
        <v>1395</v>
      </c>
      <c r="B2219" t="str">
        <f t="shared" si="72"/>
        <v>&lt;prefix&gt;_&lt;mm&gt;20&lt;yyyy&gt;_&lt;ar&gt;Days Old Other</v>
      </c>
      <c r="D2219" s="12"/>
    </row>
    <row r="2220" spans="1:4" x14ac:dyDescent="0.25">
      <c r="A2220" t="s">
        <v>1509</v>
      </c>
      <c r="B2220" t="str">
        <f t="shared" si="72"/>
        <v>&lt;prefix&gt;_&lt;mm&gt;20&lt;yyyy&gt;_&lt;ar&gt;Detail CLLI Error Report</v>
      </c>
      <c r="D2220" s="12"/>
    </row>
    <row r="2221" spans="1:4" x14ac:dyDescent="0.25">
      <c r="A2221" t="s">
        <v>1510</v>
      </c>
      <c r="B2221" t="str">
        <f t="shared" si="72"/>
        <v>&lt;prefix&gt;_&lt;mm&gt;20&lt;yyyy&gt;_&lt;ar&gt;Detail CLLI Error Report - SPR</v>
      </c>
      <c r="D2221" s="12"/>
    </row>
    <row r="2222" spans="1:4" x14ac:dyDescent="0.25">
      <c r="A2222" t="s">
        <v>1511</v>
      </c>
      <c r="B2222" t="str">
        <f t="shared" si="72"/>
        <v>&lt;prefix&gt;_&lt;mm&gt;20&lt;yyyy&gt;_&lt;ar&gt;Detailed BAN Error Report - SPR</v>
      </c>
      <c r="D2222" s="12"/>
    </row>
    <row r="2223" spans="1:4" x14ac:dyDescent="0.25">
      <c r="A2223" t="s">
        <v>20</v>
      </c>
      <c r="B2223" t="str">
        <f t="shared" si="72"/>
        <v>&lt;prefix&gt;_&lt;mm&gt;20&lt;yyyy&gt;_&lt;ar&gt;Detailed BAN Error Report - with extra research</v>
      </c>
      <c r="D2223" s="12"/>
    </row>
    <row r="2224" spans="1:4" x14ac:dyDescent="0.25">
      <c r="A2224" t="s">
        <v>1271</v>
      </c>
      <c r="B2224" t="str">
        <f t="shared" si="72"/>
        <v>&lt;prefix&gt;_&lt;mm&gt;20&lt;yyyy&gt;_&lt;ar&gt;Dispute amounts by type by month</v>
      </c>
      <c r="D2224" s="12"/>
    </row>
    <row r="2225" spans="1:4" x14ac:dyDescent="0.25">
      <c r="A2225" t="s">
        <v>1272</v>
      </c>
      <c r="B2225" t="str">
        <f t="shared" si="72"/>
        <v>&lt;prefix&gt;_&lt;mm&gt;20&lt;yyyy&gt;_&lt;ar&gt;Dispute amounts by type by month by carrier</v>
      </c>
      <c r="D2225" s="12"/>
    </row>
    <row r="2226" spans="1:4" x14ac:dyDescent="0.25">
      <c r="A2226" t="s">
        <v>1273</v>
      </c>
      <c r="B2226" t="str">
        <f t="shared" si="72"/>
        <v>&lt;prefix&gt;_&lt;mm&gt;20&lt;yyyy&gt;_&lt;ar&gt;Dispute amounts by type by quarter</v>
      </c>
      <c r="D2226" s="12"/>
    </row>
    <row r="2227" spans="1:4" x14ac:dyDescent="0.25">
      <c r="A2227" t="s">
        <v>1274</v>
      </c>
      <c r="B2227" t="str">
        <f t="shared" si="72"/>
        <v>&lt;prefix&gt;_&lt;mm&gt;20&lt;yyyy&gt;_&lt;ar&gt;Dispute amounts by type by quarter by carrier</v>
      </c>
      <c r="D2227" s="12"/>
    </row>
    <row r="2228" spans="1:4" x14ac:dyDescent="0.25">
      <c r="A2228" t="s">
        <v>1275</v>
      </c>
      <c r="B2228" t="str">
        <f t="shared" si="72"/>
        <v>&lt;prefix&gt;_&lt;mm&gt;20&lt;yyyy&gt;_&lt;ar&gt;Dispute amounts/carrier/month for a given year</v>
      </c>
      <c r="D2228" s="12"/>
    </row>
    <row r="2229" spans="1:4" x14ac:dyDescent="0.25">
      <c r="A2229" t="s">
        <v>1276</v>
      </c>
      <c r="B2229" t="str">
        <f t="shared" si="72"/>
        <v>&lt;prefix&gt;_&lt;mm&gt;20&lt;yyyy&gt;_&lt;ar&gt;Dispute amounts/carrier/qtr for a given year</v>
      </c>
      <c r="D2229" s="12"/>
    </row>
    <row r="2230" spans="1:4" x14ac:dyDescent="0.25">
      <c r="A2230" t="s">
        <v>1277</v>
      </c>
      <c r="B2230" t="str">
        <f t="shared" si="72"/>
        <v>&lt;prefix&gt;_&lt;mm&gt;20&lt;yyyy&gt;_&lt;ar&gt;Dispute amounts-carrier-month for a given year</v>
      </c>
      <c r="D2230" s="12"/>
    </row>
    <row r="2231" spans="1:4" x14ac:dyDescent="0.25">
      <c r="A2231" t="s">
        <v>1278</v>
      </c>
      <c r="B2231" t="str">
        <f t="shared" si="72"/>
        <v>&lt;prefix&gt;_&lt;mm&gt;20&lt;yyyy&gt;_&lt;ar&gt;Dispute amounts-carrier-qtr for a given year</v>
      </c>
      <c r="D2231" s="12"/>
    </row>
    <row r="2232" spans="1:4" x14ac:dyDescent="0.25">
      <c r="A2232" t="s">
        <v>1512</v>
      </c>
      <c r="B2232" t="str">
        <f t="shared" si="72"/>
        <v>&lt;prefix&gt;_&lt;mm&gt;20&lt;yyyy&gt;_&lt;ar&gt;Duplicate File Processing Report - SPR</v>
      </c>
      <c r="D2232" s="12"/>
    </row>
    <row r="2233" spans="1:4" x14ac:dyDescent="0.25">
      <c r="A2233" t="s">
        <v>1513</v>
      </c>
      <c r="B2233" t="str">
        <f t="shared" si="72"/>
        <v>&lt;prefix&gt;_&lt;mm&gt;20&lt;yyyy&gt;_&lt;ar&gt;Duplicate Processing Report All</v>
      </c>
      <c r="D2233" s="12"/>
    </row>
    <row r="2234" spans="1:4" x14ac:dyDescent="0.25">
      <c r="A2234" t="s">
        <v>1279</v>
      </c>
      <c r="B2234" t="str">
        <f t="shared" si="72"/>
        <v>&lt;prefix&gt;_&lt;mm&gt;20&lt;yyyy&gt;_&lt;ar&gt;EC1050 Report</v>
      </c>
      <c r="D2234" s="12"/>
    </row>
    <row r="2235" spans="1:4" x14ac:dyDescent="0.25">
      <c r="A2235" t="s">
        <v>1514</v>
      </c>
      <c r="B2235" t="str">
        <f t="shared" si="72"/>
        <v>&lt;prefix&gt;_&lt;mm&gt;20&lt;yyyy&gt;_&lt;ar&gt;Exception Analysis Report - SPR</v>
      </c>
      <c r="D2235" s="12"/>
    </row>
    <row r="2236" spans="1:4" x14ac:dyDescent="0.25">
      <c r="A2236" t="s">
        <v>70</v>
      </c>
      <c r="B2236" t="str">
        <f t="shared" si="72"/>
        <v>&lt;prefix&gt;_&lt;mm&gt;20&lt;yyyy&gt;_&lt;ar&gt;FA Charges Summary</v>
      </c>
      <c r="D2236" s="12"/>
    </row>
    <row r="2237" spans="1:4" x14ac:dyDescent="0.25">
      <c r="A2237" t="s">
        <v>71</v>
      </c>
      <c r="B2237" t="str">
        <f t="shared" ref="B2237:B2268" si="73">"&lt;prefix&gt;_&lt;mm&gt;20&lt;yyyy&gt;_&lt;ar&gt;"&amp;A2237</f>
        <v>&lt;prefix&gt;_&lt;mm&gt;20&lt;yyyy&gt;_&lt;ar&gt;FA Circuit Charges by CIC by CLLI</v>
      </c>
      <c r="D2237" s="12"/>
    </row>
    <row r="2238" spans="1:4" x14ac:dyDescent="0.25">
      <c r="A2238" t="s">
        <v>69</v>
      </c>
      <c r="B2238" t="str">
        <f t="shared" si="73"/>
        <v>&lt;prefix&gt;_&lt;mm&gt;20&lt;yyyy&gt;_&lt;ar&gt;Facility BANS Trending Report</v>
      </c>
      <c r="D2238" s="12"/>
    </row>
    <row r="2239" spans="1:4" x14ac:dyDescent="0.25">
      <c r="A2239" t="s">
        <v>1515</v>
      </c>
      <c r="B2239" t="str">
        <f t="shared" si="73"/>
        <v>&lt;prefix&gt;_&lt;mm&gt;20&lt;yyyy&gt;_&lt;ar&gt;Facility BANS Trending Report - SPR</v>
      </c>
      <c r="D2239" s="12"/>
    </row>
    <row r="2240" spans="1:4" x14ac:dyDescent="0.25">
      <c r="A2240" t="s">
        <v>1516</v>
      </c>
      <c r="B2240" t="str">
        <f t="shared" si="73"/>
        <v>&lt;prefix&gt;_&lt;mm&gt;20&lt;yyyy&gt;_&lt;ar&gt;Factor Change Audit Report - SPR</v>
      </c>
      <c r="D2240" s="12"/>
    </row>
    <row r="2241" spans="1:4" x14ac:dyDescent="0.25">
      <c r="A2241" t="s">
        <v>363</v>
      </c>
      <c r="B2241" t="str">
        <f t="shared" si="73"/>
        <v>&lt;prefix&gt;_&lt;mm&gt;20&lt;yyyy&gt;_&lt;ar&gt;Factor Check Report</v>
      </c>
      <c r="D2241" s="12"/>
    </row>
    <row r="2242" spans="1:4" x14ac:dyDescent="0.25">
      <c r="A2242" t="s">
        <v>1517</v>
      </c>
      <c r="B2242" t="str">
        <f t="shared" si="73"/>
        <v>&lt;prefix&gt;_&lt;mm&gt;20&lt;yyyy&gt;_&lt;ar&gt;Factor Check Report - SPR</v>
      </c>
      <c r="D2242" s="12"/>
    </row>
    <row r="2243" spans="1:4" x14ac:dyDescent="0.25">
      <c r="A2243" t="s">
        <v>1518</v>
      </c>
      <c r="B2243" t="str">
        <f t="shared" si="73"/>
        <v>&lt;prefix&gt;_&lt;mm&gt;20&lt;yyyy&gt;_&lt;ar&gt;Factors on BANS - SPR</v>
      </c>
      <c r="D2243" s="12"/>
    </row>
    <row r="2244" spans="1:4" x14ac:dyDescent="0.25">
      <c r="A2244" t="s">
        <v>1519</v>
      </c>
      <c r="B2244" t="str">
        <f t="shared" si="73"/>
        <v>&lt;prefix&gt;_&lt;mm&gt;20&lt;yyyy&gt;_&lt;ar&gt;Fulfillment Ban List Report</v>
      </c>
      <c r="D2244" s="12"/>
    </row>
    <row r="2245" spans="1:4" x14ac:dyDescent="0.25">
      <c r="A2245" t="s">
        <v>1520</v>
      </c>
      <c r="B2245" t="str">
        <f t="shared" si="73"/>
        <v>&lt;prefix&gt;_&lt;mm&gt;20&lt;yyyy&gt;_&lt;ar&gt;Fulfillment Ban List Report - SPR</v>
      </c>
      <c r="D2245" s="12"/>
    </row>
    <row r="2246" spans="1:4" x14ac:dyDescent="0.25">
      <c r="A2246" t="s">
        <v>78</v>
      </c>
      <c r="B2246" t="str">
        <f t="shared" si="73"/>
        <v>&lt;prefix&gt;_&lt;mm&gt;20&lt;yyyy&gt;_&lt;ar&gt;Fulfillment Report</v>
      </c>
      <c r="D2246" s="12"/>
    </row>
    <row r="2247" spans="1:4" x14ac:dyDescent="0.25">
      <c r="A2247" t="s">
        <v>1281</v>
      </c>
      <c r="B2247" t="str">
        <f t="shared" si="73"/>
        <v>&lt;prefix&gt;_&lt;mm&gt;20&lt;yyyy&gt;_&lt;ar&gt;Graph - Disputed Amounts by Carrier</v>
      </c>
      <c r="D2247" s="12"/>
    </row>
    <row r="2248" spans="1:4" x14ac:dyDescent="0.25">
      <c r="A2248" t="s">
        <v>1282</v>
      </c>
      <c r="B2248" t="str">
        <f t="shared" si="73"/>
        <v>&lt;prefix&gt;_&lt;mm&gt;20&lt;yyyy&gt;_&lt;ar&gt;Graph - Disputed Amounts by Carrier by Date</v>
      </c>
      <c r="D2248" s="12"/>
    </row>
    <row r="2249" spans="1:4" x14ac:dyDescent="0.25">
      <c r="A2249" t="s">
        <v>1283</v>
      </c>
      <c r="B2249" t="str">
        <f t="shared" si="73"/>
        <v>&lt;prefix&gt;_&lt;mm&gt;20&lt;yyyy&gt;_&lt;ar&gt;Graph - Disputed Amounts by dispute types</v>
      </c>
      <c r="D2249" s="12"/>
    </row>
    <row r="2250" spans="1:4" x14ac:dyDescent="0.25">
      <c r="A2250" t="s">
        <v>1284</v>
      </c>
      <c r="B2250" t="str">
        <f t="shared" si="73"/>
        <v>&lt;prefix&gt;_&lt;mm&gt;20&lt;yyyy&gt;_&lt;ar&gt;Graph - Disputed Amounts vs Resolutions</v>
      </c>
      <c r="D2250" s="12"/>
    </row>
    <row r="2251" spans="1:4" x14ac:dyDescent="0.25">
      <c r="A2251" t="s">
        <v>1285</v>
      </c>
      <c r="B2251" t="str">
        <f t="shared" si="73"/>
        <v>&lt;prefix&gt;_&lt;mm&gt;20&lt;yyyy&gt;_&lt;ar&gt;Graph - No. of Disputes by Carrier</v>
      </c>
      <c r="D2251" s="12"/>
    </row>
    <row r="2252" spans="1:4" x14ac:dyDescent="0.25">
      <c r="A2252" t="s">
        <v>1286</v>
      </c>
      <c r="B2252" t="str">
        <f t="shared" si="73"/>
        <v>&lt;prefix&gt;_&lt;mm&gt;20&lt;yyyy&gt;_&lt;ar&gt;Graph - No. of Disputes by Carrier by Date</v>
      </c>
      <c r="D2252" s="12"/>
    </row>
    <row r="2253" spans="1:4" x14ac:dyDescent="0.25">
      <c r="A2253" t="s">
        <v>1426</v>
      </c>
      <c r="B2253" t="str">
        <f t="shared" si="73"/>
        <v>&lt;prefix&gt;_&lt;mm&gt;20&lt;yyyy&gt;_&lt;ar&gt;Greg Transactions Date Range</v>
      </c>
      <c r="D2253" s="12"/>
    </row>
    <row r="2254" spans="1:4" x14ac:dyDescent="0.25">
      <c r="A2254" t="s">
        <v>1427</v>
      </c>
      <c r="B2254" t="str">
        <f t="shared" si="73"/>
        <v>&lt;prefix&gt;_&lt;mm&gt;20&lt;yyyy&gt;_&lt;ar&gt;Identify Invalid Sub-cases</v>
      </c>
      <c r="D2254" s="12"/>
    </row>
    <row r="2255" spans="1:4" x14ac:dyDescent="0.25">
      <c r="A2255" t="s">
        <v>1521</v>
      </c>
      <c r="B2255" t="str">
        <f t="shared" si="73"/>
        <v>&lt;prefix&gt;_&lt;mm&gt;20&lt;yyyy&gt;_&lt;ar&gt;Interconnect by Business Unit</v>
      </c>
      <c r="D2255" s="12"/>
    </row>
    <row r="2256" spans="1:4" x14ac:dyDescent="0.25">
      <c r="A2256" t="s">
        <v>1348</v>
      </c>
      <c r="B2256" t="str">
        <f t="shared" si="73"/>
        <v>&lt;prefix&gt;_&lt;mm&gt;20&lt;yyyy&gt;_&lt;ar&gt;Invoice AR Info Report</v>
      </c>
      <c r="D2256" s="12"/>
    </row>
    <row r="2257" spans="1:4" x14ac:dyDescent="0.25">
      <c r="A2257" t="s">
        <v>1522</v>
      </c>
      <c r="B2257" t="str">
        <f t="shared" si="73"/>
        <v>&lt;prefix&gt;_&lt;mm&gt;20&lt;yyyy&gt;_&lt;ar&gt;Invoice Balances by Juris w/ ADJ and PMT - SPR</v>
      </c>
      <c r="D2257" s="12"/>
    </row>
    <row r="2258" spans="1:4" x14ac:dyDescent="0.25">
      <c r="A2258" t="s">
        <v>1523</v>
      </c>
      <c r="B2258" t="str">
        <f t="shared" si="73"/>
        <v>&lt;prefix&gt;_&lt;mm&gt;20&lt;yyyy&gt;_&lt;ar&gt;Invoice Balances with Adjs and Pmts - SPR</v>
      </c>
      <c r="D2258" s="12"/>
    </row>
    <row r="2259" spans="1:4" x14ac:dyDescent="0.25">
      <c r="A2259" t="s">
        <v>1524</v>
      </c>
      <c r="B2259" t="str">
        <f t="shared" si="73"/>
        <v>&lt;prefix&gt;_&lt;mm&gt;20&lt;yyyy&gt;_&lt;ar&gt;Invoice Count Report</v>
      </c>
      <c r="D2259" s="12"/>
    </row>
    <row r="2260" spans="1:4" x14ac:dyDescent="0.25">
      <c r="A2260" t="s">
        <v>1525</v>
      </c>
      <c r="B2260" t="str">
        <f t="shared" si="73"/>
        <v>&lt;prefix&gt;_&lt;mm&gt;20&lt;yyyy&gt;_&lt;ar&gt;Invoice Count Report - SPR</v>
      </c>
      <c r="D2260" s="12"/>
    </row>
    <row r="2261" spans="1:4" x14ac:dyDescent="0.25">
      <c r="A2261" t="s">
        <v>1526</v>
      </c>
      <c r="B2261" t="str">
        <f t="shared" si="73"/>
        <v>&lt;prefix&gt;_&lt;mm&gt;20&lt;yyyy&gt;_&lt;ar&gt;Invoice Media Now and at Fullfillment - SPR</v>
      </c>
      <c r="D2261" s="12"/>
    </row>
    <row r="2262" spans="1:4" x14ac:dyDescent="0.25">
      <c r="A2262" t="s">
        <v>1527</v>
      </c>
      <c r="B2262" t="str">
        <f t="shared" si="73"/>
        <v>&lt;prefix&gt;_&lt;mm&gt;20&lt;yyyy&gt;_&lt;ar&gt;Invoice Number Search - SPR</v>
      </c>
      <c r="D2262" s="12"/>
    </row>
    <row r="2263" spans="1:4" x14ac:dyDescent="0.25">
      <c r="A2263" t="s">
        <v>1528</v>
      </c>
      <c r="B2263" t="str">
        <f t="shared" si="73"/>
        <v>&lt;prefix&gt;_&lt;mm&gt;20&lt;yyyy&gt;_&lt;ar&gt;Invoice Trending by State Report for Export - SPR</v>
      </c>
      <c r="D2263" s="12"/>
    </row>
    <row r="2264" spans="1:4" x14ac:dyDescent="0.25">
      <c r="A2264" t="s">
        <v>1429</v>
      </c>
      <c r="B2264" t="str">
        <f t="shared" si="73"/>
        <v>&lt;prefix&gt;_&lt;mm&gt;20&lt;yyyy&gt;_&lt;ar&gt;Lisa DETAIL MPB TRANSACTIONS</v>
      </c>
      <c r="D2264" s="12"/>
    </row>
    <row r="2265" spans="1:4" x14ac:dyDescent="0.25">
      <c r="A2265" t="s">
        <v>1430</v>
      </c>
      <c r="B2265" t="str">
        <f t="shared" si="73"/>
        <v>&lt;prefix&gt;_&lt;mm&gt;20&lt;yyyy&gt;_&lt;ar&gt;Lori R0 ATXDR</v>
      </c>
      <c r="D2265" s="12"/>
    </row>
    <row r="2266" spans="1:4" x14ac:dyDescent="0.25">
      <c r="A2266" t="s">
        <v>1289</v>
      </c>
      <c r="B2266" t="str">
        <f t="shared" si="73"/>
        <v>&lt;prefix&gt;_&lt;mm&gt;20&lt;yyyy&gt;_&lt;ar&gt;Message Record Analysis</v>
      </c>
      <c r="D2266" s="12"/>
    </row>
    <row r="2267" spans="1:4" x14ac:dyDescent="0.25">
      <c r="A2267" t="s">
        <v>1290</v>
      </c>
      <c r="B2267" t="str">
        <f t="shared" si="73"/>
        <v>&lt;prefix&gt;_&lt;mm&gt;20&lt;yyyy&gt;_&lt;ar&gt;Messages and minutes billed by FG,CIC</v>
      </c>
      <c r="D2267" s="12"/>
    </row>
    <row r="2268" spans="1:4" x14ac:dyDescent="0.25">
      <c r="A2268" t="s">
        <v>1291</v>
      </c>
      <c r="B2268" t="str">
        <f t="shared" si="73"/>
        <v>&lt;prefix&gt;_&lt;mm&gt;20&lt;yyyy&gt;_&lt;ar&gt;Messages and minutes billed by FG,CIC(Local separa</v>
      </c>
      <c r="D2268" s="12"/>
    </row>
    <row r="2269" spans="1:4" x14ac:dyDescent="0.25">
      <c r="A2269" t="s">
        <v>1292</v>
      </c>
      <c r="B2269" t="str">
        <f t="shared" ref="B2269:B2279" si="74">"&lt;prefix&gt;_&lt;mm&gt;20&lt;yyyy&gt;_&lt;ar&gt;"&amp;A2269</f>
        <v>&lt;prefix&gt;_&lt;mm&gt;20&lt;yyyy&gt;_&lt;ar&gt;Minutes</v>
      </c>
      <c r="D2269" s="12"/>
    </row>
    <row r="2270" spans="1:4" x14ac:dyDescent="0.25">
      <c r="A2270" t="s">
        <v>92</v>
      </c>
      <c r="B2270" t="str">
        <f t="shared" si="74"/>
        <v>&lt;prefix&gt;_&lt;mm&gt;20&lt;yyyy&gt;_&lt;ar&gt;Minutes and revenue billed by rate element</v>
      </c>
      <c r="D2270" s="12"/>
    </row>
    <row r="2271" spans="1:4" x14ac:dyDescent="0.25">
      <c r="A2271" t="s">
        <v>1293</v>
      </c>
      <c r="B2271" t="str">
        <f t="shared" si="74"/>
        <v>&lt;prefix&gt;_&lt;mm&gt;20&lt;yyyy&gt;_&lt;ar&gt;Minutes billed by BAN, Orig- Term Inter-Intra Stat</v>
      </c>
      <c r="D2271" s="12"/>
    </row>
    <row r="2272" spans="1:4" x14ac:dyDescent="0.25">
      <c r="A2272" t="s">
        <v>1294</v>
      </c>
      <c r="B2272" t="str">
        <f t="shared" si="74"/>
        <v>&lt;prefix&gt;_&lt;mm&gt;20&lt;yyyy&gt;_&lt;ar&gt;Minutes billed by BAN, Orig/ Term Inter/Intra Stat</v>
      </c>
      <c r="D2272" s="12"/>
    </row>
    <row r="2273" spans="1:4" x14ac:dyDescent="0.25">
      <c r="A2273" t="s">
        <v>1529</v>
      </c>
      <c r="B2273" t="str">
        <f t="shared" si="74"/>
        <v>&lt;prefix&gt;_&lt;mm&gt;20&lt;yyyy&gt;_&lt;ar&gt;MOU Entries Error Report - SPR</v>
      </c>
      <c r="D2273" s="12"/>
    </row>
    <row r="2274" spans="1:4" x14ac:dyDescent="0.25">
      <c r="A2274" t="s">
        <v>100</v>
      </c>
      <c r="B2274" t="str">
        <f t="shared" si="74"/>
        <v>&lt;prefix&gt;_&lt;mm&gt;20&lt;yyyy&gt;_&lt;ar&gt;NECA AS1000</v>
      </c>
      <c r="D2274" s="12"/>
    </row>
    <row r="2275" spans="1:4" x14ac:dyDescent="0.25">
      <c r="A2275" t="s">
        <v>101</v>
      </c>
      <c r="B2275" t="str">
        <f t="shared" si="74"/>
        <v>&lt;prefix&gt;_&lt;mm&gt;20&lt;yyyy&gt;_&lt;ar&gt;NECA EC1050</v>
      </c>
      <c r="D2275" s="12"/>
    </row>
    <row r="2276" spans="1:4" x14ac:dyDescent="0.25">
      <c r="A2276" t="s">
        <v>1431</v>
      </c>
      <c r="B2276" t="str">
        <f t="shared" si="74"/>
        <v>&lt;prefix&gt;_&lt;mm&gt;20&lt;yyyy&gt;_&lt;ar&gt;Non Common  Usage Excluded from Toni EOM</v>
      </c>
      <c r="D2276" s="12"/>
    </row>
    <row r="2277" spans="1:4" x14ac:dyDescent="0.25">
      <c r="A2277" t="s">
        <v>1297</v>
      </c>
      <c r="B2277" t="str">
        <f t="shared" si="74"/>
        <v>&lt;prefix&gt;_&lt;mm&gt;20&lt;yyyy&gt;_&lt;ar&gt;Non FA Rate Element as Billed Table Report</v>
      </c>
      <c r="D2277" s="12"/>
    </row>
    <row r="2278" spans="1:4" x14ac:dyDescent="0.25">
      <c r="A2278" t="s">
        <v>1530</v>
      </c>
      <c r="B2278" t="str">
        <f t="shared" si="74"/>
        <v>&lt;prefix&gt;_&lt;mm&gt;20&lt;yyyy&gt;_&lt;ar&gt;NON MOU Entry Error Report</v>
      </c>
      <c r="D2278" s="12"/>
    </row>
    <row r="2279" spans="1:4" x14ac:dyDescent="0.25">
      <c r="A2279" t="s">
        <v>1531</v>
      </c>
      <c r="B2279" t="str">
        <f t="shared" si="74"/>
        <v>&lt;prefix&gt;_&lt;mm&gt;20&lt;yyyy&gt;_&lt;ar&gt;Notes Report</v>
      </c>
      <c r="D2279" s="12"/>
    </row>
    <row r="2280" spans="1:4" x14ac:dyDescent="0.25">
      <c r="A2280" s="3" t="s">
        <v>102</v>
      </c>
      <c r="B2280" s="3" t="s">
        <v>1532</v>
      </c>
      <c r="C2280" s="3"/>
      <c r="D2280" s="12"/>
    </row>
    <row r="2281" spans="1:4" x14ac:dyDescent="0.25">
      <c r="A2281" t="s">
        <v>1533</v>
      </c>
      <c r="B2281" t="str">
        <f t="shared" ref="B2281:B2312" si="75">"&lt;prefix&gt;_&lt;mm&gt;20&lt;yyyy&gt;_&lt;ar&gt;"&amp;A2281</f>
        <v>&lt;prefix&gt;_&lt;mm&gt;20&lt;yyyy&gt;_&lt;ar&gt;OC&amp;C GL Trans by BAN Report - SPR</v>
      </c>
      <c r="D2281" s="12"/>
    </row>
    <row r="2282" spans="1:4" x14ac:dyDescent="0.25">
      <c r="A2282" t="s">
        <v>1534</v>
      </c>
      <c r="B2282" t="str">
        <f t="shared" si="75"/>
        <v>&lt;prefix&gt;_&lt;mm&gt;20&lt;yyyy&gt;_&lt;ar&gt;OC&amp;C Report - SPR</v>
      </c>
      <c r="D2282" s="12"/>
    </row>
    <row r="2283" spans="1:4" x14ac:dyDescent="0.25">
      <c r="A2283" t="s">
        <v>1298</v>
      </c>
      <c r="B2283" t="str">
        <f t="shared" si="75"/>
        <v>&lt;prefix&gt;_&lt;mm&gt;20&lt;yyyy&gt;_&lt;ar&gt;OCC Detail Report - Posted</v>
      </c>
      <c r="D2283" s="12"/>
    </row>
    <row r="2284" spans="1:4" x14ac:dyDescent="0.25">
      <c r="A2284" t="s">
        <v>1299</v>
      </c>
      <c r="B2284" t="str">
        <f t="shared" si="75"/>
        <v>&lt;prefix&gt;_&lt;mm&gt;20&lt;yyyy&gt;_&lt;ar&gt;OCC Detail Report - Unposted</v>
      </c>
      <c r="D2284" s="12"/>
    </row>
    <row r="2285" spans="1:4" x14ac:dyDescent="0.25">
      <c r="A2285" t="s">
        <v>1300</v>
      </c>
      <c r="B2285" t="str">
        <f t="shared" si="75"/>
        <v>&lt;prefix&gt;_&lt;mm&gt;20&lt;yyyy&gt;_&lt;ar&gt;Partially Paid Invoices</v>
      </c>
      <c r="D2285" s="12"/>
    </row>
    <row r="2286" spans="1:4" x14ac:dyDescent="0.25">
      <c r="A2286" t="s">
        <v>1301</v>
      </c>
      <c r="B2286" t="str">
        <f t="shared" si="75"/>
        <v>&lt;prefix&gt;_&lt;mm&gt;20&lt;yyyy&gt;_&lt;ar&gt;Payment Details by Check</v>
      </c>
      <c r="D2286" s="12"/>
    </row>
    <row r="2287" spans="1:4" x14ac:dyDescent="0.25">
      <c r="A2287" t="s">
        <v>1535</v>
      </c>
      <c r="B2287" t="str">
        <f t="shared" si="75"/>
        <v>&lt;prefix&gt;_&lt;mm&gt;20&lt;yyyy&gt;_&lt;ar&gt;Payment Details for Specific Check - SPR</v>
      </c>
      <c r="D2287" s="12"/>
    </row>
    <row r="2288" spans="1:4" x14ac:dyDescent="0.25">
      <c r="A2288" t="s">
        <v>1536</v>
      </c>
      <c r="B2288" t="str">
        <f t="shared" si="75"/>
        <v>&lt;prefix&gt;_&lt;mm&gt;20&lt;yyyy&gt;_&lt;ar&gt;Payment Report - SPR</v>
      </c>
      <c r="D2288" s="12"/>
    </row>
    <row r="2289" spans="1:4" x14ac:dyDescent="0.25">
      <c r="A2289" t="s">
        <v>1537</v>
      </c>
      <c r="B2289" t="str">
        <f t="shared" si="75"/>
        <v>&lt;prefix&gt;_&lt;mm&gt;20&lt;yyyy&gt;_&lt;ar&gt;Payment v402</v>
      </c>
      <c r="D2289" s="12"/>
    </row>
    <row r="2290" spans="1:4" x14ac:dyDescent="0.25">
      <c r="A2290" t="s">
        <v>1302</v>
      </c>
      <c r="B2290" t="str">
        <f t="shared" si="75"/>
        <v>&lt;prefix&gt;_&lt;mm&gt;20&lt;yyyy&gt;_&lt;ar&gt;Payments by Payer by BAN</v>
      </c>
      <c r="D2290" s="12"/>
    </row>
    <row r="2291" spans="1:4" x14ac:dyDescent="0.25">
      <c r="A2291" t="s">
        <v>1303</v>
      </c>
      <c r="B2291" t="str">
        <f t="shared" si="75"/>
        <v>&lt;prefix&gt;_&lt;mm&gt;20&lt;yyyy&gt;_&lt;ar&gt;Payments Not on Bill</v>
      </c>
      <c r="D2291" s="12"/>
    </row>
    <row r="2292" spans="1:4" x14ac:dyDescent="0.25">
      <c r="A2292" t="s">
        <v>1304</v>
      </c>
      <c r="B2292" t="str">
        <f t="shared" si="75"/>
        <v>&lt;prefix&gt;_&lt;mm&gt;20&lt;yyyy&gt;_&lt;ar&gt;Percent of disputes/billed per month/year</v>
      </c>
      <c r="D2292" s="12"/>
    </row>
    <row r="2293" spans="1:4" x14ac:dyDescent="0.25">
      <c r="A2293" t="s">
        <v>1305</v>
      </c>
      <c r="B2293" t="str">
        <f t="shared" si="75"/>
        <v>&lt;prefix&gt;_&lt;mm&gt;20&lt;yyyy&gt;_&lt;ar&gt;Percent of disputes/billed per qtr/year</v>
      </c>
      <c r="D2293" s="12"/>
    </row>
    <row r="2294" spans="1:4" x14ac:dyDescent="0.25">
      <c r="A2294" t="s">
        <v>1306</v>
      </c>
      <c r="B2294" t="str">
        <f t="shared" si="75"/>
        <v>&lt;prefix&gt;_&lt;mm&gt;20&lt;yyyy&gt;_&lt;ar&gt;Percent of disputes-billed per month-year</v>
      </c>
      <c r="D2294" s="12"/>
    </row>
    <row r="2295" spans="1:4" x14ac:dyDescent="0.25">
      <c r="A2295" t="s">
        <v>1307</v>
      </c>
      <c r="B2295" t="str">
        <f t="shared" si="75"/>
        <v>&lt;prefix&gt;_&lt;mm&gt;20&lt;yyyy&gt;_&lt;ar&gt;Percent of disputes-billed per qtr-year</v>
      </c>
      <c r="D2295" s="12"/>
    </row>
    <row r="2296" spans="1:4" x14ac:dyDescent="0.25">
      <c r="A2296" t="s">
        <v>1433</v>
      </c>
      <c r="B2296" t="str">
        <f t="shared" si="75"/>
        <v>&lt;prefix&gt;_&lt;mm&gt;20&lt;yyyy&gt;_&lt;ar&gt;Pilot Count 800 DB</v>
      </c>
      <c r="D2296" s="12"/>
    </row>
    <row r="2297" spans="1:4" x14ac:dyDescent="0.25">
      <c r="A2297" t="s">
        <v>1434</v>
      </c>
      <c r="B2297" t="str">
        <f t="shared" si="75"/>
        <v>&lt;prefix&gt;_&lt;mm&gt;20&lt;yyyy&gt;_&lt;ar&gt;Pilot Count all PEGS</v>
      </c>
      <c r="D2297" s="12"/>
    </row>
    <row r="2298" spans="1:4" x14ac:dyDescent="0.25">
      <c r="A2298" t="s">
        <v>1435</v>
      </c>
      <c r="B2298" t="str">
        <f t="shared" si="75"/>
        <v>&lt;prefix&gt;_&lt;mm&gt;20&lt;yyyy&gt;_&lt;ar&gt;Pilot Count CNAM</v>
      </c>
      <c r="D2298" s="12"/>
    </row>
    <row r="2299" spans="1:4" x14ac:dyDescent="0.25">
      <c r="A2299" t="s">
        <v>1436</v>
      </c>
      <c r="B2299" t="str">
        <f t="shared" si="75"/>
        <v>&lt;prefix&gt;_&lt;mm&gt;20&lt;yyyy&gt;_&lt;ar&gt;Pilot Count CNAM 2</v>
      </c>
      <c r="D2299" s="12"/>
    </row>
    <row r="2300" spans="1:4" x14ac:dyDescent="0.25">
      <c r="A2300" t="s">
        <v>1437</v>
      </c>
      <c r="B2300" t="str">
        <f t="shared" si="75"/>
        <v>&lt;prefix&gt;_&lt;mm&gt;20&lt;yyyy&gt;_&lt;ar&gt;Pilot Count CNAM 3</v>
      </c>
      <c r="D2300" s="12"/>
    </row>
    <row r="2301" spans="1:4" x14ac:dyDescent="0.25">
      <c r="A2301" t="s">
        <v>1438</v>
      </c>
      <c r="B2301" t="str">
        <f t="shared" si="75"/>
        <v>&lt;prefix&gt;_&lt;mm&gt;20&lt;yyyy&gt;_&lt;ar&gt;Pilot Count CNAM BS</v>
      </c>
      <c r="D2301" s="12"/>
    </row>
    <row r="2302" spans="1:4" x14ac:dyDescent="0.25">
      <c r="A2302" t="s">
        <v>1439</v>
      </c>
      <c r="B2302" t="str">
        <f t="shared" si="75"/>
        <v>&lt;prefix&gt;_&lt;mm&gt;20&lt;yyyy&gt;_&lt;ar&gt;Pilot Count CNAM Date</v>
      </c>
      <c r="D2302" s="12"/>
    </row>
    <row r="2303" spans="1:4" x14ac:dyDescent="0.25">
      <c r="A2303" t="s">
        <v>1440</v>
      </c>
      <c r="B2303" t="str">
        <f t="shared" si="75"/>
        <v>&lt;prefix&gt;_&lt;mm&gt;20&lt;yyyy&gt;_&lt;ar&gt;Pilot Count FGK</v>
      </c>
      <c r="D2303" s="12"/>
    </row>
    <row r="2304" spans="1:4" x14ac:dyDescent="0.25">
      <c r="A2304" t="s">
        <v>1441</v>
      </c>
      <c r="B2304" t="str">
        <f t="shared" si="75"/>
        <v>&lt;prefix&gt;_&lt;mm&gt;20&lt;yyyy&gt;_&lt;ar&gt;Pilot Count FGS</v>
      </c>
      <c r="D2304" s="12"/>
    </row>
    <row r="2305" spans="1:4" x14ac:dyDescent="0.25">
      <c r="A2305" t="s">
        <v>1442</v>
      </c>
      <c r="B2305" t="str">
        <f t="shared" si="75"/>
        <v>&lt;prefix&gt;_&lt;mm&gt;20&lt;yyyy&gt;_&lt;ar&gt;Pilot Count LIDB</v>
      </c>
      <c r="D2305" s="12"/>
    </row>
    <row r="2306" spans="1:4" x14ac:dyDescent="0.25">
      <c r="A2306" t="s">
        <v>1443</v>
      </c>
      <c r="B2306" t="str">
        <f t="shared" si="75"/>
        <v>&lt;prefix&gt;_&lt;mm&gt;20&lt;yyyy&gt;_&lt;ar&gt;Pilot Count LIDB 254</v>
      </c>
      <c r="D2306" s="12"/>
    </row>
    <row r="2307" spans="1:4" x14ac:dyDescent="0.25">
      <c r="A2307" t="s">
        <v>1444</v>
      </c>
      <c r="B2307" t="str">
        <f t="shared" si="75"/>
        <v>&lt;prefix&gt;_&lt;mm&gt;20&lt;yyyy&gt;_&lt;ar&gt;Pilot Count LNPQFH</v>
      </c>
      <c r="D2307" s="12"/>
    </row>
    <row r="2308" spans="1:4" x14ac:dyDescent="0.25">
      <c r="A2308" t="s">
        <v>1445</v>
      </c>
      <c r="B2308" t="str">
        <f t="shared" si="75"/>
        <v>&lt;prefix&gt;_&lt;mm&gt;20&lt;yyyy&gt;_&lt;ar&gt;Pilot Count Trigger Link</v>
      </c>
      <c r="D2308" s="12"/>
    </row>
    <row r="2309" spans="1:4" x14ac:dyDescent="0.25">
      <c r="A2309" t="s">
        <v>1446</v>
      </c>
      <c r="B2309" t="str">
        <f t="shared" si="75"/>
        <v>&lt;prefix&gt;_&lt;mm&gt;20&lt;yyyy&gt;_&lt;ar&gt;Pilot Count VSN</v>
      </c>
      <c r="D2309" s="12"/>
    </row>
    <row r="2310" spans="1:4" x14ac:dyDescent="0.25">
      <c r="A2310" t="s">
        <v>1447</v>
      </c>
      <c r="B2310" t="str">
        <f t="shared" si="75"/>
        <v>&lt;prefix&gt;_&lt;mm&gt;20&lt;yyyy&gt;_&lt;ar&gt;Pilot History 4</v>
      </c>
      <c r="D2310" s="12"/>
    </row>
    <row r="2311" spans="1:4" x14ac:dyDescent="0.25">
      <c r="A2311" t="s">
        <v>1448</v>
      </c>
      <c r="B2311" t="str">
        <f t="shared" si="75"/>
        <v>&lt;prefix&gt;_&lt;mm&gt;20&lt;yyyy&gt;_&lt;ar&gt;Pilot IBIS MOU Count 03</v>
      </c>
      <c r="D2311" s="12"/>
    </row>
    <row r="2312" spans="1:4" x14ac:dyDescent="0.25">
      <c r="A2312" t="s">
        <v>1308</v>
      </c>
      <c r="B2312" t="str">
        <f t="shared" si="75"/>
        <v>&lt;prefix&gt;_&lt;mm&gt;20&lt;yyyy&gt;_&lt;ar&gt;Post billing rate change adj. calc. - FA</v>
      </c>
      <c r="D2312" s="12"/>
    </row>
    <row r="2313" spans="1:4" x14ac:dyDescent="0.25">
      <c r="A2313" t="s">
        <v>1309</v>
      </c>
      <c r="B2313" t="str">
        <f t="shared" ref="B2313:B2344" si="76">"&lt;prefix&gt;_&lt;mm&gt;20&lt;yyyy&gt;_&lt;ar&gt;"&amp;A2313</f>
        <v>&lt;prefix&gt;_&lt;mm&gt;20&lt;yyyy&gt;_&lt;ar&gt;Post billing rate change adj. calc. - SW</v>
      </c>
      <c r="D2313" s="12"/>
    </row>
    <row r="2314" spans="1:4" x14ac:dyDescent="0.25">
      <c r="A2314" t="s">
        <v>1449</v>
      </c>
      <c r="B2314" t="str">
        <f t="shared" si="76"/>
        <v>&lt;prefix&gt;_&lt;mm&gt;20&lt;yyyy&gt;_&lt;ar&gt;R0 Errors by NPA NXX Office</v>
      </c>
      <c r="D2314" s="12"/>
    </row>
    <row r="2315" spans="1:4" x14ac:dyDescent="0.25">
      <c r="A2315" t="s">
        <v>1450</v>
      </c>
      <c r="B2315" t="str">
        <f t="shared" si="76"/>
        <v>&lt;prefix&gt;_&lt;mm&gt;20&lt;yyyy&gt;_&lt;ar&gt;R0 Errors by Orig NPX NXX Office</v>
      </c>
      <c r="D2315" s="12"/>
    </row>
    <row r="2316" spans="1:4" x14ac:dyDescent="0.25">
      <c r="A2316" t="s">
        <v>1310</v>
      </c>
      <c r="B2316" t="str">
        <f t="shared" si="76"/>
        <v>&lt;prefix&gt;_&lt;mm&gt;20&lt;yyyy&gt;_&lt;ar&gt;Rate Element Table Report</v>
      </c>
      <c r="D2316" s="12"/>
    </row>
    <row r="2317" spans="1:4" x14ac:dyDescent="0.25">
      <c r="A2317" t="s">
        <v>1311</v>
      </c>
      <c r="B2317" t="str">
        <f t="shared" si="76"/>
        <v>&lt;prefix&gt;_&lt;mm&gt;20&lt;yyyy&gt;_&lt;ar&gt;Reconciliation of account balance over time</v>
      </c>
      <c r="D2317" s="12"/>
    </row>
    <row r="2318" spans="1:4" x14ac:dyDescent="0.25">
      <c r="A2318" t="s">
        <v>1312</v>
      </c>
      <c r="B2318" t="str">
        <f t="shared" si="76"/>
        <v>&lt;prefix&gt;_&lt;mm&gt;20&lt;yyyy&gt;_&lt;ar&gt;Resolved Disputes by carrier</v>
      </c>
      <c r="D2318" s="12"/>
    </row>
    <row r="2319" spans="1:4" x14ac:dyDescent="0.25">
      <c r="A2319" t="s">
        <v>1313</v>
      </c>
      <c r="B2319" t="str">
        <f t="shared" si="76"/>
        <v>&lt;prefix&gt;_&lt;mm&gt;20&lt;yyyy&gt;_&lt;ar&gt;Revenue</v>
      </c>
      <c r="D2319" s="12"/>
    </row>
    <row r="2320" spans="1:4" x14ac:dyDescent="0.25">
      <c r="A2320" t="s">
        <v>1538</v>
      </c>
      <c r="B2320" t="str">
        <f t="shared" si="76"/>
        <v>&lt;prefix&gt;_&lt;mm&gt;20&lt;yyyy&gt;_&lt;ar&gt;Revenue Analysis - SPR</v>
      </c>
      <c r="D2320" s="12"/>
    </row>
    <row r="2321" spans="1:4" x14ac:dyDescent="0.25">
      <c r="A2321" t="s">
        <v>1539</v>
      </c>
      <c r="B2321" t="str">
        <f t="shared" si="76"/>
        <v>&lt;prefix&gt;_&lt;mm&gt;20&lt;yyyy&gt;_&lt;ar&gt;Revenue Analysis by CLLI - SPR</v>
      </c>
      <c r="D2321" s="12"/>
    </row>
    <row r="2322" spans="1:4" x14ac:dyDescent="0.25">
      <c r="A2322" t="s">
        <v>1314</v>
      </c>
      <c r="B2322" t="str">
        <f t="shared" si="76"/>
        <v>&lt;prefix&gt;_&lt;mm&gt;20&lt;yyyy&gt;_&lt;ar&gt;Revenue billed by BAN, Inter/Intra State</v>
      </c>
      <c r="D2322" s="12"/>
    </row>
    <row r="2323" spans="1:4" x14ac:dyDescent="0.25">
      <c r="A2323" t="s">
        <v>1315</v>
      </c>
      <c r="B2323" t="str">
        <f t="shared" si="76"/>
        <v>&lt;prefix&gt;_&lt;mm&gt;20&lt;yyyy&gt;_&lt;ar&gt;Revenue billed by BAN, Inter-Intra State</v>
      </c>
      <c r="D2323" s="12"/>
    </row>
    <row r="2324" spans="1:4" x14ac:dyDescent="0.25">
      <c r="A2324" t="s">
        <v>1540</v>
      </c>
      <c r="B2324" t="str">
        <f t="shared" si="76"/>
        <v>&lt;prefix&gt;_&lt;mm&gt;20&lt;yyyy&gt;_&lt;ar&gt;Rolling 12 month AR analysis</v>
      </c>
      <c r="D2324" s="12"/>
    </row>
    <row r="2325" spans="1:4" x14ac:dyDescent="0.25">
      <c r="A2325" t="s">
        <v>1541</v>
      </c>
      <c r="B2325" t="str">
        <f t="shared" si="76"/>
        <v>&lt;prefix&gt;_&lt;mm&gt;20&lt;yyyy&gt;_&lt;ar&gt;Rolling 12 month AR analysis - SPR</v>
      </c>
      <c r="D2325" s="12"/>
    </row>
    <row r="2326" spans="1:4" x14ac:dyDescent="0.25">
      <c r="A2326" t="s">
        <v>1451</v>
      </c>
      <c r="B2326" t="str">
        <f t="shared" si="76"/>
        <v>&lt;prefix&gt;_&lt;mm&gt;20&lt;yyyy&gt;_&lt;ar&gt;Rules that Expire within 30 days</v>
      </c>
      <c r="D2326" s="12"/>
    </row>
    <row r="2327" spans="1:4" x14ac:dyDescent="0.25">
      <c r="A2327" t="s">
        <v>1316</v>
      </c>
      <c r="B2327" t="str">
        <f t="shared" si="76"/>
        <v>&lt;prefix&gt;_&lt;mm&gt;20&lt;yyyy&gt;_&lt;ar&gt;Security Report by User</v>
      </c>
      <c r="D2327" s="12"/>
    </row>
    <row r="2328" spans="1:4" x14ac:dyDescent="0.25">
      <c r="A2328" t="s">
        <v>1317</v>
      </c>
      <c r="B2328" t="str">
        <f t="shared" si="76"/>
        <v>&lt;prefix&gt;_&lt;mm&gt;20&lt;yyyy&gt;_&lt;ar&gt;Security Report by Window</v>
      </c>
      <c r="D2328" s="12"/>
    </row>
    <row r="2329" spans="1:4" x14ac:dyDescent="0.25">
      <c r="A2329" t="s">
        <v>1452</v>
      </c>
      <c r="B2329" t="str">
        <f t="shared" si="76"/>
        <v>&lt;prefix&gt;_&lt;mm&gt;20&lt;yyyy&gt;_&lt;ar&gt;Snapshot Internal with RC</v>
      </c>
      <c r="D2329" s="12"/>
    </row>
    <row r="2330" spans="1:4" x14ac:dyDescent="0.25">
      <c r="A2330" t="s">
        <v>1453</v>
      </c>
      <c r="B2330" t="str">
        <f t="shared" si="76"/>
        <v>&lt;prefix&gt;_&lt;mm&gt;20&lt;yyyy&gt;_&lt;ar&gt;Snapshot Internal with RC First</v>
      </c>
      <c r="D2330" s="12"/>
    </row>
    <row r="2331" spans="1:4" x14ac:dyDescent="0.25">
      <c r="A2331" t="s">
        <v>1454</v>
      </c>
      <c r="B2331" t="str">
        <f t="shared" si="76"/>
        <v>&lt;prefix&gt;_&lt;mm&gt;20&lt;yyyy&gt;_&lt;ar&gt;Snapshot Internal with RC Pegs</v>
      </c>
      <c r="D2331" s="12"/>
    </row>
    <row r="2332" spans="1:4" x14ac:dyDescent="0.25">
      <c r="A2332" t="s">
        <v>1455</v>
      </c>
      <c r="B2332" t="str">
        <f t="shared" si="76"/>
        <v>&lt;prefix&gt;_&lt;mm&gt;20&lt;yyyy&gt;_&lt;ar&gt;Snapshot Internal with RC Pegs First</v>
      </c>
      <c r="D2332" s="12"/>
    </row>
    <row r="2333" spans="1:4" x14ac:dyDescent="0.25">
      <c r="A2333" t="s">
        <v>1542</v>
      </c>
      <c r="B2333" t="str">
        <f t="shared" si="76"/>
        <v>&lt;prefix&gt;_&lt;mm&gt;20&lt;yyyy&gt;_&lt;ar&gt;SOC Change Audit Report - SPR</v>
      </c>
      <c r="D2333" s="12"/>
    </row>
    <row r="2334" spans="1:4" x14ac:dyDescent="0.25">
      <c r="A2334" t="s">
        <v>1318</v>
      </c>
      <c r="B2334" t="str">
        <f t="shared" si="76"/>
        <v>&lt;prefix&gt;_&lt;mm&gt;20&lt;yyyy&gt;_&lt;ar&gt;SOC Jurisdiction Table Report</v>
      </c>
      <c r="D2334" s="12"/>
    </row>
    <row r="2335" spans="1:4" x14ac:dyDescent="0.25">
      <c r="A2335" t="s">
        <v>1319</v>
      </c>
      <c r="B2335" t="str">
        <f t="shared" si="76"/>
        <v>&lt;prefix&gt;_&lt;mm&gt;20&lt;yyyy&gt;_&lt;ar&gt;SOC Rate Comparison between companies</v>
      </c>
      <c r="D2335" s="12"/>
    </row>
    <row r="2336" spans="1:4" x14ac:dyDescent="0.25">
      <c r="A2336" t="s">
        <v>1320</v>
      </c>
      <c r="B2336" t="str">
        <f t="shared" si="76"/>
        <v>&lt;prefix&gt;_&lt;mm&gt;20&lt;yyyy&gt;_&lt;ar&gt;SOC Tariff Table Report</v>
      </c>
      <c r="D2336" s="12"/>
    </row>
    <row r="2337" spans="1:4" x14ac:dyDescent="0.25">
      <c r="A2337" t="s">
        <v>1484</v>
      </c>
      <c r="B2337" t="str">
        <f t="shared" si="76"/>
        <v>&lt;prefix&gt;_&lt;mm&gt;20&lt;yyyy&gt;_&lt;ar&gt;SOCs on BANs Report (History optional)</v>
      </c>
      <c r="D2337" s="12"/>
    </row>
    <row r="2338" spans="1:4" x14ac:dyDescent="0.25">
      <c r="A2338" t="s">
        <v>1543</v>
      </c>
      <c r="B2338" t="str">
        <f t="shared" si="76"/>
        <v>&lt;prefix&gt;_&lt;mm&gt;20&lt;yyyy&gt;_&lt;ar&gt;SOCs on BANs Report (History optional) - SPR</v>
      </c>
      <c r="D2338" s="12"/>
    </row>
    <row r="2339" spans="1:4" x14ac:dyDescent="0.25">
      <c r="A2339" t="s">
        <v>1544</v>
      </c>
      <c r="B2339" t="str">
        <f t="shared" si="76"/>
        <v>&lt;prefix&gt;_&lt;mm&gt;20&lt;yyyy&gt;_&lt;ar&gt;Sprint Invoice Transactions Report</v>
      </c>
      <c r="D2339" s="12"/>
    </row>
    <row r="2340" spans="1:4" x14ac:dyDescent="0.25">
      <c r="A2340" t="s">
        <v>1545</v>
      </c>
      <c r="B2340" t="str">
        <f t="shared" si="76"/>
        <v>&lt;prefix&gt;_&lt;mm&gt;20&lt;yyyy&gt;_&lt;ar&gt;Sprint MOU Analysis for export - SPR</v>
      </c>
      <c r="D2340" s="12"/>
    </row>
    <row r="2341" spans="1:4" x14ac:dyDescent="0.25">
      <c r="A2341" t="s">
        <v>1546</v>
      </c>
      <c r="B2341" t="str">
        <f t="shared" si="76"/>
        <v>&lt;prefix&gt;_&lt;mm&gt;20&lt;yyyy&gt;_&lt;ar&gt;SPRNTV5_Reports_Table</v>
      </c>
      <c r="D2341" s="12"/>
    </row>
    <row r="2342" spans="1:4" x14ac:dyDescent="0.25">
      <c r="A2342" t="s">
        <v>1547</v>
      </c>
      <c r="B2342" t="str">
        <f t="shared" si="76"/>
        <v>&lt;prefix&gt;_&lt;mm&gt;20&lt;yyyy&gt;_&lt;ar&gt;SPRNTV5_Rpt_Argmnt</v>
      </c>
      <c r="D2342" s="12"/>
    </row>
    <row r="2343" spans="1:4" x14ac:dyDescent="0.25">
      <c r="A2343" t="s">
        <v>1321</v>
      </c>
      <c r="B2343" t="str">
        <f t="shared" si="76"/>
        <v>&lt;prefix&gt;_&lt;mm&gt;20&lt;yyyy&gt;_&lt;ar&gt;Summary of Adjustments Report</v>
      </c>
      <c r="D2343" s="12"/>
    </row>
    <row r="2344" spans="1:4" x14ac:dyDescent="0.25">
      <c r="A2344" t="s">
        <v>1322</v>
      </c>
      <c r="B2344" t="str">
        <f t="shared" si="76"/>
        <v>&lt;prefix&gt;_&lt;mm&gt;20&lt;yyyy&gt;_&lt;ar&gt;Summary of OCCs Report</v>
      </c>
      <c r="D2344" s="12"/>
    </row>
    <row r="2345" spans="1:4" x14ac:dyDescent="0.25">
      <c r="A2345" t="s">
        <v>1548</v>
      </c>
      <c r="B2345" t="str">
        <f t="shared" ref="B2345:B2376" si="77">"&lt;prefix&gt;_&lt;mm&gt;20&lt;yyyy&gt;_&lt;ar&gt;"&amp;A2345</f>
        <v>&lt;prefix&gt;_&lt;mm&gt;20&lt;yyyy&gt;_&lt;ar&gt;SW BAN Trending of MOU by Dir and Jur - SPR</v>
      </c>
      <c r="D2345" s="12"/>
    </row>
    <row r="2346" spans="1:4" x14ac:dyDescent="0.25">
      <c r="A2346" t="s">
        <v>1549</v>
      </c>
      <c r="B2346" t="str">
        <f t="shared" si="77"/>
        <v>&lt;prefix&gt;_&lt;mm&gt;20&lt;yyyy&gt;_&lt;ar&gt;SW BANS Trending Report (qty type detail) - SPR</v>
      </c>
      <c r="D2346" s="12"/>
    </row>
    <row r="2347" spans="1:4" x14ac:dyDescent="0.25">
      <c r="A2347" t="s">
        <v>120</v>
      </c>
      <c r="B2347" t="str">
        <f t="shared" si="77"/>
        <v>&lt;prefix&gt;_&lt;mm&gt;20&lt;yyyy&gt;_&lt;ar&gt;SW Usage Charges Summary</v>
      </c>
      <c r="D2347" s="12"/>
    </row>
    <row r="2348" spans="1:4" x14ac:dyDescent="0.25">
      <c r="A2348" t="s">
        <v>1323</v>
      </c>
      <c r="B2348" t="str">
        <f t="shared" si="77"/>
        <v>&lt;prefix&gt;_&lt;mm&gt;20&lt;yyyy&gt;_&lt;ar&gt;SW Usage Charges Summary by CLLI</v>
      </c>
      <c r="D2348" s="12"/>
    </row>
    <row r="2349" spans="1:4" x14ac:dyDescent="0.25">
      <c r="A2349" t="s">
        <v>1324</v>
      </c>
      <c r="B2349" t="str">
        <f t="shared" si="77"/>
        <v>&lt;prefix&gt;_&lt;mm&gt;20&lt;yyyy&gt;_&lt;ar&gt;SW Usage Statistics Summary</v>
      </c>
      <c r="D2349" s="12"/>
    </row>
    <row r="2350" spans="1:4" x14ac:dyDescent="0.25">
      <c r="A2350" t="s">
        <v>1550</v>
      </c>
      <c r="B2350" t="str">
        <f t="shared" si="77"/>
        <v>&lt;prefix&gt;_&lt;mm&gt;20&lt;yyyy&gt;_&lt;ar&gt;Switched BANS Trending Report - SPR</v>
      </c>
      <c r="D2350" s="12"/>
    </row>
    <row r="2351" spans="1:4" x14ac:dyDescent="0.25">
      <c r="A2351" t="s">
        <v>1326</v>
      </c>
      <c r="B2351" t="str">
        <f t="shared" si="77"/>
        <v>&lt;prefix&gt;_&lt;mm&gt;20&lt;yyyy&gt;_&lt;ar&gt;Switched Billing Account - Factor Report</v>
      </c>
      <c r="D2351" s="12"/>
    </row>
    <row r="2352" spans="1:4" x14ac:dyDescent="0.25">
      <c r="A2352" t="s">
        <v>1327</v>
      </c>
      <c r="B2352" t="str">
        <f t="shared" si="77"/>
        <v>&lt;prefix&gt;_&lt;mm&gt;20&lt;yyyy&gt;_&lt;ar&gt;Switched Billing Account - SOC Report</v>
      </c>
      <c r="D2352" s="12"/>
    </row>
    <row r="2353" spans="1:4" x14ac:dyDescent="0.25">
      <c r="A2353" t="s">
        <v>1328</v>
      </c>
      <c r="B2353" t="str">
        <f t="shared" si="77"/>
        <v>&lt;prefix&gt;_&lt;mm&gt;20&lt;yyyy&gt;_&lt;ar&gt;Switched Billing Account - Wire Center Report</v>
      </c>
      <c r="D2353" s="12"/>
    </row>
    <row r="2354" spans="1:4" x14ac:dyDescent="0.25">
      <c r="A2354" t="s">
        <v>1329</v>
      </c>
      <c r="B2354" t="str">
        <f t="shared" si="77"/>
        <v>&lt;prefix&gt;_&lt;mm&gt;20&lt;yyyy&gt;_&lt;ar&gt;Tariff Element Tracking</v>
      </c>
      <c r="D2354" s="12"/>
    </row>
    <row r="2355" spans="1:4" x14ac:dyDescent="0.25">
      <c r="A2355" t="s">
        <v>1551</v>
      </c>
      <c r="B2355" t="str">
        <f t="shared" si="77"/>
        <v>&lt;prefix&gt;_&lt;mm&gt;20&lt;yyyy&gt;_&lt;ar&gt;Toll Free Verification</v>
      </c>
      <c r="D2355" s="12"/>
    </row>
    <row r="2356" spans="1:4" x14ac:dyDescent="0.25">
      <c r="A2356" t="s">
        <v>619</v>
      </c>
      <c r="B2356" t="str">
        <f t="shared" si="77"/>
        <v>&lt;prefix&gt;_&lt;mm&gt;20&lt;yyyy&gt;_&lt;ar&gt;Transaction Detail Listing</v>
      </c>
      <c r="D2356" s="12"/>
    </row>
    <row r="2357" spans="1:4" x14ac:dyDescent="0.25">
      <c r="A2357" t="s">
        <v>1457</v>
      </c>
      <c r="B2357" t="str">
        <f t="shared" si="77"/>
        <v>&lt;prefix&gt;_&lt;mm&gt;20&lt;yyyy&gt;_&lt;ar&gt;Transaction Report by Case</v>
      </c>
      <c r="D2357" s="12"/>
    </row>
    <row r="2358" spans="1:4" x14ac:dyDescent="0.25">
      <c r="A2358" t="s">
        <v>1458</v>
      </c>
      <c r="B2358" t="str">
        <f t="shared" si="77"/>
        <v>&lt;prefix&gt;_&lt;mm&gt;20&lt;yyyy&gt;_&lt;ar&gt;Transaction Report by Employee</v>
      </c>
      <c r="D2358" s="12"/>
    </row>
    <row r="2359" spans="1:4" x14ac:dyDescent="0.25">
      <c r="A2359" t="s">
        <v>1459</v>
      </c>
      <c r="B2359" t="str">
        <f t="shared" si="77"/>
        <v>&lt;prefix&gt;_&lt;mm&gt;20&lt;yyyy&gt;_&lt;ar&gt;Transaction Report by Employee w/ Case Definition</v>
      </c>
      <c r="D2359" s="12"/>
    </row>
    <row r="2360" spans="1:4" x14ac:dyDescent="0.25">
      <c r="A2360" t="s">
        <v>1460</v>
      </c>
      <c r="B2360" t="str">
        <f t="shared" si="77"/>
        <v>&lt;prefix&gt;_&lt;mm&gt;20&lt;yyyy&gt;_&lt;ar&gt;Transaction Report by Site</v>
      </c>
      <c r="D2360" s="12"/>
    </row>
    <row r="2361" spans="1:4" x14ac:dyDescent="0.25">
      <c r="A2361" t="s">
        <v>616</v>
      </c>
      <c r="B2361" t="str">
        <f t="shared" si="77"/>
        <v>&lt;prefix&gt;_&lt;mm&gt;20&lt;yyyy&gt;_&lt;ar&gt;Transaction Summary</v>
      </c>
      <c r="D2361" s="12"/>
    </row>
    <row r="2362" spans="1:4" x14ac:dyDescent="0.25">
      <c r="A2362" t="s">
        <v>1331</v>
      </c>
      <c r="B2362" t="str">
        <f t="shared" si="77"/>
        <v>&lt;prefix&gt;_&lt;mm&gt;20&lt;yyyy&gt;_&lt;ar&gt;Transaction Summary - adjustments only</v>
      </c>
      <c r="D2362" s="12"/>
    </row>
    <row r="2363" spans="1:4" x14ac:dyDescent="0.25">
      <c r="A2363" t="s">
        <v>1332</v>
      </c>
      <c r="B2363" t="str">
        <f t="shared" si="77"/>
        <v>&lt;prefix&gt;_&lt;mm&gt;20&lt;yyyy&gt;_&lt;ar&gt;Transaction Summary - receipts only</v>
      </c>
      <c r="D2363" s="12"/>
    </row>
    <row r="2364" spans="1:4" x14ac:dyDescent="0.25">
      <c r="A2364" t="s">
        <v>1333</v>
      </c>
      <c r="B2364" t="str">
        <f t="shared" si="77"/>
        <v>&lt;prefix&gt;_&lt;mm&gt;20&lt;yyyy&gt;_&lt;ar&gt;Transaction Summary by transaction/bill type</v>
      </c>
      <c r="D2364" s="12"/>
    </row>
    <row r="2365" spans="1:4" x14ac:dyDescent="0.25">
      <c r="A2365" t="s">
        <v>1334</v>
      </c>
      <c r="B2365" t="str">
        <f t="shared" si="77"/>
        <v xml:space="preserve">&lt;prefix&gt;_&lt;mm&gt;20&lt;yyyy&gt;_&lt;ar&gt;Transaction Summary by transaction/bill type </v>
      </c>
      <c r="D2365" s="12"/>
    </row>
    <row r="2366" spans="1:4" x14ac:dyDescent="0.25">
      <c r="A2366" t="s">
        <v>1335</v>
      </c>
      <c r="B2366" t="str">
        <f t="shared" si="77"/>
        <v>&lt;prefix&gt;_&lt;mm&gt;20&lt;yyyy&gt;_&lt;ar&gt;Transaction Summary by transaction-bill type</v>
      </c>
      <c r="D2366" s="12"/>
    </row>
    <row r="2367" spans="1:4" x14ac:dyDescent="0.25">
      <c r="A2367" t="s">
        <v>1461</v>
      </c>
      <c r="B2367" t="str">
        <f t="shared" si="77"/>
        <v>&lt;prefix&gt;_&lt;mm&gt;20&lt;yyyy&gt;_&lt;ar&gt;Transactions by User by Date</v>
      </c>
      <c r="D2367" s="12"/>
    </row>
    <row r="2368" spans="1:4" x14ac:dyDescent="0.25">
      <c r="A2368" t="s">
        <v>1462</v>
      </c>
      <c r="B2368" t="str">
        <f t="shared" si="77"/>
        <v>&lt;prefix&gt;_&lt;mm&gt;20&lt;yyyy&gt;_&lt;ar&gt;UNE Metrics Detail</v>
      </c>
      <c r="D2368" s="12"/>
    </row>
    <row r="2369" spans="1:4" x14ac:dyDescent="0.25">
      <c r="A2369" t="s">
        <v>1463</v>
      </c>
      <c r="B2369" t="str">
        <f t="shared" si="77"/>
        <v>&lt;prefix&gt;_&lt;mm&gt;20&lt;yyyy&gt;_&lt;ar&gt;UNE Metrics Summary</v>
      </c>
      <c r="D2369" s="12"/>
    </row>
    <row r="2370" spans="1:4" x14ac:dyDescent="0.25">
      <c r="A2370" t="s">
        <v>1464</v>
      </c>
      <c r="B2370" t="str">
        <f t="shared" si="77"/>
        <v>&lt;prefix&gt;_&lt;mm&gt;20&lt;yyyy&gt;_&lt;ar&gt;UNE Metrics Window</v>
      </c>
      <c r="D2370" s="12"/>
    </row>
    <row r="2371" spans="1:4" x14ac:dyDescent="0.25">
      <c r="A2371" t="s">
        <v>1337</v>
      </c>
      <c r="B2371" t="str">
        <f t="shared" si="77"/>
        <v>&lt;prefix&gt;_&lt;mm&gt;20&lt;yyyy&gt;_&lt;ar&gt;Unresolved Disputes by Carrier by code</v>
      </c>
      <c r="D2371" s="12"/>
    </row>
    <row r="2372" spans="1:4" x14ac:dyDescent="0.25">
      <c r="A2372" t="s">
        <v>1338</v>
      </c>
      <c r="B2372" t="str">
        <f t="shared" si="77"/>
        <v>&lt;prefix&gt;_&lt;mm&gt;20&lt;yyyy&gt;_&lt;ar&gt;Unresolved Disputes by Carrier by month</v>
      </c>
      <c r="D2372" s="12"/>
    </row>
    <row r="2373" spans="1:4" x14ac:dyDescent="0.25">
      <c r="A2373" t="s">
        <v>1552</v>
      </c>
      <c r="B2373" t="str">
        <f t="shared" si="77"/>
        <v>&lt;prefix&gt;_&lt;mm&gt;20&lt;yyyy&gt;_&lt;ar&gt;Usage and File for a given invoice - SPR</v>
      </c>
      <c r="D2373" s="12"/>
    </row>
    <row r="2374" spans="1:4" x14ac:dyDescent="0.25">
      <c r="A2374" t="s">
        <v>1553</v>
      </c>
      <c r="B2374" t="str">
        <f t="shared" si="77"/>
        <v>&lt;prefix&gt;_&lt;mm&gt;20&lt;yyyy&gt;_&lt;ar&gt;Usage and File for a given invoice V2 - SPR</v>
      </c>
      <c r="D2374" s="12"/>
    </row>
    <row r="2375" spans="1:4" x14ac:dyDescent="0.25">
      <c r="A2375" s="17" t="s">
        <v>1339</v>
      </c>
      <c r="B2375" t="str">
        <f t="shared" si="77"/>
        <v>&lt;prefix&gt;_&lt;mm&gt;20&lt;yyyy&gt;_&lt;ar&gt;Usage Balancing - Company Totals</v>
      </c>
      <c r="D2375" s="12"/>
    </row>
    <row r="2376" spans="1:4" x14ac:dyDescent="0.25">
      <c r="A2376" t="s">
        <v>41</v>
      </c>
      <c r="B2376" t="str">
        <f t="shared" si="77"/>
        <v>&lt;prefix&gt;_&lt;mm&gt;20&lt;yyyy&gt;_&lt;ar&gt;Usage Balancing - Company Totals with Full Detail</v>
      </c>
      <c r="D2376" s="12"/>
    </row>
    <row r="2377" spans="1:4" x14ac:dyDescent="0.25">
      <c r="A2377" t="s">
        <v>1340</v>
      </c>
      <c r="B2377" t="str">
        <f t="shared" ref="B2377:B2390" si="78">"&lt;prefix&gt;_&lt;mm&gt;20&lt;yyyy&gt;_&lt;ar&gt;"&amp;A2377</f>
        <v>&lt;prefix&gt;_&lt;mm&gt;20&lt;yyyy&gt;_&lt;ar&gt;Usage Balancing - Company, Ban, Clli Totals</v>
      </c>
      <c r="D2377" s="12"/>
    </row>
    <row r="2378" spans="1:4" x14ac:dyDescent="0.25">
      <c r="A2378" t="s">
        <v>1341</v>
      </c>
      <c r="B2378" t="str">
        <f t="shared" si="78"/>
        <v>&lt;prefix&gt;_&lt;mm&gt;20&lt;yyyy&gt;_&lt;ar&gt;Usage Balancing - Company, Ban, Clli, TT Totals</v>
      </c>
      <c r="D2378" s="12"/>
    </row>
    <row r="2379" spans="1:4" x14ac:dyDescent="0.25">
      <c r="A2379" t="s">
        <v>1554</v>
      </c>
      <c r="B2379" t="str">
        <f t="shared" si="78"/>
        <v>&lt;prefix&gt;_&lt;mm&gt;20&lt;yyyy&gt;_&lt;ar&gt;Usage Balancing - Company, First Time</v>
      </c>
      <c r="D2379" s="12"/>
    </row>
    <row r="2380" spans="1:4" x14ac:dyDescent="0.25">
      <c r="A2380" t="s">
        <v>1555</v>
      </c>
      <c r="B2380" t="str">
        <f t="shared" si="78"/>
        <v>&lt;prefix&gt;_&lt;mm&gt;20&lt;yyyy&gt;_&lt;ar&gt;Usage Balancing Report_first time billing</v>
      </c>
      <c r="D2380" s="12"/>
    </row>
    <row r="2381" spans="1:4" x14ac:dyDescent="0.25">
      <c r="A2381" t="s">
        <v>1465</v>
      </c>
      <c r="B2381" t="str">
        <f t="shared" si="78"/>
        <v>&lt;prefix&gt;_&lt;mm&gt;20&lt;yyyy&gt;_&lt;ar&gt;Usage by CIC</v>
      </c>
      <c r="D2381" s="12"/>
    </row>
    <row r="2382" spans="1:4" x14ac:dyDescent="0.25">
      <c r="A2382" t="s">
        <v>1350</v>
      </c>
      <c r="B2382" t="str">
        <f t="shared" si="78"/>
        <v>&lt;prefix&gt;_&lt;mm&gt;20&lt;yyyy&gt;_&lt;ar&gt;Usage by Day Report - 3 Months</v>
      </c>
      <c r="D2382" s="12"/>
    </row>
    <row r="2383" spans="1:4" x14ac:dyDescent="0.25">
      <c r="A2383" t="s">
        <v>1556</v>
      </c>
      <c r="B2383" t="str">
        <f t="shared" si="78"/>
        <v>&lt;prefix&gt;_&lt;mm&gt;20&lt;yyyy&gt;_&lt;ar&gt;Usage by Day Report - 3 Months - SPR</v>
      </c>
      <c r="D2383" s="12"/>
    </row>
    <row r="2384" spans="1:4" x14ac:dyDescent="0.25">
      <c r="A2384" t="s">
        <v>1557</v>
      </c>
      <c r="B2384" t="str">
        <f t="shared" si="78"/>
        <v>&lt;prefix&gt;_&lt;mm&gt;20&lt;yyyy&gt;_&lt;ar&gt;Usage by Day Report - SPR</v>
      </c>
      <c r="D2384" s="12"/>
    </row>
    <row r="2385" spans="1:4" x14ac:dyDescent="0.25">
      <c r="A2385" t="s">
        <v>1558</v>
      </c>
      <c r="B2385" t="str">
        <f t="shared" si="78"/>
        <v>&lt;prefix&gt;_&lt;mm&gt;20&lt;yyyy&gt;_&lt;ar&gt;Usage Summary by Lata</v>
      </c>
      <c r="D2385" s="12"/>
    </row>
    <row r="2386" spans="1:4" x14ac:dyDescent="0.25">
      <c r="A2386" t="s">
        <v>1342</v>
      </c>
      <c r="B2386" t="str">
        <f t="shared" si="78"/>
        <v>&lt;prefix&gt;_&lt;mm&gt;20&lt;yyyy&gt;_&lt;ar&gt;Usage Totaling Rule</v>
      </c>
      <c r="D2386" s="12"/>
    </row>
    <row r="2387" spans="1:4" x14ac:dyDescent="0.25">
      <c r="A2387" t="s">
        <v>1559</v>
      </c>
      <c r="B2387" t="str">
        <f t="shared" si="78"/>
        <v>&lt;prefix&gt;_&lt;mm&gt;20&lt;yyyy&gt;_&lt;ar&gt;Usage Verify by Size Report - SPR</v>
      </c>
      <c r="D2387" s="12"/>
    </row>
    <row r="2388" spans="1:4" x14ac:dyDescent="0.25">
      <c r="A2388" t="s">
        <v>1466</v>
      </c>
      <c r="B2388" t="str">
        <f t="shared" si="78"/>
        <v>&lt;prefix&gt;_&lt;mm&gt;20&lt;yyyy&gt;_&lt;ar&gt;User Activity for a Day</v>
      </c>
      <c r="D2388" s="12"/>
    </row>
    <row r="2389" spans="1:4" x14ac:dyDescent="0.25">
      <c r="A2389" t="s">
        <v>1343</v>
      </c>
      <c r="B2389" t="str">
        <f t="shared" si="78"/>
        <v>&lt;prefix&gt;_&lt;mm&gt;20&lt;yyyy&gt;_&lt;ar&gt;Wire Center Mileage Segment Report</v>
      </c>
      <c r="D2389" s="12"/>
    </row>
    <row r="2390" spans="1:4" x14ac:dyDescent="0.25">
      <c r="A2390" t="s">
        <v>1344</v>
      </c>
      <c r="B2390" t="str">
        <f t="shared" si="78"/>
        <v>&lt;prefix&gt;_&lt;mm&gt;20&lt;yyyy&gt;_&lt;ar&gt;Wire Center Report</v>
      </c>
      <c r="D2390" s="1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E284"/>
  <sheetViews>
    <sheetView workbookViewId="0">
      <selection activeCell="C17" sqref="C17"/>
    </sheetView>
  </sheetViews>
  <sheetFormatPr defaultRowHeight="15" x14ac:dyDescent="0.25"/>
  <sheetData>
    <row r="1" spans="1:5" x14ac:dyDescent="0.25">
      <c r="A1" s="40" t="s">
        <v>1570</v>
      </c>
      <c r="B1" s="40" t="s">
        <v>1571</v>
      </c>
      <c r="C1" s="40" t="s">
        <v>1572</v>
      </c>
      <c r="D1" s="40" t="s">
        <v>1573</v>
      </c>
      <c r="E1" s="40" t="s">
        <v>191</v>
      </c>
    </row>
    <row r="2" spans="1:5" x14ac:dyDescent="0.25">
      <c r="A2" s="40">
        <v>1</v>
      </c>
      <c r="B2" s="40" t="s">
        <v>192</v>
      </c>
      <c r="C2" s="40" t="s">
        <v>193</v>
      </c>
      <c r="E2" s="40" t="s">
        <v>194</v>
      </c>
    </row>
    <row r="3" spans="1:5" x14ac:dyDescent="0.25">
      <c r="A3" s="40">
        <v>2</v>
      </c>
      <c r="B3" s="40" t="s">
        <v>195</v>
      </c>
      <c r="C3" s="40" t="s">
        <v>196</v>
      </c>
      <c r="E3" s="40" t="s">
        <v>197</v>
      </c>
    </row>
    <row r="4" spans="1:5" x14ac:dyDescent="0.25">
      <c r="A4" s="40">
        <v>3</v>
      </c>
      <c r="B4" s="40" t="s">
        <v>198</v>
      </c>
      <c r="C4" s="40" t="s">
        <v>199</v>
      </c>
      <c r="E4" s="40" t="s">
        <v>200</v>
      </c>
    </row>
    <row r="5" spans="1:5" x14ac:dyDescent="0.25">
      <c r="A5" s="40">
        <v>4</v>
      </c>
      <c r="B5" s="40" t="s">
        <v>201</v>
      </c>
      <c r="C5" s="40" t="s">
        <v>202</v>
      </c>
      <c r="E5" s="40" t="s">
        <v>203</v>
      </c>
    </row>
    <row r="6" spans="1:5" x14ac:dyDescent="0.25">
      <c r="A6" s="40">
        <v>5</v>
      </c>
      <c r="B6" s="40" t="s">
        <v>204</v>
      </c>
      <c r="C6" s="40" t="s">
        <v>205</v>
      </c>
      <c r="E6" s="40" t="s">
        <v>206</v>
      </c>
    </row>
    <row r="7" spans="1:5" x14ac:dyDescent="0.25">
      <c r="A7" s="40">
        <v>6</v>
      </c>
      <c r="B7" s="40" t="s">
        <v>207</v>
      </c>
      <c r="C7" s="40" t="s">
        <v>208</v>
      </c>
      <c r="E7" s="40" t="s">
        <v>209</v>
      </c>
    </row>
    <row r="8" spans="1:5" x14ac:dyDescent="0.25">
      <c r="A8" s="40">
        <v>7</v>
      </c>
      <c r="B8" s="40" t="s">
        <v>210</v>
      </c>
      <c r="C8" s="40" t="s">
        <v>211</v>
      </c>
      <c r="E8" s="40" t="s">
        <v>212</v>
      </c>
    </row>
    <row r="9" spans="1:5" x14ac:dyDescent="0.25">
      <c r="A9" s="40">
        <v>8</v>
      </c>
      <c r="B9" s="40" t="s">
        <v>213</v>
      </c>
      <c r="C9" s="40" t="s">
        <v>214</v>
      </c>
      <c r="E9" s="40" t="s">
        <v>215</v>
      </c>
    </row>
    <row r="10" spans="1:5" x14ac:dyDescent="0.25">
      <c r="A10" s="40">
        <v>9</v>
      </c>
      <c r="B10" s="40" t="s">
        <v>216</v>
      </c>
      <c r="C10" s="40" t="s">
        <v>12</v>
      </c>
      <c r="E10" s="40" t="s">
        <v>218</v>
      </c>
    </row>
    <row r="11" spans="1:5" x14ac:dyDescent="0.25">
      <c r="A11" s="40">
        <v>10</v>
      </c>
      <c r="B11" s="40" t="s">
        <v>219</v>
      </c>
      <c r="C11" s="40" t="s">
        <v>220</v>
      </c>
      <c r="E11" s="40" t="s">
        <v>221</v>
      </c>
    </row>
    <row r="12" spans="1:5" x14ac:dyDescent="0.25">
      <c r="A12" s="40">
        <v>11</v>
      </c>
      <c r="B12" s="40" t="s">
        <v>222</v>
      </c>
      <c r="C12" s="40" t="s">
        <v>223</v>
      </c>
      <c r="E12" s="40" t="s">
        <v>224</v>
      </c>
    </row>
    <row r="13" spans="1:5" x14ac:dyDescent="0.25">
      <c r="A13" s="40">
        <v>12</v>
      </c>
      <c r="B13" s="40" t="s">
        <v>225</v>
      </c>
      <c r="C13" s="40" t="s">
        <v>226</v>
      </c>
      <c r="E13" s="40" t="s">
        <v>227</v>
      </c>
    </row>
    <row r="14" spans="1:5" x14ac:dyDescent="0.25">
      <c r="A14" s="40">
        <v>13</v>
      </c>
      <c r="B14" s="40" t="s">
        <v>228</v>
      </c>
      <c r="C14" s="40" t="s">
        <v>229</v>
      </c>
      <c r="E14" s="40" t="s">
        <v>230</v>
      </c>
    </row>
    <row r="15" spans="1:5" x14ac:dyDescent="0.25">
      <c r="A15" s="40">
        <v>14</v>
      </c>
      <c r="B15" s="40" t="s">
        <v>231</v>
      </c>
      <c r="C15" s="40" t="s">
        <v>232</v>
      </c>
      <c r="E15" s="40" t="s">
        <v>234</v>
      </c>
    </row>
    <row r="16" spans="1:5" x14ac:dyDescent="0.25">
      <c r="A16" s="40">
        <v>15</v>
      </c>
      <c r="B16" s="40" t="s">
        <v>235</v>
      </c>
      <c r="C16" s="40" t="s">
        <v>236</v>
      </c>
      <c r="E16" s="40" t="s">
        <v>237</v>
      </c>
    </row>
    <row r="17" spans="1:5" x14ac:dyDescent="0.25">
      <c r="A17" s="40">
        <v>16</v>
      </c>
      <c r="B17" s="40" t="s">
        <v>238</v>
      </c>
      <c r="C17" s="40" t="s">
        <v>239</v>
      </c>
      <c r="E17" s="40" t="s">
        <v>241</v>
      </c>
    </row>
    <row r="18" spans="1:5" x14ac:dyDescent="0.25">
      <c r="A18" s="40">
        <v>17</v>
      </c>
      <c r="B18" s="40" t="s">
        <v>242</v>
      </c>
      <c r="C18" s="40" t="s">
        <v>243</v>
      </c>
      <c r="E18" s="40" t="s">
        <v>244</v>
      </c>
    </row>
    <row r="19" spans="1:5" x14ac:dyDescent="0.25">
      <c r="A19" s="40">
        <v>18</v>
      </c>
      <c r="B19" s="40" t="s">
        <v>245</v>
      </c>
      <c r="C19" s="40" t="s">
        <v>246</v>
      </c>
      <c r="E19" s="40" t="s">
        <v>247</v>
      </c>
    </row>
    <row r="20" spans="1:5" x14ac:dyDescent="0.25">
      <c r="A20" s="40">
        <v>19</v>
      </c>
      <c r="B20" s="40" t="s">
        <v>248</v>
      </c>
      <c r="C20" s="40" t="s">
        <v>29</v>
      </c>
      <c r="E20" s="40" t="s">
        <v>250</v>
      </c>
    </row>
    <row r="21" spans="1:5" x14ac:dyDescent="0.25">
      <c r="A21" s="40">
        <v>20</v>
      </c>
      <c r="B21" s="40" t="s">
        <v>251</v>
      </c>
      <c r="C21" s="40" t="s">
        <v>47</v>
      </c>
      <c r="E21" s="40" t="s">
        <v>253</v>
      </c>
    </row>
    <row r="22" spans="1:5" x14ac:dyDescent="0.25">
      <c r="A22" s="40">
        <v>21</v>
      </c>
      <c r="B22" s="40" t="s">
        <v>254</v>
      </c>
      <c r="C22" s="40" t="s">
        <v>255</v>
      </c>
      <c r="E22" s="40" t="s">
        <v>256</v>
      </c>
    </row>
    <row r="23" spans="1:5" x14ac:dyDescent="0.25">
      <c r="A23" s="40">
        <v>22</v>
      </c>
      <c r="B23" s="40" t="s">
        <v>257</v>
      </c>
      <c r="C23" s="40" t="s">
        <v>258</v>
      </c>
      <c r="E23" s="40" t="s">
        <v>259</v>
      </c>
    </row>
    <row r="24" spans="1:5" x14ac:dyDescent="0.25">
      <c r="A24" s="40">
        <v>23</v>
      </c>
      <c r="B24" s="40" t="s">
        <v>260</v>
      </c>
      <c r="C24" s="40" t="s">
        <v>261</v>
      </c>
      <c r="E24" s="40" t="s">
        <v>262</v>
      </c>
    </row>
    <row r="25" spans="1:5" x14ac:dyDescent="0.25">
      <c r="A25" s="40">
        <v>24</v>
      </c>
      <c r="B25" s="40" t="s">
        <v>263</v>
      </c>
      <c r="C25" s="40" t="s">
        <v>264</v>
      </c>
      <c r="E25" s="40" t="s">
        <v>265</v>
      </c>
    </row>
    <row r="26" spans="1:5" x14ac:dyDescent="0.25">
      <c r="A26" s="40">
        <v>25</v>
      </c>
      <c r="B26" s="40" t="s">
        <v>266</v>
      </c>
      <c r="C26" s="40" t="s">
        <v>27</v>
      </c>
      <c r="E26" s="40" t="s">
        <v>268</v>
      </c>
    </row>
    <row r="27" spans="1:5" x14ac:dyDescent="0.25">
      <c r="A27" s="40">
        <v>26</v>
      </c>
      <c r="B27" s="40" t="s">
        <v>269</v>
      </c>
      <c r="C27" s="40" t="s">
        <v>270</v>
      </c>
      <c r="E27" s="40" t="s">
        <v>271</v>
      </c>
    </row>
    <row r="28" spans="1:5" x14ac:dyDescent="0.25">
      <c r="A28" s="40">
        <v>27</v>
      </c>
      <c r="B28" s="40" t="s">
        <v>272</v>
      </c>
      <c r="C28" s="40" t="s">
        <v>45</v>
      </c>
      <c r="E28" s="40" t="s">
        <v>274</v>
      </c>
    </row>
    <row r="29" spans="1:5" x14ac:dyDescent="0.25">
      <c r="A29" s="40">
        <v>28</v>
      </c>
      <c r="B29" s="40" t="s">
        <v>275</v>
      </c>
      <c r="C29" s="40" t="s">
        <v>276</v>
      </c>
      <c r="E29" s="40" t="s">
        <v>278</v>
      </c>
    </row>
    <row r="30" spans="1:5" x14ac:dyDescent="0.25">
      <c r="A30" s="40">
        <v>29</v>
      </c>
      <c r="B30" s="40" t="s">
        <v>279</v>
      </c>
      <c r="C30" s="40" t="s">
        <v>280</v>
      </c>
      <c r="E30" s="40" t="s">
        <v>282</v>
      </c>
    </row>
    <row r="31" spans="1:5" x14ac:dyDescent="0.25">
      <c r="A31" s="40">
        <v>30</v>
      </c>
      <c r="B31" s="40" t="s">
        <v>283</v>
      </c>
      <c r="C31" s="40" t="s">
        <v>284</v>
      </c>
      <c r="E31" s="40" t="s">
        <v>285</v>
      </c>
    </row>
    <row r="32" spans="1:5" x14ac:dyDescent="0.25">
      <c r="A32" s="40">
        <v>31</v>
      </c>
      <c r="B32" s="40" t="s">
        <v>286</v>
      </c>
      <c r="C32" s="40" t="s">
        <v>287</v>
      </c>
      <c r="E32" s="40" t="s">
        <v>288</v>
      </c>
    </row>
    <row r="33" spans="1:5" x14ac:dyDescent="0.25">
      <c r="A33" s="40">
        <v>32</v>
      </c>
      <c r="B33" s="40" t="s">
        <v>289</v>
      </c>
      <c r="C33" s="40" t="s">
        <v>290</v>
      </c>
      <c r="E33" s="40" t="s">
        <v>291</v>
      </c>
    </row>
    <row r="34" spans="1:5" x14ac:dyDescent="0.25">
      <c r="A34" s="40">
        <v>33</v>
      </c>
      <c r="B34" s="40" t="s">
        <v>292</v>
      </c>
      <c r="C34" s="40" t="s">
        <v>293</v>
      </c>
      <c r="E34" s="40" t="s">
        <v>294</v>
      </c>
    </row>
    <row r="35" spans="1:5" x14ac:dyDescent="0.25">
      <c r="A35" s="40">
        <v>34</v>
      </c>
      <c r="B35" s="40" t="s">
        <v>295</v>
      </c>
      <c r="C35" s="40" t="s">
        <v>296</v>
      </c>
      <c r="E35" s="40" t="s">
        <v>297</v>
      </c>
    </row>
    <row r="36" spans="1:5" x14ac:dyDescent="0.25">
      <c r="A36" s="40">
        <v>35</v>
      </c>
      <c r="B36" s="40" t="s">
        <v>298</v>
      </c>
      <c r="C36" s="40" t="s">
        <v>299</v>
      </c>
      <c r="E36" s="40" t="s">
        <v>300</v>
      </c>
    </row>
    <row r="37" spans="1:5" x14ac:dyDescent="0.25">
      <c r="A37" s="40">
        <v>36</v>
      </c>
      <c r="B37" s="40" t="s">
        <v>301</v>
      </c>
      <c r="C37" s="40" t="s">
        <v>302</v>
      </c>
      <c r="E37" s="40" t="s">
        <v>303</v>
      </c>
    </row>
    <row r="38" spans="1:5" x14ac:dyDescent="0.25">
      <c r="A38" s="40">
        <v>37</v>
      </c>
      <c r="B38" s="40" t="s">
        <v>304</v>
      </c>
      <c r="C38" s="40" t="s">
        <v>305</v>
      </c>
      <c r="E38" s="40" t="s">
        <v>306</v>
      </c>
    </row>
    <row r="39" spans="1:5" x14ac:dyDescent="0.25">
      <c r="A39" s="40">
        <v>38</v>
      </c>
      <c r="B39" s="40" t="s">
        <v>307</v>
      </c>
      <c r="C39" s="40" t="s">
        <v>308</v>
      </c>
      <c r="E39" s="40" t="s">
        <v>310</v>
      </c>
    </row>
    <row r="40" spans="1:5" x14ac:dyDescent="0.25">
      <c r="A40" s="40">
        <v>39</v>
      </c>
      <c r="B40" s="40" t="s">
        <v>311</v>
      </c>
      <c r="C40" s="40" t="s">
        <v>312</v>
      </c>
      <c r="E40" s="40" t="s">
        <v>313</v>
      </c>
    </row>
    <row r="41" spans="1:5" x14ac:dyDescent="0.25">
      <c r="A41" s="40">
        <v>40</v>
      </c>
      <c r="B41" s="40" t="s">
        <v>314</v>
      </c>
      <c r="C41" s="40" t="s">
        <v>315</v>
      </c>
      <c r="E41" s="40" t="s">
        <v>317</v>
      </c>
    </row>
    <row r="42" spans="1:5" x14ac:dyDescent="0.25">
      <c r="A42" s="40">
        <v>41</v>
      </c>
      <c r="B42" s="40" t="s">
        <v>318</v>
      </c>
      <c r="C42" s="40" t="s">
        <v>319</v>
      </c>
      <c r="E42" s="40" t="s">
        <v>320</v>
      </c>
    </row>
    <row r="43" spans="1:5" x14ac:dyDescent="0.25">
      <c r="A43" s="40">
        <v>42</v>
      </c>
      <c r="B43" s="40" t="s">
        <v>321</v>
      </c>
      <c r="C43" s="40" t="s">
        <v>322</v>
      </c>
      <c r="E43" s="40" t="s">
        <v>323</v>
      </c>
    </row>
    <row r="44" spans="1:5" x14ac:dyDescent="0.25">
      <c r="A44" s="40">
        <v>43</v>
      </c>
      <c r="B44" s="40" t="s">
        <v>324</v>
      </c>
      <c r="C44" s="40" t="s">
        <v>325</v>
      </c>
      <c r="E44" s="40" t="s">
        <v>326</v>
      </c>
    </row>
    <row r="45" spans="1:5" x14ac:dyDescent="0.25">
      <c r="A45" s="40">
        <v>44</v>
      </c>
      <c r="B45" s="40" t="s">
        <v>327</v>
      </c>
      <c r="C45" s="40" t="s">
        <v>328</v>
      </c>
      <c r="E45" s="40" t="s">
        <v>329</v>
      </c>
    </row>
    <row r="46" spans="1:5" x14ac:dyDescent="0.25">
      <c r="A46" s="40">
        <v>45</v>
      </c>
      <c r="B46" s="40" t="s">
        <v>330</v>
      </c>
      <c r="C46" s="40" t="s">
        <v>331</v>
      </c>
      <c r="E46" s="40" t="s">
        <v>332</v>
      </c>
    </row>
    <row r="47" spans="1:5" x14ac:dyDescent="0.25">
      <c r="A47" s="40">
        <v>46</v>
      </c>
      <c r="B47" s="40" t="s">
        <v>333</v>
      </c>
      <c r="C47" s="40" t="s">
        <v>334</v>
      </c>
      <c r="E47" s="40" t="s">
        <v>335</v>
      </c>
    </row>
    <row r="48" spans="1:5" x14ac:dyDescent="0.25">
      <c r="A48" s="40">
        <v>47</v>
      </c>
      <c r="B48" s="40" t="s">
        <v>336</v>
      </c>
      <c r="C48" s="40" t="s">
        <v>7</v>
      </c>
      <c r="E48" s="40" t="s">
        <v>338</v>
      </c>
    </row>
    <row r="49" spans="1:5" x14ac:dyDescent="0.25">
      <c r="A49" s="40">
        <v>48</v>
      </c>
      <c r="B49" s="40" t="s">
        <v>339</v>
      </c>
      <c r="C49" s="40" t="s">
        <v>340</v>
      </c>
      <c r="E49" s="40" t="s">
        <v>341</v>
      </c>
    </row>
    <row r="50" spans="1:5" x14ac:dyDescent="0.25">
      <c r="A50" s="40">
        <v>49</v>
      </c>
      <c r="B50" s="40" t="s">
        <v>342</v>
      </c>
      <c r="C50" s="40" t="s">
        <v>343</v>
      </c>
      <c r="E50" s="40" t="s">
        <v>344</v>
      </c>
    </row>
    <row r="51" spans="1:5" x14ac:dyDescent="0.25">
      <c r="A51" s="40">
        <v>50</v>
      </c>
      <c r="B51" s="40" t="s">
        <v>345</v>
      </c>
      <c r="C51" s="40" t="s">
        <v>346</v>
      </c>
      <c r="E51" s="40" t="s">
        <v>347</v>
      </c>
    </row>
    <row r="52" spans="1:5" x14ac:dyDescent="0.25">
      <c r="A52" s="40">
        <v>51</v>
      </c>
      <c r="B52" s="40" t="s">
        <v>348</v>
      </c>
      <c r="C52" s="40" t="s">
        <v>349</v>
      </c>
      <c r="E52" s="40" t="s">
        <v>350</v>
      </c>
    </row>
    <row r="53" spans="1:5" x14ac:dyDescent="0.25">
      <c r="A53" s="40">
        <v>52</v>
      </c>
      <c r="B53" s="40" t="s">
        <v>351</v>
      </c>
      <c r="C53" s="40" t="s">
        <v>352</v>
      </c>
      <c r="E53" s="40" t="s">
        <v>353</v>
      </c>
    </row>
    <row r="54" spans="1:5" x14ac:dyDescent="0.25">
      <c r="A54" s="40">
        <v>53</v>
      </c>
      <c r="B54" s="40" t="s">
        <v>354</v>
      </c>
      <c r="C54" s="40" t="s">
        <v>355</v>
      </c>
      <c r="E54" s="40" t="s">
        <v>356</v>
      </c>
    </row>
    <row r="55" spans="1:5" x14ac:dyDescent="0.25">
      <c r="A55" s="40">
        <v>54</v>
      </c>
      <c r="B55" s="40" t="s">
        <v>357</v>
      </c>
      <c r="C55" s="40" t="s">
        <v>358</v>
      </c>
      <c r="E55" s="40" t="s">
        <v>359</v>
      </c>
    </row>
    <row r="56" spans="1:5" x14ac:dyDescent="0.25">
      <c r="A56" s="40">
        <v>55</v>
      </c>
      <c r="B56" s="40" t="s">
        <v>177</v>
      </c>
      <c r="C56" s="40" t="s">
        <v>32</v>
      </c>
      <c r="E56" s="40" t="s">
        <v>361</v>
      </c>
    </row>
    <row r="57" spans="1:5" x14ac:dyDescent="0.25">
      <c r="A57" s="40">
        <v>56</v>
      </c>
      <c r="B57" s="40" t="s">
        <v>362</v>
      </c>
      <c r="C57" s="40" t="s">
        <v>363</v>
      </c>
      <c r="E57" s="40" t="s">
        <v>365</v>
      </c>
    </row>
    <row r="58" spans="1:5" x14ac:dyDescent="0.25">
      <c r="A58" s="40">
        <v>57</v>
      </c>
      <c r="B58" s="40" t="s">
        <v>366</v>
      </c>
      <c r="C58" s="40" t="s">
        <v>36</v>
      </c>
      <c r="E58" s="40" t="s">
        <v>367</v>
      </c>
    </row>
    <row r="59" spans="1:5" x14ac:dyDescent="0.25">
      <c r="A59" s="40">
        <v>58</v>
      </c>
      <c r="B59" s="40" t="s">
        <v>368</v>
      </c>
      <c r="C59" s="40" t="s">
        <v>39</v>
      </c>
      <c r="E59" s="40" t="s">
        <v>370</v>
      </c>
    </row>
    <row r="60" spans="1:5" x14ac:dyDescent="0.25">
      <c r="A60" s="40">
        <v>59</v>
      </c>
      <c r="B60" s="40" t="s">
        <v>371</v>
      </c>
      <c r="C60" s="40" t="s">
        <v>372</v>
      </c>
      <c r="E60" s="40" t="s">
        <v>373</v>
      </c>
    </row>
    <row r="61" spans="1:5" x14ac:dyDescent="0.25">
      <c r="A61" s="40">
        <v>60</v>
      </c>
      <c r="B61" s="40" t="s">
        <v>374</v>
      </c>
      <c r="C61" s="40" t="s">
        <v>375</v>
      </c>
      <c r="E61" s="40" t="s">
        <v>376</v>
      </c>
    </row>
    <row r="62" spans="1:5" x14ac:dyDescent="0.25">
      <c r="A62" s="40">
        <v>61</v>
      </c>
      <c r="B62" s="40" t="s">
        <v>377</v>
      </c>
      <c r="C62" s="40" t="s">
        <v>378</v>
      </c>
      <c r="E62" s="40" t="s">
        <v>379</v>
      </c>
    </row>
    <row r="63" spans="1:5" x14ac:dyDescent="0.25">
      <c r="A63" s="40">
        <v>62</v>
      </c>
      <c r="B63" s="40" t="s">
        <v>380</v>
      </c>
      <c r="C63" s="40" t="s">
        <v>381</v>
      </c>
      <c r="E63" s="40" t="s">
        <v>382</v>
      </c>
    </row>
    <row r="64" spans="1:5" x14ac:dyDescent="0.25">
      <c r="A64" s="40">
        <v>63</v>
      </c>
      <c r="B64" s="40" t="s">
        <v>383</v>
      </c>
      <c r="C64" s="40" t="s">
        <v>16</v>
      </c>
      <c r="E64" s="40" t="s">
        <v>384</v>
      </c>
    </row>
    <row r="65" spans="1:5" x14ac:dyDescent="0.25">
      <c r="A65" s="40">
        <v>64</v>
      </c>
      <c r="B65" s="40" t="s">
        <v>385</v>
      </c>
      <c r="C65" s="40" t="s">
        <v>386</v>
      </c>
      <c r="E65" s="40" t="s">
        <v>388</v>
      </c>
    </row>
    <row r="66" spans="1:5" x14ac:dyDescent="0.25">
      <c r="A66" s="40">
        <v>65</v>
      </c>
      <c r="B66" s="40" t="s">
        <v>389</v>
      </c>
      <c r="C66" s="40" t="s">
        <v>390</v>
      </c>
      <c r="E66" s="40" t="s">
        <v>391</v>
      </c>
    </row>
    <row r="67" spans="1:5" x14ac:dyDescent="0.25">
      <c r="A67" s="40">
        <v>66</v>
      </c>
      <c r="B67" s="40" t="s">
        <v>392</v>
      </c>
      <c r="C67" s="40" t="s">
        <v>69</v>
      </c>
      <c r="E67" s="40" t="s">
        <v>393</v>
      </c>
    </row>
    <row r="68" spans="1:5" x14ac:dyDescent="0.25">
      <c r="A68" s="40">
        <v>67</v>
      </c>
      <c r="B68" s="40" t="s">
        <v>394</v>
      </c>
      <c r="C68" s="40" t="s">
        <v>395</v>
      </c>
      <c r="E68" s="40" t="s">
        <v>396</v>
      </c>
    </row>
    <row r="69" spans="1:5" x14ac:dyDescent="0.25">
      <c r="A69" s="40">
        <v>68</v>
      </c>
      <c r="B69" s="40" t="s">
        <v>397</v>
      </c>
      <c r="C69" s="40" t="s">
        <v>398</v>
      </c>
      <c r="E69" s="40" t="s">
        <v>399</v>
      </c>
    </row>
    <row r="70" spans="1:5" x14ac:dyDescent="0.25">
      <c r="A70" s="40">
        <v>69</v>
      </c>
      <c r="B70" s="40" t="s">
        <v>400</v>
      </c>
      <c r="C70" s="40" t="s">
        <v>401</v>
      </c>
      <c r="E70" s="40" t="s">
        <v>402</v>
      </c>
    </row>
    <row r="71" spans="1:5" x14ac:dyDescent="0.25">
      <c r="A71" s="40">
        <v>70</v>
      </c>
      <c r="B71" s="40" t="s">
        <v>403</v>
      </c>
      <c r="C71" s="40" t="s">
        <v>404</v>
      </c>
      <c r="E71" s="40" t="s">
        <v>405</v>
      </c>
    </row>
    <row r="72" spans="1:5" x14ac:dyDescent="0.25">
      <c r="A72" s="40">
        <v>71</v>
      </c>
      <c r="B72" s="40" t="s">
        <v>406</v>
      </c>
      <c r="C72" s="40" t="s">
        <v>407</v>
      </c>
      <c r="E72" s="40" t="s">
        <v>408</v>
      </c>
    </row>
    <row r="73" spans="1:5" x14ac:dyDescent="0.25">
      <c r="A73" s="40">
        <v>72</v>
      </c>
      <c r="B73" s="40" t="s">
        <v>409</v>
      </c>
      <c r="C73" s="40" t="s">
        <v>410</v>
      </c>
      <c r="E73" s="40" t="s">
        <v>411</v>
      </c>
    </row>
    <row r="74" spans="1:5" x14ac:dyDescent="0.25">
      <c r="A74" s="40">
        <v>73</v>
      </c>
      <c r="B74" s="40" t="s">
        <v>412</v>
      </c>
      <c r="C74" s="40" t="s">
        <v>413</v>
      </c>
      <c r="E74" s="40" t="s">
        <v>414</v>
      </c>
    </row>
    <row r="75" spans="1:5" x14ac:dyDescent="0.25">
      <c r="A75" s="40">
        <v>74</v>
      </c>
      <c r="B75" s="40" t="s">
        <v>415</v>
      </c>
      <c r="C75" s="40" t="s">
        <v>416</v>
      </c>
      <c r="E75" s="40" t="s">
        <v>417</v>
      </c>
    </row>
    <row r="76" spans="1:5" x14ac:dyDescent="0.25">
      <c r="A76" s="40">
        <v>75</v>
      </c>
      <c r="B76" s="40" t="s">
        <v>418</v>
      </c>
      <c r="C76" s="40" t="s">
        <v>419</v>
      </c>
      <c r="E76" s="40" t="s">
        <v>420</v>
      </c>
    </row>
    <row r="77" spans="1:5" x14ac:dyDescent="0.25">
      <c r="A77" s="40">
        <v>76</v>
      </c>
      <c r="B77" s="40" t="s">
        <v>421</v>
      </c>
      <c r="C77" s="40" t="s">
        <v>422</v>
      </c>
      <c r="E77" s="40" t="s">
        <v>423</v>
      </c>
    </row>
    <row r="78" spans="1:5" x14ac:dyDescent="0.25">
      <c r="A78" s="40">
        <v>77</v>
      </c>
      <c r="B78" s="40" t="s">
        <v>424</v>
      </c>
      <c r="C78" s="40" t="s">
        <v>425</v>
      </c>
      <c r="E78" s="40" t="s">
        <v>427</v>
      </c>
    </row>
    <row r="79" spans="1:5" x14ac:dyDescent="0.25">
      <c r="A79" s="40">
        <v>78</v>
      </c>
      <c r="B79" s="40" t="s">
        <v>428</v>
      </c>
      <c r="C79" s="40" t="s">
        <v>429</v>
      </c>
      <c r="E79" s="40" t="s">
        <v>430</v>
      </c>
    </row>
    <row r="80" spans="1:5" x14ac:dyDescent="0.25">
      <c r="A80" s="40">
        <v>79</v>
      </c>
      <c r="B80" s="40" t="s">
        <v>431</v>
      </c>
      <c r="C80" s="40" t="s">
        <v>432</v>
      </c>
      <c r="E80" s="40" t="s">
        <v>433</v>
      </c>
    </row>
    <row r="81" spans="1:5" x14ac:dyDescent="0.25">
      <c r="A81" s="40">
        <v>80</v>
      </c>
      <c r="B81" s="40" t="s">
        <v>434</v>
      </c>
      <c r="C81" s="40" t="s">
        <v>435</v>
      </c>
      <c r="E81" s="40" t="s">
        <v>436</v>
      </c>
    </row>
    <row r="82" spans="1:5" x14ac:dyDescent="0.25">
      <c r="A82" s="40">
        <v>81</v>
      </c>
      <c r="B82" s="40" t="s">
        <v>437</v>
      </c>
      <c r="C82" s="40" t="s">
        <v>308</v>
      </c>
      <c r="E82" s="40" t="s">
        <v>439</v>
      </c>
    </row>
    <row r="83" spans="1:5" x14ac:dyDescent="0.25">
      <c r="A83" s="40">
        <v>82</v>
      </c>
      <c r="B83" s="40" t="s">
        <v>440</v>
      </c>
      <c r="C83" s="40" t="s">
        <v>441</v>
      </c>
      <c r="E83" s="40" t="s">
        <v>442</v>
      </c>
    </row>
    <row r="84" spans="1:5" x14ac:dyDescent="0.25">
      <c r="A84" s="40">
        <v>83</v>
      </c>
      <c r="B84" s="40" t="s">
        <v>443</v>
      </c>
      <c r="C84" s="40" t="s">
        <v>444</v>
      </c>
      <c r="E84" s="40" t="s">
        <v>445</v>
      </c>
    </row>
    <row r="85" spans="1:5" x14ac:dyDescent="0.25">
      <c r="A85" s="40">
        <v>84</v>
      </c>
      <c r="B85" s="40" t="s">
        <v>446</v>
      </c>
      <c r="C85" s="40" t="s">
        <v>447</v>
      </c>
      <c r="E85" s="40" t="s">
        <v>449</v>
      </c>
    </row>
    <row r="86" spans="1:5" x14ac:dyDescent="0.25">
      <c r="A86" s="40">
        <v>85</v>
      </c>
      <c r="B86" s="40" t="s">
        <v>450</v>
      </c>
      <c r="C86" s="40" t="s">
        <v>451</v>
      </c>
      <c r="E86" s="40" t="s">
        <v>453</v>
      </c>
    </row>
    <row r="87" spans="1:5" x14ac:dyDescent="0.25">
      <c r="A87" s="40">
        <v>86</v>
      </c>
      <c r="B87" s="40" t="s">
        <v>454</v>
      </c>
      <c r="C87" s="40" t="s">
        <v>13</v>
      </c>
      <c r="E87" s="40" t="s">
        <v>455</v>
      </c>
    </row>
    <row r="88" spans="1:5" x14ac:dyDescent="0.25">
      <c r="A88" s="40">
        <v>87</v>
      </c>
      <c r="B88" s="40" t="s">
        <v>456</v>
      </c>
      <c r="C88" s="40" t="s">
        <v>102</v>
      </c>
      <c r="E88" s="40" t="s">
        <v>457</v>
      </c>
    </row>
    <row r="89" spans="1:5" x14ac:dyDescent="0.25">
      <c r="A89" s="40">
        <v>88</v>
      </c>
      <c r="B89" s="40" t="s">
        <v>458</v>
      </c>
      <c r="C89" s="40" t="s">
        <v>459</v>
      </c>
      <c r="E89" s="40" t="s">
        <v>460</v>
      </c>
    </row>
    <row r="90" spans="1:5" x14ac:dyDescent="0.25">
      <c r="A90" s="40">
        <v>89</v>
      </c>
      <c r="B90" s="40" t="s">
        <v>461</v>
      </c>
      <c r="C90" s="40" t="s">
        <v>91</v>
      </c>
      <c r="E90" s="40" t="s">
        <v>462</v>
      </c>
    </row>
    <row r="91" spans="1:5" x14ac:dyDescent="0.25">
      <c r="A91" s="40">
        <v>90</v>
      </c>
      <c r="B91" s="40" t="s">
        <v>463</v>
      </c>
      <c r="C91" s="40" t="s">
        <v>464</v>
      </c>
      <c r="E91" s="40" t="s">
        <v>465</v>
      </c>
    </row>
    <row r="92" spans="1:5" x14ac:dyDescent="0.25">
      <c r="A92" s="40">
        <v>91</v>
      </c>
      <c r="B92" s="40" t="s">
        <v>466</v>
      </c>
      <c r="C92" s="40" t="s">
        <v>467</v>
      </c>
      <c r="E92" s="40" t="s">
        <v>468</v>
      </c>
    </row>
    <row r="93" spans="1:5" x14ac:dyDescent="0.25">
      <c r="A93" s="40">
        <v>92</v>
      </c>
      <c r="B93" s="40" t="s">
        <v>469</v>
      </c>
      <c r="C93" s="40" t="s">
        <v>470</v>
      </c>
      <c r="E93" s="40" t="s">
        <v>472</v>
      </c>
    </row>
    <row r="94" spans="1:5" x14ac:dyDescent="0.25">
      <c r="A94" s="40">
        <v>93</v>
      </c>
      <c r="B94" s="40" t="s">
        <v>473</v>
      </c>
      <c r="C94" s="40" t="s">
        <v>474</v>
      </c>
      <c r="E94" s="40" t="s">
        <v>475</v>
      </c>
    </row>
    <row r="95" spans="1:5" x14ac:dyDescent="0.25">
      <c r="A95" s="40">
        <v>94</v>
      </c>
      <c r="B95" s="40" t="s">
        <v>476</v>
      </c>
      <c r="C95" s="40" t="s">
        <v>477</v>
      </c>
      <c r="E95" s="40" t="s">
        <v>479</v>
      </c>
    </row>
    <row r="96" spans="1:5" x14ac:dyDescent="0.25">
      <c r="A96" s="40">
        <v>95</v>
      </c>
      <c r="B96" s="40" t="s">
        <v>480</v>
      </c>
      <c r="C96" s="40" t="s">
        <v>481</v>
      </c>
      <c r="E96" s="40" t="s">
        <v>482</v>
      </c>
    </row>
    <row r="97" spans="1:5" x14ac:dyDescent="0.25">
      <c r="A97" s="40">
        <v>96</v>
      </c>
      <c r="B97" s="40" t="s">
        <v>483</v>
      </c>
      <c r="C97" s="40" t="s">
        <v>484</v>
      </c>
      <c r="E97" s="40" t="s">
        <v>485</v>
      </c>
    </row>
    <row r="98" spans="1:5" x14ac:dyDescent="0.25">
      <c r="A98" s="40">
        <v>97</v>
      </c>
      <c r="B98" s="40" t="s">
        <v>486</v>
      </c>
      <c r="C98" s="40" t="s">
        <v>487</v>
      </c>
      <c r="E98" s="40" t="s">
        <v>488</v>
      </c>
    </row>
    <row r="99" spans="1:5" x14ac:dyDescent="0.25">
      <c r="A99" s="40">
        <v>98</v>
      </c>
      <c r="B99" s="40" t="s">
        <v>489</v>
      </c>
      <c r="C99" s="40" t="s">
        <v>490</v>
      </c>
      <c r="E99" s="40" t="s">
        <v>491</v>
      </c>
    </row>
    <row r="100" spans="1:5" x14ac:dyDescent="0.25">
      <c r="A100" s="40">
        <v>99</v>
      </c>
      <c r="B100" s="40" t="s">
        <v>492</v>
      </c>
      <c r="C100" s="40" t="s">
        <v>493</v>
      </c>
      <c r="E100" s="40" t="s">
        <v>494</v>
      </c>
    </row>
    <row r="101" spans="1:5" x14ac:dyDescent="0.25">
      <c r="A101" s="40">
        <v>100</v>
      </c>
      <c r="B101" s="40" t="s">
        <v>495</v>
      </c>
      <c r="C101" s="40" t="s">
        <v>496</v>
      </c>
      <c r="E101" s="40" t="s">
        <v>497</v>
      </c>
    </row>
    <row r="102" spans="1:5" x14ac:dyDescent="0.25">
      <c r="A102" s="40">
        <v>101</v>
      </c>
      <c r="B102" s="40" t="s">
        <v>498</v>
      </c>
      <c r="C102" s="40" t="s">
        <v>499</v>
      </c>
      <c r="E102" s="40" t="s">
        <v>500</v>
      </c>
    </row>
    <row r="103" spans="1:5" x14ac:dyDescent="0.25">
      <c r="A103" s="40">
        <v>102</v>
      </c>
      <c r="B103" s="40" t="s">
        <v>501</v>
      </c>
      <c r="C103" s="40" t="s">
        <v>502</v>
      </c>
      <c r="E103" s="40" t="s">
        <v>503</v>
      </c>
    </row>
    <row r="104" spans="1:5" x14ac:dyDescent="0.25">
      <c r="A104" s="40">
        <v>103</v>
      </c>
      <c r="B104" s="40" t="s">
        <v>504</v>
      </c>
      <c r="C104" s="40" t="s">
        <v>505</v>
      </c>
      <c r="E104" s="40" t="s">
        <v>506</v>
      </c>
    </row>
    <row r="105" spans="1:5" x14ac:dyDescent="0.25">
      <c r="A105" s="40">
        <v>104</v>
      </c>
      <c r="B105" s="40" t="s">
        <v>507</v>
      </c>
      <c r="C105" s="40" t="s">
        <v>508</v>
      </c>
      <c r="E105" s="40" t="s">
        <v>509</v>
      </c>
    </row>
    <row r="106" spans="1:5" x14ac:dyDescent="0.25">
      <c r="A106" s="40">
        <v>105</v>
      </c>
      <c r="B106" s="40" t="s">
        <v>510</v>
      </c>
      <c r="C106" s="40" t="s">
        <v>308</v>
      </c>
      <c r="E106" s="40" t="s">
        <v>512</v>
      </c>
    </row>
    <row r="107" spans="1:5" x14ac:dyDescent="0.25">
      <c r="A107" s="40">
        <v>106</v>
      </c>
      <c r="B107" s="40" t="s">
        <v>513</v>
      </c>
      <c r="C107" s="40" t="s">
        <v>514</v>
      </c>
      <c r="E107" s="40" t="s">
        <v>515</v>
      </c>
    </row>
    <row r="108" spans="1:5" x14ac:dyDescent="0.25">
      <c r="A108" s="40">
        <v>107</v>
      </c>
      <c r="B108" s="40" t="s">
        <v>516</v>
      </c>
      <c r="C108" s="40" t="s">
        <v>517</v>
      </c>
      <c r="E108" s="40" t="s">
        <v>518</v>
      </c>
    </row>
    <row r="109" spans="1:5" x14ac:dyDescent="0.25">
      <c r="A109" s="40">
        <v>108</v>
      </c>
      <c r="B109" s="40" t="s">
        <v>519</v>
      </c>
      <c r="C109" s="40" t="s">
        <v>520</v>
      </c>
      <c r="E109" s="40" t="s">
        <v>521</v>
      </c>
    </row>
    <row r="110" spans="1:5" x14ac:dyDescent="0.25">
      <c r="A110" s="40">
        <v>109</v>
      </c>
      <c r="B110" s="40" t="s">
        <v>522</v>
      </c>
      <c r="C110" s="40" t="s">
        <v>523</v>
      </c>
      <c r="E110" s="40" t="s">
        <v>524</v>
      </c>
    </row>
    <row r="111" spans="1:5" x14ac:dyDescent="0.25">
      <c r="A111" s="40">
        <v>110</v>
      </c>
      <c r="B111" s="40" t="s">
        <v>525</v>
      </c>
      <c r="C111" s="40" t="s">
        <v>526</v>
      </c>
      <c r="E111" s="40" t="s">
        <v>527</v>
      </c>
    </row>
    <row r="112" spans="1:5" x14ac:dyDescent="0.25">
      <c r="A112" s="40">
        <v>111</v>
      </c>
      <c r="B112" s="40" t="s">
        <v>528</v>
      </c>
      <c r="C112" s="40" t="s">
        <v>12</v>
      </c>
      <c r="E112" s="40" t="s">
        <v>529</v>
      </c>
    </row>
    <row r="113" spans="1:5" x14ac:dyDescent="0.25">
      <c r="A113" s="40">
        <v>112</v>
      </c>
      <c r="B113" s="40" t="s">
        <v>530</v>
      </c>
      <c r="C113" s="40" t="s">
        <v>531</v>
      </c>
      <c r="E113" s="40" t="s">
        <v>533</v>
      </c>
    </row>
    <row r="114" spans="1:5" x14ac:dyDescent="0.25">
      <c r="A114" s="40">
        <v>113</v>
      </c>
      <c r="B114" s="40" t="s">
        <v>534</v>
      </c>
      <c r="C114" s="40" t="s">
        <v>232</v>
      </c>
      <c r="E114" s="40" t="s">
        <v>535</v>
      </c>
    </row>
    <row r="115" spans="1:5" x14ac:dyDescent="0.25">
      <c r="A115" s="40">
        <v>114</v>
      </c>
      <c r="B115" s="40" t="s">
        <v>536</v>
      </c>
      <c r="C115" s="40" t="s">
        <v>239</v>
      </c>
      <c r="E115" s="40" t="s">
        <v>537</v>
      </c>
    </row>
    <row r="116" spans="1:5" x14ac:dyDescent="0.25">
      <c r="A116" s="40">
        <v>115</v>
      </c>
      <c r="B116" s="40" t="s">
        <v>538</v>
      </c>
      <c r="C116" s="40" t="s">
        <v>116</v>
      </c>
      <c r="E116" s="40" t="s">
        <v>539</v>
      </c>
    </row>
    <row r="117" spans="1:5" x14ac:dyDescent="0.25">
      <c r="A117" s="40">
        <v>116</v>
      </c>
      <c r="B117" s="40" t="s">
        <v>540</v>
      </c>
      <c r="C117" s="40" t="s">
        <v>47</v>
      </c>
      <c r="E117" s="40" t="s">
        <v>541</v>
      </c>
    </row>
    <row r="118" spans="1:5" x14ac:dyDescent="0.25">
      <c r="A118" s="40">
        <v>117</v>
      </c>
      <c r="B118" s="40" t="s">
        <v>542</v>
      </c>
      <c r="C118" s="40" t="s">
        <v>543</v>
      </c>
      <c r="E118" s="40" t="s">
        <v>544</v>
      </c>
    </row>
    <row r="119" spans="1:5" x14ac:dyDescent="0.25">
      <c r="A119" s="40">
        <v>118</v>
      </c>
      <c r="B119" s="40" t="s">
        <v>545</v>
      </c>
      <c r="C119" s="40" t="s">
        <v>546</v>
      </c>
      <c r="E119" s="40" t="s">
        <v>547</v>
      </c>
    </row>
    <row r="120" spans="1:5" x14ac:dyDescent="0.25">
      <c r="A120" s="40">
        <v>119</v>
      </c>
      <c r="B120" s="40" t="s">
        <v>548</v>
      </c>
      <c r="C120" s="40" t="s">
        <v>549</v>
      </c>
      <c r="E120" s="40" t="s">
        <v>550</v>
      </c>
    </row>
    <row r="121" spans="1:5" x14ac:dyDescent="0.25">
      <c r="A121" s="40">
        <v>120</v>
      </c>
      <c r="B121" s="40" t="s">
        <v>551</v>
      </c>
      <c r="C121" s="40" t="s">
        <v>107</v>
      </c>
      <c r="E121" s="40" t="s">
        <v>552</v>
      </c>
    </row>
    <row r="122" spans="1:5" x14ac:dyDescent="0.25">
      <c r="A122" s="40">
        <v>121</v>
      </c>
      <c r="B122" s="40" t="s">
        <v>553</v>
      </c>
      <c r="C122" s="40" t="s">
        <v>14</v>
      </c>
      <c r="E122" s="40" t="s">
        <v>554</v>
      </c>
    </row>
    <row r="123" spans="1:5" x14ac:dyDescent="0.25">
      <c r="A123" s="40">
        <v>122</v>
      </c>
      <c r="B123" s="40" t="s">
        <v>555</v>
      </c>
      <c r="C123" s="40" t="s">
        <v>105</v>
      </c>
      <c r="E123" s="40" t="s">
        <v>557</v>
      </c>
    </row>
    <row r="124" spans="1:5" x14ac:dyDescent="0.25">
      <c r="A124" s="40">
        <v>123</v>
      </c>
      <c r="B124" s="40" t="s">
        <v>558</v>
      </c>
      <c r="C124" s="40" t="s">
        <v>32</v>
      </c>
      <c r="E124" s="40" t="s">
        <v>559</v>
      </c>
    </row>
    <row r="125" spans="1:5" x14ac:dyDescent="0.25">
      <c r="A125" s="40">
        <v>124</v>
      </c>
      <c r="B125" s="40" t="s">
        <v>560</v>
      </c>
      <c r="C125" s="40" t="s">
        <v>39</v>
      </c>
      <c r="E125" s="40" t="s">
        <v>561</v>
      </c>
    </row>
    <row r="126" spans="1:5" x14ac:dyDescent="0.25">
      <c r="A126" s="40">
        <v>125</v>
      </c>
      <c r="B126" s="40" t="s">
        <v>562</v>
      </c>
      <c r="C126" s="40" t="s">
        <v>563</v>
      </c>
      <c r="E126" s="40" t="s">
        <v>564</v>
      </c>
    </row>
    <row r="127" spans="1:5" x14ac:dyDescent="0.25">
      <c r="A127" s="40">
        <v>126</v>
      </c>
      <c r="B127" s="40" t="s">
        <v>565</v>
      </c>
      <c r="C127" s="40" t="s">
        <v>566</v>
      </c>
      <c r="E127" s="40" t="s">
        <v>567</v>
      </c>
    </row>
    <row r="128" spans="1:5" x14ac:dyDescent="0.25">
      <c r="A128" s="40">
        <v>127</v>
      </c>
      <c r="B128" s="40" t="s">
        <v>568</v>
      </c>
      <c r="C128" s="40" t="s">
        <v>569</v>
      </c>
      <c r="E128" s="40" t="s">
        <v>570</v>
      </c>
    </row>
    <row r="129" spans="1:5" x14ac:dyDescent="0.25">
      <c r="A129" s="40">
        <v>128</v>
      </c>
      <c r="B129" s="40" t="s">
        <v>571</v>
      </c>
      <c r="C129" s="40" t="s">
        <v>572</v>
      </c>
      <c r="E129" s="40" t="s">
        <v>573</v>
      </c>
    </row>
    <row r="130" spans="1:5" x14ac:dyDescent="0.25">
      <c r="A130" s="40">
        <v>129</v>
      </c>
      <c r="B130" s="40" t="s">
        <v>574</v>
      </c>
      <c r="C130" s="40" t="s">
        <v>296</v>
      </c>
      <c r="E130" s="40" t="s">
        <v>575</v>
      </c>
    </row>
    <row r="131" spans="1:5" x14ac:dyDescent="0.25">
      <c r="A131" s="40">
        <v>130</v>
      </c>
      <c r="B131" s="40" t="s">
        <v>576</v>
      </c>
      <c r="C131" s="40" t="s">
        <v>531</v>
      </c>
      <c r="E131" s="40" t="s">
        <v>577</v>
      </c>
    </row>
    <row r="132" spans="1:5" x14ac:dyDescent="0.25">
      <c r="A132" s="40">
        <v>131</v>
      </c>
      <c r="B132" s="40" t="s">
        <v>578</v>
      </c>
      <c r="C132" s="40" t="s">
        <v>459</v>
      </c>
      <c r="E132" s="40" t="s">
        <v>579</v>
      </c>
    </row>
    <row r="133" spans="1:5" x14ac:dyDescent="0.25">
      <c r="A133" s="40">
        <v>132</v>
      </c>
      <c r="B133" s="40" t="s">
        <v>580</v>
      </c>
      <c r="C133" s="40" t="s">
        <v>581</v>
      </c>
      <c r="E133" s="40" t="s">
        <v>582</v>
      </c>
    </row>
    <row r="134" spans="1:5" x14ac:dyDescent="0.25">
      <c r="A134" s="40">
        <v>133</v>
      </c>
      <c r="B134" s="40" t="s">
        <v>583</v>
      </c>
      <c r="C134" s="40" t="s">
        <v>31</v>
      </c>
      <c r="E134" s="40" t="s">
        <v>584</v>
      </c>
    </row>
    <row r="135" spans="1:5" x14ac:dyDescent="0.25">
      <c r="A135" s="40">
        <v>134</v>
      </c>
      <c r="B135" s="40" t="s">
        <v>585</v>
      </c>
      <c r="C135" s="40" t="s">
        <v>24</v>
      </c>
      <c r="E135" s="40" t="s">
        <v>586</v>
      </c>
    </row>
    <row r="136" spans="1:5" x14ac:dyDescent="0.25">
      <c r="A136" s="40">
        <v>135</v>
      </c>
      <c r="B136" s="40" t="s">
        <v>587</v>
      </c>
      <c r="C136" s="40" t="s">
        <v>588</v>
      </c>
      <c r="E136" s="40" t="s">
        <v>589</v>
      </c>
    </row>
    <row r="137" spans="1:5" x14ac:dyDescent="0.25">
      <c r="A137" s="40">
        <v>136</v>
      </c>
      <c r="B137" s="40" t="s">
        <v>590</v>
      </c>
      <c r="C137" s="40" t="s">
        <v>591</v>
      </c>
      <c r="E137" s="40" t="s">
        <v>592</v>
      </c>
    </row>
    <row r="138" spans="1:5" x14ac:dyDescent="0.25">
      <c r="A138" s="40">
        <v>137</v>
      </c>
      <c r="B138" s="40" t="s">
        <v>593</v>
      </c>
      <c r="C138" s="40" t="s">
        <v>594</v>
      </c>
      <c r="E138" s="40" t="s">
        <v>595</v>
      </c>
    </row>
    <row r="139" spans="1:5" x14ac:dyDescent="0.25">
      <c r="A139" s="40">
        <v>138</v>
      </c>
      <c r="B139" s="40" t="s">
        <v>596</v>
      </c>
      <c r="C139" s="40" t="s">
        <v>96</v>
      </c>
      <c r="E139" s="40" t="s">
        <v>597</v>
      </c>
    </row>
    <row r="140" spans="1:5" x14ac:dyDescent="0.25">
      <c r="A140" s="40">
        <v>139</v>
      </c>
      <c r="B140" s="40" t="s">
        <v>598</v>
      </c>
      <c r="C140" s="40" t="s">
        <v>50</v>
      </c>
      <c r="E140" s="40" t="s">
        <v>599</v>
      </c>
    </row>
    <row r="141" spans="1:5" x14ac:dyDescent="0.25">
      <c r="A141" s="40">
        <v>140</v>
      </c>
      <c r="B141" s="40" t="s">
        <v>600</v>
      </c>
      <c r="C141" s="40" t="s">
        <v>52</v>
      </c>
      <c r="E141" s="40" t="s">
        <v>601</v>
      </c>
    </row>
    <row r="142" spans="1:5" x14ac:dyDescent="0.25">
      <c r="A142" s="40">
        <v>141</v>
      </c>
      <c r="B142" s="40" t="s">
        <v>602</v>
      </c>
      <c r="C142" s="40" t="s">
        <v>92</v>
      </c>
      <c r="E142" s="40" t="s">
        <v>604</v>
      </c>
    </row>
    <row r="143" spans="1:5" x14ac:dyDescent="0.25">
      <c r="A143" s="40">
        <v>142</v>
      </c>
      <c r="B143" s="40" t="s">
        <v>605</v>
      </c>
      <c r="C143" s="40" t="s">
        <v>606</v>
      </c>
      <c r="E143" s="40" t="s">
        <v>607</v>
      </c>
    </row>
    <row r="144" spans="1:5" x14ac:dyDescent="0.25">
      <c r="A144" s="40">
        <v>143</v>
      </c>
      <c r="B144" s="40" t="s">
        <v>608</v>
      </c>
      <c r="C144" s="40" t="s">
        <v>93</v>
      </c>
      <c r="E144" s="40" t="s">
        <v>609</v>
      </c>
    </row>
    <row r="145" spans="1:5" x14ac:dyDescent="0.25">
      <c r="A145" s="40">
        <v>144</v>
      </c>
      <c r="B145" s="40" t="s">
        <v>610</v>
      </c>
      <c r="C145" s="40" t="s">
        <v>611</v>
      </c>
      <c r="E145" s="40" t="s">
        <v>612</v>
      </c>
    </row>
    <row r="146" spans="1:5" x14ac:dyDescent="0.25">
      <c r="A146" s="40">
        <v>145</v>
      </c>
      <c r="B146" s="40" t="s">
        <v>613</v>
      </c>
      <c r="C146" s="40" t="s">
        <v>128</v>
      </c>
      <c r="E146" s="40" t="s">
        <v>614</v>
      </c>
    </row>
    <row r="147" spans="1:5" x14ac:dyDescent="0.25">
      <c r="A147" s="40">
        <v>146</v>
      </c>
      <c r="B147" s="40" t="s">
        <v>615</v>
      </c>
      <c r="C147" s="40" t="s">
        <v>616</v>
      </c>
      <c r="E147" s="40" t="s">
        <v>617</v>
      </c>
    </row>
    <row r="148" spans="1:5" x14ac:dyDescent="0.25">
      <c r="A148" s="40">
        <v>147</v>
      </c>
      <c r="B148" s="40" t="s">
        <v>618</v>
      </c>
      <c r="C148" s="40" t="s">
        <v>619</v>
      </c>
      <c r="E148" s="40" t="s">
        <v>620</v>
      </c>
    </row>
    <row r="149" spans="1:5" x14ac:dyDescent="0.25">
      <c r="A149" s="40">
        <v>148</v>
      </c>
      <c r="B149" s="40" t="s">
        <v>621</v>
      </c>
      <c r="C149" s="40" t="s">
        <v>622</v>
      </c>
      <c r="E149" s="40" t="s">
        <v>623</v>
      </c>
    </row>
    <row r="150" spans="1:5" x14ac:dyDescent="0.25">
      <c r="A150" s="40">
        <v>149</v>
      </c>
      <c r="B150" s="40" t="s">
        <v>624</v>
      </c>
      <c r="C150" s="40" t="s">
        <v>91</v>
      </c>
      <c r="E150" s="40" t="s">
        <v>625</v>
      </c>
    </row>
    <row r="151" spans="1:5" x14ac:dyDescent="0.25">
      <c r="A151" s="40">
        <v>150</v>
      </c>
      <c r="B151" s="40" t="s">
        <v>626</v>
      </c>
      <c r="C151" s="40" t="s">
        <v>627</v>
      </c>
      <c r="E151" s="40" t="s">
        <v>628</v>
      </c>
    </row>
    <row r="152" spans="1:5" x14ac:dyDescent="0.25">
      <c r="A152" s="40">
        <v>151</v>
      </c>
      <c r="B152" s="40" t="s">
        <v>629</v>
      </c>
      <c r="C152" s="40" t="s">
        <v>630</v>
      </c>
      <c r="E152" s="40" t="s">
        <v>631</v>
      </c>
    </row>
    <row r="153" spans="1:5" x14ac:dyDescent="0.25">
      <c r="A153" s="40">
        <v>152</v>
      </c>
      <c r="B153" s="40" t="s">
        <v>632</v>
      </c>
      <c r="C153" s="40" t="s">
        <v>633</v>
      </c>
      <c r="E153" s="40" t="s">
        <v>634</v>
      </c>
    </row>
    <row r="154" spans="1:5" x14ac:dyDescent="0.25">
      <c r="A154" s="40">
        <v>153</v>
      </c>
      <c r="B154" s="40" t="s">
        <v>635</v>
      </c>
      <c r="C154" s="40" t="s">
        <v>636</v>
      </c>
      <c r="E154" s="40" t="s">
        <v>637</v>
      </c>
    </row>
    <row r="155" spans="1:5" x14ac:dyDescent="0.25">
      <c r="A155" s="40">
        <v>154</v>
      </c>
      <c r="B155" s="40" t="s">
        <v>638</v>
      </c>
      <c r="C155" s="40" t="s">
        <v>40</v>
      </c>
      <c r="E155" s="40" t="s">
        <v>639</v>
      </c>
    </row>
    <row r="156" spans="1:5" x14ac:dyDescent="0.25">
      <c r="A156" s="40">
        <v>155</v>
      </c>
      <c r="B156" s="40" t="s">
        <v>640</v>
      </c>
      <c r="C156" s="40" t="s">
        <v>419</v>
      </c>
      <c r="E156" s="40" t="s">
        <v>641</v>
      </c>
    </row>
    <row r="157" spans="1:5" x14ac:dyDescent="0.25">
      <c r="A157" s="40">
        <v>156</v>
      </c>
      <c r="B157" s="40" t="s">
        <v>642</v>
      </c>
      <c r="C157" s="40" t="s">
        <v>120</v>
      </c>
      <c r="E157" s="40" t="s">
        <v>644</v>
      </c>
    </row>
    <row r="158" spans="1:5" x14ac:dyDescent="0.25">
      <c r="A158" s="40">
        <v>157</v>
      </c>
      <c r="B158" s="40" t="s">
        <v>645</v>
      </c>
      <c r="C158" s="40" t="s">
        <v>464</v>
      </c>
      <c r="E158" s="40" t="s">
        <v>646</v>
      </c>
    </row>
    <row r="159" spans="1:5" x14ac:dyDescent="0.25">
      <c r="A159" s="40">
        <v>158</v>
      </c>
      <c r="B159" s="40" t="s">
        <v>647</v>
      </c>
      <c r="C159" s="40" t="s">
        <v>80</v>
      </c>
      <c r="E159" s="40" t="s">
        <v>648</v>
      </c>
    </row>
    <row r="160" spans="1:5" x14ac:dyDescent="0.25">
      <c r="A160" s="40">
        <v>159</v>
      </c>
      <c r="B160" s="40" t="s">
        <v>649</v>
      </c>
      <c r="C160" s="40" t="s">
        <v>650</v>
      </c>
      <c r="E160" s="40" t="s">
        <v>651</v>
      </c>
    </row>
    <row r="161" spans="1:5" x14ac:dyDescent="0.25">
      <c r="A161" s="40">
        <v>160</v>
      </c>
      <c r="B161" s="40" t="s">
        <v>652</v>
      </c>
      <c r="C161" s="40" t="s">
        <v>70</v>
      </c>
      <c r="E161" s="40" t="s">
        <v>653</v>
      </c>
    </row>
    <row r="162" spans="1:5" x14ac:dyDescent="0.25">
      <c r="A162" s="40">
        <v>161</v>
      </c>
      <c r="B162" s="40" t="s">
        <v>654</v>
      </c>
      <c r="C162" s="40" t="s">
        <v>56</v>
      </c>
      <c r="E162" s="40" t="s">
        <v>655</v>
      </c>
    </row>
    <row r="163" spans="1:5" x14ac:dyDescent="0.25">
      <c r="A163" s="40">
        <v>162</v>
      </c>
      <c r="B163" s="40" t="s">
        <v>656</v>
      </c>
      <c r="C163" s="40" t="s">
        <v>71</v>
      </c>
      <c r="E163" s="40" t="s">
        <v>657</v>
      </c>
    </row>
    <row r="164" spans="1:5" x14ac:dyDescent="0.25">
      <c r="A164" s="40">
        <v>163</v>
      </c>
      <c r="B164" s="40" t="s">
        <v>658</v>
      </c>
      <c r="C164" s="40" t="s">
        <v>659</v>
      </c>
      <c r="E164" s="40" t="s">
        <v>660</v>
      </c>
    </row>
    <row r="165" spans="1:5" x14ac:dyDescent="0.25">
      <c r="A165" s="40">
        <v>164</v>
      </c>
      <c r="B165" s="40" t="s">
        <v>661</v>
      </c>
      <c r="C165" s="40" t="s">
        <v>56</v>
      </c>
      <c r="E165" s="40" t="s">
        <v>662</v>
      </c>
    </row>
    <row r="166" spans="1:5" x14ac:dyDescent="0.25">
      <c r="A166" s="40">
        <v>165</v>
      </c>
      <c r="B166" s="40" t="s">
        <v>663</v>
      </c>
      <c r="C166" s="40" t="s">
        <v>664</v>
      </c>
      <c r="E166" s="40" t="s">
        <v>665</v>
      </c>
    </row>
    <row r="167" spans="1:5" x14ac:dyDescent="0.25">
      <c r="A167" s="40">
        <v>166</v>
      </c>
      <c r="B167" s="40" t="s">
        <v>666</v>
      </c>
      <c r="C167" s="40" t="s">
        <v>667</v>
      </c>
      <c r="E167" s="40" t="s">
        <v>668</v>
      </c>
    </row>
    <row r="168" spans="1:5" x14ac:dyDescent="0.25">
      <c r="A168" s="40">
        <v>167</v>
      </c>
      <c r="B168" s="40" t="s">
        <v>669</v>
      </c>
      <c r="C168" s="40" t="s">
        <v>670</v>
      </c>
      <c r="E168" s="40" t="s">
        <v>671</v>
      </c>
    </row>
    <row r="169" spans="1:5" x14ac:dyDescent="0.25">
      <c r="A169" s="40">
        <v>168</v>
      </c>
      <c r="B169" s="40" t="s">
        <v>672</v>
      </c>
      <c r="C169" s="40" t="s">
        <v>673</v>
      </c>
      <c r="E169" s="40" t="s">
        <v>674</v>
      </c>
    </row>
    <row r="170" spans="1:5" x14ac:dyDescent="0.25">
      <c r="A170" s="40">
        <v>169</v>
      </c>
      <c r="B170" s="40" t="s">
        <v>675</v>
      </c>
      <c r="C170" s="40" t="s">
        <v>116</v>
      </c>
      <c r="E170" s="40" t="s">
        <v>676</v>
      </c>
    </row>
    <row r="171" spans="1:5" x14ac:dyDescent="0.25">
      <c r="A171" s="40">
        <v>170</v>
      </c>
      <c r="B171" s="40" t="s">
        <v>677</v>
      </c>
      <c r="C171" s="40" t="s">
        <v>54</v>
      </c>
      <c r="E171" s="40" t="s">
        <v>678</v>
      </c>
    </row>
    <row r="172" spans="1:5" x14ac:dyDescent="0.25">
      <c r="A172" s="40">
        <v>171</v>
      </c>
      <c r="B172" s="40" t="s">
        <v>679</v>
      </c>
      <c r="C172" s="40" t="s">
        <v>680</v>
      </c>
      <c r="E172" s="40" t="s">
        <v>681</v>
      </c>
    </row>
    <row r="173" spans="1:5" x14ac:dyDescent="0.25">
      <c r="A173" s="40">
        <v>172</v>
      </c>
      <c r="B173" s="40" t="s">
        <v>682</v>
      </c>
      <c r="C173" s="40" t="s">
        <v>89</v>
      </c>
      <c r="E173" s="40" t="s">
        <v>683</v>
      </c>
    </row>
    <row r="174" spans="1:5" x14ac:dyDescent="0.25">
      <c r="A174" s="40">
        <v>173</v>
      </c>
      <c r="B174" s="40" t="s">
        <v>684</v>
      </c>
      <c r="C174" s="40" t="s">
        <v>685</v>
      </c>
      <c r="E174" s="40" t="s">
        <v>686</v>
      </c>
    </row>
    <row r="175" spans="1:5" x14ac:dyDescent="0.25">
      <c r="A175" s="40">
        <v>174</v>
      </c>
      <c r="B175" s="40" t="s">
        <v>687</v>
      </c>
      <c r="C175" s="40" t="s">
        <v>688</v>
      </c>
      <c r="E175" s="40" t="s">
        <v>689</v>
      </c>
    </row>
    <row r="176" spans="1:5" x14ac:dyDescent="0.25">
      <c r="A176" s="40">
        <v>175</v>
      </c>
      <c r="B176" s="40" t="s">
        <v>690</v>
      </c>
      <c r="C176" s="40" t="s">
        <v>691</v>
      </c>
      <c r="E176" s="40" t="s">
        <v>692</v>
      </c>
    </row>
    <row r="177" spans="1:5" x14ac:dyDescent="0.25">
      <c r="A177" s="40">
        <v>176</v>
      </c>
      <c r="B177" s="40" t="s">
        <v>693</v>
      </c>
      <c r="C177" s="40" t="s">
        <v>14</v>
      </c>
      <c r="E177" s="40" t="s">
        <v>694</v>
      </c>
    </row>
    <row r="178" spans="1:5" x14ac:dyDescent="0.25">
      <c r="A178" s="40">
        <v>177</v>
      </c>
      <c r="B178" s="40" t="s">
        <v>695</v>
      </c>
      <c r="C178" s="40" t="s">
        <v>103</v>
      </c>
      <c r="E178" s="40" t="s">
        <v>696</v>
      </c>
    </row>
    <row r="179" spans="1:5" x14ac:dyDescent="0.25">
      <c r="A179" s="40">
        <v>178</v>
      </c>
      <c r="B179" s="40" t="s">
        <v>697</v>
      </c>
      <c r="C179" s="40" t="s">
        <v>698</v>
      </c>
      <c r="E179" s="40" t="s">
        <v>699</v>
      </c>
    </row>
    <row r="180" spans="1:5" x14ac:dyDescent="0.25">
      <c r="A180" s="40">
        <v>179</v>
      </c>
      <c r="B180" s="40" t="s">
        <v>700</v>
      </c>
      <c r="C180" s="40" t="s">
        <v>10</v>
      </c>
      <c r="E180" s="40" t="s">
        <v>701</v>
      </c>
    </row>
    <row r="181" spans="1:5" x14ac:dyDescent="0.25">
      <c r="A181" s="40">
        <v>180</v>
      </c>
      <c r="B181" s="40" t="s">
        <v>702</v>
      </c>
      <c r="C181" s="40" t="s">
        <v>703</v>
      </c>
      <c r="E181" s="40" t="s">
        <v>704</v>
      </c>
    </row>
    <row r="182" spans="1:5" x14ac:dyDescent="0.25">
      <c r="A182" s="40">
        <v>181</v>
      </c>
      <c r="B182" s="40" t="s">
        <v>705</v>
      </c>
      <c r="C182" s="40" t="s">
        <v>115</v>
      </c>
      <c r="E182" s="40" t="s">
        <v>706</v>
      </c>
    </row>
    <row r="183" spans="1:5" x14ac:dyDescent="0.25">
      <c r="A183" s="40">
        <v>182</v>
      </c>
      <c r="B183" s="40" t="s">
        <v>707</v>
      </c>
      <c r="C183" s="40" t="s">
        <v>708</v>
      </c>
      <c r="E183" s="40" t="s">
        <v>709</v>
      </c>
    </row>
    <row r="184" spans="1:5" x14ac:dyDescent="0.25">
      <c r="A184" s="40">
        <v>183</v>
      </c>
      <c r="B184" s="40" t="s">
        <v>710</v>
      </c>
      <c r="C184" s="40" t="s">
        <v>711</v>
      </c>
      <c r="E184" s="40" t="s">
        <v>712</v>
      </c>
    </row>
    <row r="185" spans="1:5" x14ac:dyDescent="0.25">
      <c r="A185" s="40">
        <v>184</v>
      </c>
      <c r="B185" s="40" t="s">
        <v>713</v>
      </c>
      <c r="C185" s="40" t="s">
        <v>572</v>
      </c>
      <c r="E185" s="40" t="s">
        <v>714</v>
      </c>
    </row>
    <row r="186" spans="1:5" x14ac:dyDescent="0.25">
      <c r="A186" s="40">
        <v>185</v>
      </c>
      <c r="B186" s="40" t="s">
        <v>715</v>
      </c>
      <c r="C186" s="40" t="s">
        <v>6</v>
      </c>
      <c r="E186" s="40" t="s">
        <v>716</v>
      </c>
    </row>
    <row r="187" spans="1:5" x14ac:dyDescent="0.25">
      <c r="A187" s="40">
        <v>186</v>
      </c>
      <c r="B187" s="40" t="s">
        <v>717</v>
      </c>
      <c r="C187" s="40" t="s">
        <v>8</v>
      </c>
      <c r="E187" s="40" t="s">
        <v>718</v>
      </c>
    </row>
    <row r="188" spans="1:5" x14ac:dyDescent="0.25">
      <c r="A188" s="40">
        <v>187</v>
      </c>
      <c r="B188" s="40" t="s">
        <v>719</v>
      </c>
      <c r="C188" s="40" t="s">
        <v>720</v>
      </c>
      <c r="E188" s="40" t="s">
        <v>721</v>
      </c>
    </row>
    <row r="189" spans="1:5" x14ac:dyDescent="0.25">
      <c r="A189" s="40">
        <v>188</v>
      </c>
      <c r="B189" s="40" t="s">
        <v>722</v>
      </c>
      <c r="C189" s="40" t="s">
        <v>723</v>
      </c>
      <c r="E189" s="40" t="s">
        <v>724</v>
      </c>
    </row>
    <row r="190" spans="1:5" x14ac:dyDescent="0.25">
      <c r="A190" s="40">
        <v>189</v>
      </c>
      <c r="B190" s="40" t="s">
        <v>725</v>
      </c>
      <c r="C190" s="40" t="s">
        <v>726</v>
      </c>
      <c r="E190" s="40" t="s">
        <v>727</v>
      </c>
    </row>
    <row r="191" spans="1:5" x14ac:dyDescent="0.25">
      <c r="A191" s="40">
        <v>190</v>
      </c>
      <c r="B191" s="40" t="s">
        <v>728</v>
      </c>
      <c r="C191" s="40" t="s">
        <v>88</v>
      </c>
      <c r="E191" s="40" t="s">
        <v>729</v>
      </c>
    </row>
    <row r="192" spans="1:5" x14ac:dyDescent="0.25">
      <c r="A192" s="40">
        <v>191</v>
      </c>
      <c r="B192" s="40" t="s">
        <v>730</v>
      </c>
      <c r="C192" s="40" t="s">
        <v>731</v>
      </c>
      <c r="E192" s="40" t="s">
        <v>732</v>
      </c>
    </row>
    <row r="193" spans="1:5" x14ac:dyDescent="0.25">
      <c r="A193" s="40">
        <v>192</v>
      </c>
      <c r="B193" s="40" t="s">
        <v>733</v>
      </c>
      <c r="C193" s="40" t="s">
        <v>734</v>
      </c>
      <c r="E193" s="40" t="s">
        <v>735</v>
      </c>
    </row>
    <row r="194" spans="1:5" x14ac:dyDescent="0.25">
      <c r="A194" s="40">
        <v>193</v>
      </c>
      <c r="B194" s="40" t="s">
        <v>736</v>
      </c>
      <c r="C194" s="40" t="s">
        <v>737</v>
      </c>
      <c r="E194" s="40" t="s">
        <v>738</v>
      </c>
    </row>
    <row r="195" spans="1:5" x14ac:dyDescent="0.25">
      <c r="A195" s="40">
        <v>194</v>
      </c>
      <c r="B195" s="40" t="s">
        <v>739</v>
      </c>
      <c r="C195" s="40" t="s">
        <v>79</v>
      </c>
      <c r="E195" s="40" t="s">
        <v>740</v>
      </c>
    </row>
    <row r="196" spans="1:5" x14ac:dyDescent="0.25">
      <c r="A196" s="40">
        <v>195</v>
      </c>
      <c r="B196" s="40" t="s">
        <v>741</v>
      </c>
      <c r="C196" s="40" t="s">
        <v>742</v>
      </c>
      <c r="E196" s="40" t="s">
        <v>743</v>
      </c>
    </row>
    <row r="197" spans="1:5" x14ac:dyDescent="0.25">
      <c r="A197" s="40">
        <v>196</v>
      </c>
      <c r="B197" s="40" t="s">
        <v>156</v>
      </c>
      <c r="C197" s="40" t="s">
        <v>588</v>
      </c>
      <c r="E197" s="40" t="s">
        <v>744</v>
      </c>
    </row>
    <row r="198" spans="1:5" x14ac:dyDescent="0.25">
      <c r="A198" s="40">
        <v>197</v>
      </c>
      <c r="B198" s="40" t="s">
        <v>745</v>
      </c>
      <c r="C198" s="40" t="s">
        <v>746</v>
      </c>
      <c r="E198" s="40" t="s">
        <v>747</v>
      </c>
    </row>
    <row r="199" spans="1:5" x14ac:dyDescent="0.25">
      <c r="A199" s="40">
        <v>198</v>
      </c>
      <c r="B199" s="40" t="s">
        <v>748</v>
      </c>
      <c r="C199" s="40" t="s">
        <v>749</v>
      </c>
      <c r="E199" s="40" t="s">
        <v>750</v>
      </c>
    </row>
    <row r="200" spans="1:5" x14ac:dyDescent="0.25">
      <c r="A200" s="40">
        <v>199</v>
      </c>
      <c r="B200" s="40" t="s">
        <v>751</v>
      </c>
      <c r="C200" s="40" t="s">
        <v>752</v>
      </c>
      <c r="E200" s="40" t="s">
        <v>753</v>
      </c>
    </row>
    <row r="201" spans="1:5" x14ac:dyDescent="0.25">
      <c r="A201" s="40">
        <v>200</v>
      </c>
      <c r="B201" s="40" t="s">
        <v>754</v>
      </c>
      <c r="C201" s="40" t="s">
        <v>755</v>
      </c>
      <c r="E201" s="40" t="s">
        <v>756</v>
      </c>
    </row>
    <row r="202" spans="1:5" x14ac:dyDescent="0.25">
      <c r="A202" s="40">
        <v>201</v>
      </c>
      <c r="B202" s="40" t="s">
        <v>757</v>
      </c>
      <c r="C202" s="40" t="s">
        <v>71</v>
      </c>
      <c r="E202" s="40" t="s">
        <v>758</v>
      </c>
    </row>
    <row r="203" spans="1:5" x14ac:dyDescent="0.25">
      <c r="A203" s="40">
        <v>202</v>
      </c>
      <c r="B203" s="40" t="s">
        <v>759</v>
      </c>
      <c r="C203" s="40" t="s">
        <v>760</v>
      </c>
      <c r="E203" s="40" t="s">
        <v>761</v>
      </c>
    </row>
    <row r="204" spans="1:5" x14ac:dyDescent="0.25">
      <c r="A204" s="40">
        <v>203</v>
      </c>
      <c r="B204" s="40" t="s">
        <v>184</v>
      </c>
      <c r="C204" s="40" t="s">
        <v>762</v>
      </c>
      <c r="E204" s="40" t="s">
        <v>763</v>
      </c>
    </row>
    <row r="205" spans="1:5" x14ac:dyDescent="0.25">
      <c r="A205" s="40">
        <v>204</v>
      </c>
      <c r="B205" s="40" t="s">
        <v>764</v>
      </c>
      <c r="C205" s="40" t="s">
        <v>765</v>
      </c>
      <c r="E205" s="40" t="s">
        <v>766</v>
      </c>
    </row>
    <row r="206" spans="1:5" x14ac:dyDescent="0.25">
      <c r="A206" s="40">
        <v>205</v>
      </c>
      <c r="B206" s="40" t="s">
        <v>767</v>
      </c>
      <c r="C206" s="40" t="s">
        <v>768</v>
      </c>
      <c r="E206" s="40" t="s">
        <v>769</v>
      </c>
    </row>
    <row r="207" spans="1:5" x14ac:dyDescent="0.25">
      <c r="A207" s="40">
        <v>206</v>
      </c>
      <c r="B207" s="40" t="s">
        <v>770</v>
      </c>
      <c r="C207" s="40" t="s">
        <v>771</v>
      </c>
      <c r="E207" s="40" t="s">
        <v>772</v>
      </c>
    </row>
    <row r="208" spans="1:5" x14ac:dyDescent="0.25">
      <c r="A208" s="40">
        <v>207</v>
      </c>
      <c r="B208" s="40" t="s">
        <v>773</v>
      </c>
      <c r="C208" s="40" t="s">
        <v>774</v>
      </c>
      <c r="E208" s="40" t="s">
        <v>775</v>
      </c>
    </row>
    <row r="209" spans="1:5" x14ac:dyDescent="0.25">
      <c r="A209" s="40">
        <v>208</v>
      </c>
      <c r="B209" s="40" t="s">
        <v>161</v>
      </c>
      <c r="C209" s="40" t="s">
        <v>762</v>
      </c>
      <c r="E209" s="40" t="s">
        <v>776</v>
      </c>
    </row>
    <row r="210" spans="1:5" x14ac:dyDescent="0.25">
      <c r="A210" s="40">
        <v>209</v>
      </c>
      <c r="B210" s="40" t="s">
        <v>777</v>
      </c>
      <c r="C210" s="40" t="s">
        <v>778</v>
      </c>
      <c r="E210" s="40" t="s">
        <v>779</v>
      </c>
    </row>
    <row r="211" spans="1:5" x14ac:dyDescent="0.25">
      <c r="A211" s="40">
        <v>210</v>
      </c>
      <c r="B211" s="40" t="s">
        <v>780</v>
      </c>
      <c r="C211" s="40" t="s">
        <v>781</v>
      </c>
      <c r="E211" s="40" t="s">
        <v>782</v>
      </c>
    </row>
    <row r="212" spans="1:5" x14ac:dyDescent="0.25">
      <c r="A212" s="40">
        <v>211</v>
      </c>
      <c r="B212" s="40" t="s">
        <v>783</v>
      </c>
      <c r="C212" s="40" t="s">
        <v>784</v>
      </c>
      <c r="E212" s="40" t="s">
        <v>785</v>
      </c>
    </row>
    <row r="213" spans="1:5" x14ac:dyDescent="0.25">
      <c r="A213" s="40">
        <v>212</v>
      </c>
      <c r="B213" s="40" t="s">
        <v>786</v>
      </c>
      <c r="C213" s="40" t="s">
        <v>787</v>
      </c>
      <c r="E213" s="40" t="s">
        <v>788</v>
      </c>
    </row>
    <row r="214" spans="1:5" x14ac:dyDescent="0.25">
      <c r="A214" s="40">
        <v>213</v>
      </c>
      <c r="B214" s="40" t="s">
        <v>789</v>
      </c>
      <c r="C214" s="40" t="s">
        <v>790</v>
      </c>
      <c r="E214" s="40" t="s">
        <v>791</v>
      </c>
    </row>
    <row r="215" spans="1:5" x14ac:dyDescent="0.25">
      <c r="A215" s="40">
        <v>214</v>
      </c>
      <c r="B215" s="40" t="s">
        <v>792</v>
      </c>
      <c r="C215" s="40" t="s">
        <v>793</v>
      </c>
      <c r="E215" s="40" t="s">
        <v>794</v>
      </c>
    </row>
    <row r="216" spans="1:5" x14ac:dyDescent="0.25">
      <c r="A216" s="40">
        <v>215</v>
      </c>
      <c r="B216" s="40" t="s">
        <v>795</v>
      </c>
      <c r="C216" s="40" t="s">
        <v>796</v>
      </c>
      <c r="E216" s="40" t="s">
        <v>797</v>
      </c>
    </row>
    <row r="217" spans="1:5" x14ac:dyDescent="0.25">
      <c r="A217" s="40">
        <v>216</v>
      </c>
      <c r="B217" s="40" t="s">
        <v>798</v>
      </c>
      <c r="C217" s="40" t="s">
        <v>799</v>
      </c>
      <c r="E217" s="40" t="s">
        <v>800</v>
      </c>
    </row>
    <row r="218" spans="1:5" x14ac:dyDescent="0.25">
      <c r="A218" s="40">
        <v>217</v>
      </c>
      <c r="B218" s="40" t="s">
        <v>801</v>
      </c>
      <c r="C218" s="40" t="s">
        <v>802</v>
      </c>
      <c r="E218" s="40" t="s">
        <v>803</v>
      </c>
    </row>
    <row r="219" spans="1:5" x14ac:dyDescent="0.25">
      <c r="A219" s="40">
        <v>218</v>
      </c>
      <c r="B219" s="40" t="s">
        <v>804</v>
      </c>
      <c r="C219" s="40" t="s">
        <v>805</v>
      </c>
      <c r="E219" s="40" t="s">
        <v>806</v>
      </c>
    </row>
    <row r="220" spans="1:5" x14ac:dyDescent="0.25">
      <c r="A220" s="40">
        <v>219</v>
      </c>
      <c r="B220" s="40" t="s">
        <v>807</v>
      </c>
      <c r="C220" s="40" t="s">
        <v>808</v>
      </c>
      <c r="E220" s="40" t="s">
        <v>809</v>
      </c>
    </row>
    <row r="221" spans="1:5" x14ac:dyDescent="0.25">
      <c r="A221" s="40">
        <v>220</v>
      </c>
      <c r="B221" s="40" t="s">
        <v>153</v>
      </c>
      <c r="C221" s="40" t="s">
        <v>810</v>
      </c>
      <c r="E221" s="40" t="s">
        <v>811</v>
      </c>
    </row>
    <row r="222" spans="1:5" x14ac:dyDescent="0.25">
      <c r="A222" s="40">
        <v>221</v>
      </c>
      <c r="B222" s="40" t="s">
        <v>812</v>
      </c>
      <c r="C222" s="40" t="s">
        <v>813</v>
      </c>
      <c r="E222" s="40" t="s">
        <v>814</v>
      </c>
    </row>
    <row r="223" spans="1:5" x14ac:dyDescent="0.25">
      <c r="A223" s="40">
        <v>222</v>
      </c>
      <c r="B223" s="40" t="s">
        <v>815</v>
      </c>
      <c r="C223" s="40" t="s">
        <v>816</v>
      </c>
      <c r="E223" s="40" t="s">
        <v>817</v>
      </c>
    </row>
    <row r="224" spans="1:5" x14ac:dyDescent="0.25">
      <c r="A224" s="40">
        <v>223</v>
      </c>
      <c r="B224" s="40" t="s">
        <v>818</v>
      </c>
      <c r="C224" s="40" t="s">
        <v>819</v>
      </c>
      <c r="E224" s="40" t="s">
        <v>820</v>
      </c>
    </row>
    <row r="225" spans="1:5" x14ac:dyDescent="0.25">
      <c r="A225" s="40">
        <v>224</v>
      </c>
      <c r="B225" s="40" t="s">
        <v>821</v>
      </c>
      <c r="C225" s="40" t="s">
        <v>822</v>
      </c>
      <c r="E225" s="40" t="s">
        <v>823</v>
      </c>
    </row>
    <row r="226" spans="1:5" x14ac:dyDescent="0.25">
      <c r="A226" s="40">
        <v>225</v>
      </c>
      <c r="B226" s="40" t="s">
        <v>824</v>
      </c>
      <c r="C226" s="40" t="s">
        <v>825</v>
      </c>
      <c r="E226" s="40" t="s">
        <v>826</v>
      </c>
    </row>
    <row r="227" spans="1:5" x14ac:dyDescent="0.25">
      <c r="A227" s="40">
        <v>226</v>
      </c>
      <c r="B227" s="40" t="s">
        <v>827</v>
      </c>
      <c r="C227" s="40" t="s">
        <v>828</v>
      </c>
      <c r="E227" s="40" t="s">
        <v>829</v>
      </c>
    </row>
    <row r="228" spans="1:5" x14ac:dyDescent="0.25">
      <c r="A228" s="40">
        <v>227</v>
      </c>
      <c r="B228" s="40" t="s">
        <v>830</v>
      </c>
      <c r="C228" s="40" t="s">
        <v>831</v>
      </c>
      <c r="E228" s="40" t="s">
        <v>832</v>
      </c>
    </row>
    <row r="229" spans="1:5" x14ac:dyDescent="0.25">
      <c r="A229" s="40">
        <v>228</v>
      </c>
      <c r="B229" s="40" t="s">
        <v>833</v>
      </c>
      <c r="C229" s="40" t="s">
        <v>834</v>
      </c>
      <c r="E229" s="40" t="s">
        <v>835</v>
      </c>
    </row>
    <row r="230" spans="1:5" x14ac:dyDescent="0.25">
      <c r="A230" s="40">
        <v>229</v>
      </c>
      <c r="B230" s="40" t="s">
        <v>836</v>
      </c>
      <c r="C230" s="40" t="s">
        <v>837</v>
      </c>
      <c r="E230" s="40" t="s">
        <v>838</v>
      </c>
    </row>
    <row r="231" spans="1:5" x14ac:dyDescent="0.25">
      <c r="A231" s="40">
        <v>230</v>
      </c>
      <c r="B231" s="40" t="s">
        <v>839</v>
      </c>
      <c r="C231" s="40" t="s">
        <v>816</v>
      </c>
      <c r="E231" s="40" t="s">
        <v>840</v>
      </c>
    </row>
    <row r="232" spans="1:5" x14ac:dyDescent="0.25">
      <c r="A232" s="40">
        <v>231</v>
      </c>
      <c r="B232" s="40" t="s">
        <v>841</v>
      </c>
      <c r="C232" s="40" t="s">
        <v>842</v>
      </c>
      <c r="E232" s="40" t="s">
        <v>843</v>
      </c>
    </row>
    <row r="233" spans="1:5" x14ac:dyDescent="0.25">
      <c r="A233" s="40">
        <v>232</v>
      </c>
      <c r="B233" s="40" t="s">
        <v>844</v>
      </c>
      <c r="C233" s="40" t="s">
        <v>845</v>
      </c>
      <c r="E233" s="40" t="s">
        <v>846</v>
      </c>
    </row>
    <row r="234" spans="1:5" x14ac:dyDescent="0.25">
      <c r="A234" s="40">
        <v>233</v>
      </c>
      <c r="B234" s="40" t="s">
        <v>847</v>
      </c>
      <c r="C234" s="40" t="s">
        <v>848</v>
      </c>
      <c r="E234" s="40" t="s">
        <v>849</v>
      </c>
    </row>
    <row r="235" spans="1:5" x14ac:dyDescent="0.25">
      <c r="A235" s="40">
        <v>234</v>
      </c>
      <c r="B235" s="40" t="s">
        <v>850</v>
      </c>
      <c r="C235" s="40" t="s">
        <v>851</v>
      </c>
      <c r="E235" s="40" t="s">
        <v>852</v>
      </c>
    </row>
    <row r="236" spans="1:5" x14ac:dyDescent="0.25">
      <c r="A236" s="40">
        <v>235</v>
      </c>
      <c r="B236" s="40" t="s">
        <v>853</v>
      </c>
      <c r="C236" s="40" t="s">
        <v>854</v>
      </c>
      <c r="E236" s="40" t="s">
        <v>855</v>
      </c>
    </row>
    <row r="237" spans="1:5" x14ac:dyDescent="0.25">
      <c r="A237" s="40">
        <v>236</v>
      </c>
      <c r="B237" s="40" t="s">
        <v>856</v>
      </c>
      <c r="C237" s="40" t="s">
        <v>857</v>
      </c>
      <c r="E237" s="40" t="s">
        <v>858</v>
      </c>
    </row>
    <row r="238" spans="1:5" x14ac:dyDescent="0.25">
      <c r="A238" s="40">
        <v>237</v>
      </c>
      <c r="B238" s="40" t="s">
        <v>859</v>
      </c>
      <c r="C238" s="40" t="s">
        <v>860</v>
      </c>
      <c r="E238" s="40" t="s">
        <v>861</v>
      </c>
    </row>
    <row r="239" spans="1:5" x14ac:dyDescent="0.25">
      <c r="A239" s="40">
        <v>238</v>
      </c>
      <c r="B239" s="40" t="s">
        <v>862</v>
      </c>
      <c r="C239" s="40" t="s">
        <v>863</v>
      </c>
      <c r="E239" s="40" t="s">
        <v>864</v>
      </c>
    </row>
    <row r="240" spans="1:5" x14ac:dyDescent="0.25">
      <c r="A240" s="40">
        <v>239</v>
      </c>
      <c r="B240" s="40" t="s">
        <v>865</v>
      </c>
      <c r="C240" s="40" t="s">
        <v>866</v>
      </c>
      <c r="E240" s="40" t="s">
        <v>867</v>
      </c>
    </row>
    <row r="241" spans="1:5" x14ac:dyDescent="0.25">
      <c r="A241" s="40">
        <v>240</v>
      </c>
      <c r="B241" s="40" t="s">
        <v>868</v>
      </c>
      <c r="C241" s="40" t="s">
        <v>869</v>
      </c>
      <c r="E241" s="40" t="s">
        <v>870</v>
      </c>
    </row>
    <row r="242" spans="1:5" x14ac:dyDescent="0.25">
      <c r="A242" s="40">
        <v>241</v>
      </c>
      <c r="B242" s="40" t="s">
        <v>871</v>
      </c>
      <c r="C242" s="40" t="s">
        <v>872</v>
      </c>
      <c r="E242" s="40" t="s">
        <v>873</v>
      </c>
    </row>
    <row r="243" spans="1:5" x14ac:dyDescent="0.25">
      <c r="A243" s="40">
        <v>242</v>
      </c>
      <c r="B243" s="40" t="s">
        <v>874</v>
      </c>
      <c r="C243" s="40" t="s">
        <v>875</v>
      </c>
      <c r="E243" s="40" t="s">
        <v>876</v>
      </c>
    </row>
    <row r="244" spans="1:5" x14ac:dyDescent="0.25">
      <c r="A244" s="40">
        <v>243</v>
      </c>
      <c r="B244" s="40" t="s">
        <v>877</v>
      </c>
      <c r="C244" s="40" t="s">
        <v>878</v>
      </c>
      <c r="E244" s="40" t="s">
        <v>879</v>
      </c>
    </row>
    <row r="245" spans="1:5" x14ac:dyDescent="0.25">
      <c r="A245" s="40">
        <v>244</v>
      </c>
      <c r="B245" s="40" t="s">
        <v>880</v>
      </c>
      <c r="C245" s="40" t="s">
        <v>881</v>
      </c>
      <c r="E245" s="40" t="s">
        <v>882</v>
      </c>
    </row>
    <row r="246" spans="1:5" x14ac:dyDescent="0.25">
      <c r="A246" s="40">
        <v>245</v>
      </c>
      <c r="B246" s="40" t="s">
        <v>883</v>
      </c>
      <c r="C246" s="40" t="s">
        <v>188</v>
      </c>
      <c r="E246" s="40" t="s">
        <v>885</v>
      </c>
    </row>
    <row r="247" spans="1:5" x14ac:dyDescent="0.25">
      <c r="A247" s="40">
        <v>246</v>
      </c>
      <c r="B247" s="40" t="s">
        <v>886</v>
      </c>
      <c r="C247" s="40" t="s">
        <v>887</v>
      </c>
      <c r="E247" s="40" t="s">
        <v>888</v>
      </c>
    </row>
    <row r="248" spans="1:5" x14ac:dyDescent="0.25">
      <c r="A248" s="40">
        <v>247</v>
      </c>
      <c r="B248" s="40" t="s">
        <v>889</v>
      </c>
      <c r="C248" s="40" t="s">
        <v>890</v>
      </c>
      <c r="E248" s="40" t="s">
        <v>891</v>
      </c>
    </row>
    <row r="249" spans="1:5" x14ac:dyDescent="0.25">
      <c r="A249" s="40">
        <v>248</v>
      </c>
      <c r="B249" s="40" t="s">
        <v>892</v>
      </c>
      <c r="C249" s="40" t="s">
        <v>887</v>
      </c>
      <c r="E249" s="40" t="s">
        <v>893</v>
      </c>
    </row>
    <row r="250" spans="1:5" x14ac:dyDescent="0.25">
      <c r="A250" s="40">
        <v>249</v>
      </c>
      <c r="B250" s="40" t="s">
        <v>894</v>
      </c>
      <c r="C250" s="40" t="s">
        <v>890</v>
      </c>
      <c r="E250" s="40" t="s">
        <v>895</v>
      </c>
    </row>
    <row r="251" spans="1:5" x14ac:dyDescent="0.25">
      <c r="A251" s="40">
        <v>250</v>
      </c>
      <c r="B251" s="40" t="s">
        <v>896</v>
      </c>
      <c r="C251" s="40" t="s">
        <v>897</v>
      </c>
      <c r="E251" s="40" t="s">
        <v>898</v>
      </c>
    </row>
    <row r="252" spans="1:5" x14ac:dyDescent="0.25">
      <c r="A252" s="40">
        <v>251</v>
      </c>
      <c r="B252" s="40" t="s">
        <v>899</v>
      </c>
      <c r="C252" s="40" t="s">
        <v>900</v>
      </c>
      <c r="E252" s="40" t="s">
        <v>901</v>
      </c>
    </row>
    <row r="253" spans="1:5" x14ac:dyDescent="0.25">
      <c r="A253" s="40">
        <v>252</v>
      </c>
      <c r="B253" s="40" t="s">
        <v>902</v>
      </c>
      <c r="C253" s="40" t="s">
        <v>903</v>
      </c>
      <c r="E253" s="40" t="s">
        <v>904</v>
      </c>
    </row>
    <row r="254" spans="1:5" x14ac:dyDescent="0.25">
      <c r="A254" s="40">
        <v>253</v>
      </c>
      <c r="B254" s="40" t="s">
        <v>905</v>
      </c>
      <c r="C254" s="40" t="s">
        <v>906</v>
      </c>
      <c r="E254" s="40" t="s">
        <v>907</v>
      </c>
    </row>
    <row r="255" spans="1:5" x14ac:dyDescent="0.25">
      <c r="A255" s="40">
        <v>254</v>
      </c>
      <c r="B255" s="40" t="s">
        <v>908</v>
      </c>
      <c r="C255" s="40" t="s">
        <v>909</v>
      </c>
      <c r="E255" s="40" t="s">
        <v>910</v>
      </c>
    </row>
    <row r="256" spans="1:5" x14ac:dyDescent="0.25">
      <c r="A256" s="40">
        <v>255</v>
      </c>
      <c r="B256" s="40" t="s">
        <v>911</v>
      </c>
      <c r="C256" s="40" t="s">
        <v>912</v>
      </c>
      <c r="E256" s="40" t="s">
        <v>913</v>
      </c>
    </row>
    <row r="257" spans="1:5" x14ac:dyDescent="0.25">
      <c r="A257" s="40">
        <v>256</v>
      </c>
      <c r="B257" s="40" t="s">
        <v>914</v>
      </c>
      <c r="C257" s="40" t="s">
        <v>915</v>
      </c>
      <c r="E257" s="40" t="s">
        <v>916</v>
      </c>
    </row>
    <row r="258" spans="1:5" x14ac:dyDescent="0.25">
      <c r="A258" s="40">
        <v>257</v>
      </c>
      <c r="B258" s="40" t="s">
        <v>917</v>
      </c>
      <c r="C258" s="40" t="s">
        <v>918</v>
      </c>
      <c r="E258" s="40" t="s">
        <v>919</v>
      </c>
    </row>
    <row r="259" spans="1:5" x14ac:dyDescent="0.25">
      <c r="A259" s="40">
        <v>258</v>
      </c>
      <c r="B259" s="40" t="s">
        <v>920</v>
      </c>
      <c r="C259" s="40" t="s">
        <v>921</v>
      </c>
      <c r="E259" s="40" t="s">
        <v>922</v>
      </c>
    </row>
    <row r="260" spans="1:5" x14ac:dyDescent="0.25">
      <c r="A260" s="40">
        <v>259</v>
      </c>
      <c r="B260" s="40" t="s">
        <v>923</v>
      </c>
      <c r="C260" s="40" t="s">
        <v>924</v>
      </c>
      <c r="E260" s="40" t="s">
        <v>925</v>
      </c>
    </row>
    <row r="261" spans="1:5" x14ac:dyDescent="0.25">
      <c r="A261" s="40">
        <v>260</v>
      </c>
      <c r="B261" s="40" t="s">
        <v>926</v>
      </c>
      <c r="C261" s="40" t="s">
        <v>927</v>
      </c>
      <c r="E261" s="40" t="s">
        <v>928</v>
      </c>
    </row>
    <row r="262" spans="1:5" x14ac:dyDescent="0.25">
      <c r="A262" s="40">
        <v>261</v>
      </c>
      <c r="B262" s="40" t="s">
        <v>929</v>
      </c>
      <c r="C262" s="40" t="s">
        <v>930</v>
      </c>
      <c r="E262" s="40" t="s">
        <v>931</v>
      </c>
    </row>
    <row r="263" spans="1:5" x14ac:dyDescent="0.25">
      <c r="A263" s="40">
        <v>262</v>
      </c>
      <c r="B263" s="40" t="s">
        <v>932</v>
      </c>
      <c r="C263" s="40" t="s">
        <v>933</v>
      </c>
      <c r="E263" s="40" t="s">
        <v>934</v>
      </c>
    </row>
    <row r="264" spans="1:5" x14ac:dyDescent="0.25">
      <c r="A264" s="40">
        <v>263</v>
      </c>
      <c r="B264" s="40" t="s">
        <v>935</v>
      </c>
      <c r="C264" s="40" t="s">
        <v>936</v>
      </c>
      <c r="E264" s="40" t="s">
        <v>937</v>
      </c>
    </row>
    <row r="265" spans="1:5" x14ac:dyDescent="0.25">
      <c r="A265" s="40">
        <v>264</v>
      </c>
      <c r="B265" s="40" t="s">
        <v>938</v>
      </c>
      <c r="C265" s="40" t="s">
        <v>939</v>
      </c>
      <c r="E265" s="40" t="s">
        <v>940</v>
      </c>
    </row>
    <row r="266" spans="1:5" x14ac:dyDescent="0.25">
      <c r="A266" s="40">
        <v>265</v>
      </c>
      <c r="B266" s="40" t="s">
        <v>941</v>
      </c>
      <c r="C266" s="40" t="s">
        <v>942</v>
      </c>
      <c r="E266" s="40" t="s">
        <v>943</v>
      </c>
    </row>
    <row r="267" spans="1:5" x14ac:dyDescent="0.25">
      <c r="A267" s="40">
        <v>266</v>
      </c>
      <c r="B267" s="40" t="s">
        <v>944</v>
      </c>
      <c r="C267" s="40" t="s">
        <v>945</v>
      </c>
      <c r="E267" s="40" t="s">
        <v>946</v>
      </c>
    </row>
    <row r="268" spans="1:5" x14ac:dyDescent="0.25">
      <c r="A268" s="40">
        <v>267</v>
      </c>
      <c r="B268" s="40" t="s">
        <v>947</v>
      </c>
      <c r="C268" s="40" t="s">
        <v>948</v>
      </c>
      <c r="E268" s="40" t="s">
        <v>949</v>
      </c>
    </row>
    <row r="269" spans="1:5" x14ac:dyDescent="0.25">
      <c r="A269" s="40">
        <v>268</v>
      </c>
      <c r="B269" s="40" t="s">
        <v>950</v>
      </c>
      <c r="C269" s="40" t="s">
        <v>951</v>
      </c>
      <c r="E269" s="40" t="s">
        <v>952</v>
      </c>
    </row>
    <row r="270" spans="1:5" x14ac:dyDescent="0.25">
      <c r="A270" s="40">
        <v>269</v>
      </c>
      <c r="B270" s="40" t="s">
        <v>953</v>
      </c>
      <c r="C270" s="40" t="s">
        <v>954</v>
      </c>
      <c r="E270" s="40" t="s">
        <v>955</v>
      </c>
    </row>
    <row r="271" spans="1:5" x14ac:dyDescent="0.25">
      <c r="A271" s="40">
        <v>270</v>
      </c>
      <c r="B271" s="40" t="s">
        <v>956</v>
      </c>
      <c r="C271" s="40" t="s">
        <v>957</v>
      </c>
      <c r="E271" s="40" t="s">
        <v>958</v>
      </c>
    </row>
    <row r="272" spans="1:5" x14ac:dyDescent="0.25">
      <c r="A272" s="40">
        <v>271</v>
      </c>
      <c r="B272" s="40" t="s">
        <v>959</v>
      </c>
      <c r="C272" s="40" t="s">
        <v>960</v>
      </c>
      <c r="E272" s="40" t="s">
        <v>961</v>
      </c>
    </row>
    <row r="273" spans="1:5" x14ac:dyDescent="0.25">
      <c r="A273" s="40">
        <v>272</v>
      </c>
      <c r="B273" s="40" t="s">
        <v>962</v>
      </c>
      <c r="C273" s="40" t="s">
        <v>963</v>
      </c>
      <c r="E273" s="40" t="s">
        <v>964</v>
      </c>
    </row>
    <row r="274" spans="1:5" x14ac:dyDescent="0.25">
      <c r="A274" s="40">
        <v>273</v>
      </c>
      <c r="B274" s="40" t="s">
        <v>965</v>
      </c>
      <c r="C274" s="40" t="s">
        <v>966</v>
      </c>
      <c r="E274" s="40" t="s">
        <v>967</v>
      </c>
    </row>
    <row r="275" spans="1:5" x14ac:dyDescent="0.25">
      <c r="A275" s="40">
        <v>274</v>
      </c>
      <c r="B275" s="40" t="s">
        <v>968</v>
      </c>
      <c r="C275" s="40" t="s">
        <v>969</v>
      </c>
      <c r="E275" s="40" t="s">
        <v>970</v>
      </c>
    </row>
    <row r="276" spans="1:5" x14ac:dyDescent="0.25">
      <c r="A276" s="40">
        <v>275</v>
      </c>
      <c r="B276" s="40" t="s">
        <v>971</v>
      </c>
      <c r="C276" s="40" t="s">
        <v>972</v>
      </c>
      <c r="E276" s="40" t="s">
        <v>973</v>
      </c>
    </row>
    <row r="277" spans="1:5" x14ac:dyDescent="0.25">
      <c r="A277" s="40">
        <v>276</v>
      </c>
      <c r="B277" s="40" t="s">
        <v>974</v>
      </c>
      <c r="C277" s="40" t="s">
        <v>903</v>
      </c>
      <c r="E277" s="40" t="s">
        <v>975</v>
      </c>
    </row>
    <row r="278" spans="1:5" x14ac:dyDescent="0.25">
      <c r="A278" s="40">
        <v>277</v>
      </c>
      <c r="B278" s="40" t="s">
        <v>976</v>
      </c>
      <c r="C278" s="40" t="s">
        <v>906</v>
      </c>
      <c r="E278" s="40" t="s">
        <v>977</v>
      </c>
    </row>
    <row r="279" spans="1:5" x14ac:dyDescent="0.25">
      <c r="A279" s="40">
        <v>278</v>
      </c>
      <c r="B279" s="40" t="s">
        <v>978</v>
      </c>
      <c r="C279" s="40" t="s">
        <v>979</v>
      </c>
      <c r="E279" s="40" t="s">
        <v>980</v>
      </c>
    </row>
    <row r="280" spans="1:5" x14ac:dyDescent="0.25">
      <c r="A280" s="40">
        <v>279</v>
      </c>
      <c r="B280" s="40" t="s">
        <v>981</v>
      </c>
      <c r="C280" s="40" t="s">
        <v>982</v>
      </c>
      <c r="E280" s="40" t="s">
        <v>983</v>
      </c>
    </row>
    <row r="281" spans="1:5" x14ac:dyDescent="0.25">
      <c r="A281" s="40">
        <v>280</v>
      </c>
      <c r="B281" s="40" t="s">
        <v>984</v>
      </c>
      <c r="C281" s="40" t="s">
        <v>985</v>
      </c>
      <c r="E281" s="40" t="s">
        <v>986</v>
      </c>
    </row>
    <row r="282" spans="1:5" x14ac:dyDescent="0.25">
      <c r="A282" s="40">
        <v>281</v>
      </c>
      <c r="B282" s="40" t="s">
        <v>987</v>
      </c>
      <c r="C282" s="40" t="s">
        <v>988</v>
      </c>
      <c r="E282" s="40" t="s">
        <v>989</v>
      </c>
    </row>
    <row r="283" spans="1:5" x14ac:dyDescent="0.25">
      <c r="A283" s="40">
        <v>282</v>
      </c>
      <c r="B283" s="40" t="s">
        <v>956</v>
      </c>
      <c r="C283" s="40" t="s">
        <v>990</v>
      </c>
    </row>
    <row r="284" spans="1:5" x14ac:dyDescent="0.25">
      <c r="A284" s="40">
        <v>283</v>
      </c>
      <c r="B284" s="40" t="s">
        <v>959</v>
      </c>
      <c r="C284" s="40" t="s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Neutral_Tandem</vt:lpstr>
      <vt:lpstr>American_Broadband</vt:lpstr>
      <vt:lpstr>Specific Names Main</vt:lpstr>
      <vt:lpstr>MTA</vt:lpstr>
      <vt:lpstr>ONVOY</vt:lpstr>
      <vt:lpstr>Peerless_Network</vt:lpstr>
      <vt:lpstr>MIEAC</vt:lpstr>
      <vt:lpstr>Selectronics</vt:lpstr>
      <vt:lpstr>Sprint</vt:lpstr>
      <vt:lpstr>BendTel</vt:lpstr>
      <vt:lpstr>GCI</vt:lpstr>
      <vt:lpstr>Prefix</vt:lpstr>
      <vt:lpstr>mps_database</vt:lpstr>
      <vt:lpstr>Specific Names draft</vt:lpstr>
      <vt:lpstr>Patterns</vt:lpstr>
      <vt:lpstr>Draft</vt:lpstr>
      <vt:lpstr>mps_database1</vt:lpstr>
      <vt:lpstr>mps_database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Rafek Gorgay</cp:lastModifiedBy>
  <dcterms:created xsi:type="dcterms:W3CDTF">2006-09-16T00:00:00Z</dcterms:created>
  <dcterms:modified xsi:type="dcterms:W3CDTF">2021-06-20T00:52:36Z</dcterms:modified>
</cp:coreProperties>
</file>