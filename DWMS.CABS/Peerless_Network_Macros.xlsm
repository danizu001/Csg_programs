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drawings/drawing2.xml" ContentType="application/vnd.openxmlformats-officedocument.drawing+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ThisWorkbook" defaultThemeVersion="124226"/>
  <mc:AlternateContent xmlns:mc="http://schemas.openxmlformats.org/markup-compatibility/2006">
    <mc:Choice Requires="x15">
      <x15ac:absPath xmlns:x15ac="http://schemas.microsoft.com/office/spreadsheetml/2010/11/ac" url="https://csgsystems-my.sharepoint.com/personal/nicolas_lopez_csgi_com/Documents/Documents/Gitworkspace/azure/DWMS.CABS/"/>
    </mc:Choice>
  </mc:AlternateContent>
  <xr:revisionPtr revIDLastSave="274" documentId="13_ncr:4000b_{E92299C0-E790-4473-9409-4C82EEC2FD23}" xr6:coauthVersionLast="47" xr6:coauthVersionMax="47" xr10:uidLastSave="{7996045B-23EE-4C0A-A87A-D41ACE614B96}"/>
  <bookViews>
    <workbookView xWindow="-110" yWindow="-110" windowWidth="19420" windowHeight="10420" tabRatio="836" xr2:uid="{00000000-000D-0000-FFFF-FFFF00000000}"/>
  </bookViews>
  <sheets>
    <sheet name="Peerless" sheetId="1" r:id="rId1"/>
    <sheet name="Sheet1" sheetId="16" r:id="rId2"/>
    <sheet name="States" sheetId="15" r:id="rId3"/>
    <sheet name="BAN Error Reporting" sheetId="4" state="hidden" r:id="rId4"/>
    <sheet name="Setting Up BANs" sheetId="2" r:id="rId5"/>
    <sheet name="Adjustments" sheetId="3" state="hidden" r:id="rId6"/>
    <sheet name="Payments" sheetId="5" state="hidden" r:id="rId7"/>
    <sheet name="Per Call Charges" sheetId="6" state="hidden" r:id="rId8"/>
    <sheet name="Preliminary MOU Balancing" sheetId="7" state="hidden" r:id="rId9"/>
    <sheet name="Special Reporting" sheetId="8" r:id="rId10"/>
    <sheet name="Rates" sheetId="9" r:id="rId11"/>
    <sheet name="Thresholding steps" sheetId="10" r:id="rId12"/>
    <sheet name="Reports" sheetId="12" r:id="rId13"/>
  </sheets>
  <definedNames>
    <definedName name="_xlnm._FilterDatabase" localSheetId="12" hidden="1">Reports!$A$1:$I$37</definedName>
    <definedName name="_xlnm._FilterDatabase" localSheetId="2" hidden="1">States!$A$2:$N$32</definedName>
    <definedName name="_xlnm.Print_Area" localSheetId="0">Peerless!$A$1:$E$31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8" i="7" l="1"/>
  <c r="B19" i="7"/>
  <c r="B21" i="7"/>
  <c r="D49" i="5"/>
  <c r="D48" i="5"/>
  <c r="D47" i="5"/>
  <c r="D46" i="5"/>
  <c r="D45" i="5"/>
  <c r="D44" i="5"/>
  <c r="D43" i="5"/>
  <c r="D42" i="5"/>
  <c r="D41" i="5"/>
  <c r="D40" i="5"/>
  <c r="D39" i="5"/>
  <c r="D38" i="5"/>
  <c r="D37" i="5"/>
  <c r="D36" i="5"/>
  <c r="D35" i="5"/>
  <c r="D34" i="5"/>
  <c r="D33" i="5"/>
  <c r="D32" i="5"/>
  <c r="D31" i="5"/>
  <c r="C26" i="5"/>
  <c r="C25" i="5"/>
  <c r="C24" i="5"/>
  <c r="C23" i="5"/>
  <c r="C22" i="5"/>
  <c r="C21" i="5"/>
  <c r="C20" i="5"/>
  <c r="C19" i="5"/>
  <c r="C18" i="5"/>
  <c r="C17" i="5"/>
  <c r="C16" i="5"/>
  <c r="C15" i="5"/>
  <c r="C14" i="5"/>
  <c r="C11" i="5"/>
  <c r="C10" i="5"/>
  <c r="A3" i="4"/>
  <c r="A2" i="4"/>
  <c r="B126" i="4"/>
  <c r="B125" i="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shane.armstrong</author>
  </authors>
  <commentList>
    <comment ref="E7" authorId="0" shapeId="0" xr:uid="{00000000-0006-0000-0100-000001000000}">
      <text>
        <r>
          <rPr>
            <b/>
            <sz val="8"/>
            <color indexed="81"/>
            <rFont val="Tahoma"/>
            <family val="2"/>
          </rPr>
          <t>shane.armstrong:</t>
        </r>
        <r>
          <rPr>
            <sz val="8"/>
            <color indexed="81"/>
            <rFont val="Tahoma"/>
            <family val="2"/>
          </rPr>
          <t xml:space="preserve">
setup for 1/5/2015 but no usage received</t>
        </r>
      </text>
    </comment>
    <comment ref="E9" authorId="0" shapeId="0" xr:uid="{00000000-0006-0000-0100-000002000000}">
      <text>
        <r>
          <rPr>
            <b/>
            <sz val="8"/>
            <color indexed="81"/>
            <rFont val="Tahoma"/>
            <family val="2"/>
          </rPr>
          <t>shane.armstrong:</t>
        </r>
        <r>
          <rPr>
            <sz val="8"/>
            <color indexed="81"/>
            <rFont val="Tahoma"/>
            <family val="2"/>
          </rPr>
          <t xml:space="preserve">
setup for 1/5/2015 but no usage received</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shane.armstrong</author>
  </authors>
  <commentList>
    <comment ref="B60" authorId="0" shapeId="0" xr:uid="{00000000-0006-0000-0300-000001000000}">
      <text>
        <r>
          <rPr>
            <b/>
            <sz val="8"/>
            <color indexed="81"/>
            <rFont val="Tahoma"/>
            <family val="2"/>
          </rPr>
          <t>shane.armstrong:</t>
        </r>
        <r>
          <rPr>
            <sz val="8"/>
            <color indexed="81"/>
            <rFont val="Tahoma"/>
            <family val="2"/>
          </rPr>
          <t xml:space="preserve">
These GL Codes are NOT on the SOC or account.  The report named peerless_gl_extract_v1 associates the type of account with the right GL Code for reporting purposes only.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AShelton</author>
  </authors>
  <commentList>
    <comment ref="A8" authorId="0" shapeId="0" xr:uid="{00000000-0006-0000-0700-000001000000}">
      <text>
        <r>
          <rPr>
            <b/>
            <sz val="8"/>
            <color indexed="81"/>
            <rFont val="Tahoma"/>
            <family val="2"/>
          </rPr>
          <t>AShelton:</t>
        </r>
        <r>
          <rPr>
            <sz val="8"/>
            <color indexed="81"/>
            <rFont val="Tahoma"/>
            <family val="2"/>
          </rPr>
          <t xml:space="preserve">
Enter from customer email</t>
        </r>
      </text>
    </comment>
    <comment ref="A15" authorId="0" shapeId="0" xr:uid="{00000000-0006-0000-0700-000002000000}">
      <text>
        <r>
          <rPr>
            <b/>
            <sz val="8"/>
            <color indexed="81"/>
            <rFont val="Tahoma"/>
            <family val="2"/>
          </rPr>
          <t>AShelton:</t>
        </r>
        <r>
          <rPr>
            <sz val="8"/>
            <color indexed="81"/>
            <rFont val="Tahoma"/>
            <family val="2"/>
          </rPr>
          <t xml:space="preserve">
Enter MOUs from Thresheld Report
</t>
        </r>
      </text>
    </comment>
    <comment ref="A17" authorId="0" shapeId="0" xr:uid="{00000000-0006-0000-0700-000003000000}">
      <text>
        <r>
          <rPr>
            <b/>
            <sz val="8"/>
            <color indexed="81"/>
            <rFont val="Tahoma"/>
            <family val="2"/>
          </rPr>
          <t>AShelton:</t>
        </r>
        <r>
          <rPr>
            <sz val="8"/>
            <color indexed="81"/>
            <rFont val="Tahoma"/>
            <family val="2"/>
          </rPr>
          <t xml:space="preserve">
Enter MOUs from Usage by Day saved to Excel. Filter by usage prior to 1st (first day in cycle)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Shane Armstrong</author>
  </authors>
  <commentList>
    <comment ref="F38" authorId="0" shapeId="0" xr:uid="{00000000-0006-0000-0900-000001000000}">
      <text>
        <r>
          <rPr>
            <b/>
            <sz val="8"/>
            <color indexed="81"/>
            <rFont val="Tahoma"/>
            <family val="2"/>
          </rPr>
          <t>Shane Armstrong:</t>
        </r>
        <r>
          <rPr>
            <sz val="8"/>
            <color indexed="81"/>
            <rFont val="Tahoma"/>
            <family val="2"/>
          </rPr>
          <t xml:space="preserve">
The only Tandem OCN BANs are Transit BANs with T in the middle and T at the end.  These are contract driven rates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Sara Smith</author>
  </authors>
  <commentList>
    <comment ref="B5" authorId="0" shapeId="0" xr:uid="{00000000-0006-0000-0B00-000001000000}">
      <text>
        <r>
          <rPr>
            <b/>
            <sz val="9"/>
            <color indexed="81"/>
            <rFont val="Tahoma"/>
            <family val="2"/>
          </rPr>
          <t>Sara Smith:</t>
        </r>
        <r>
          <rPr>
            <sz val="9"/>
            <color indexed="81"/>
            <rFont val="Tahoma"/>
            <family val="2"/>
          </rPr>
          <t xml:space="preserve">
Active BANs</t>
        </r>
      </text>
    </comment>
    <comment ref="B9" authorId="0" shapeId="0" xr:uid="{00000000-0006-0000-0B00-000002000000}">
      <text>
        <r>
          <rPr>
            <b/>
            <sz val="9"/>
            <color indexed="81"/>
            <rFont val="Tahoma"/>
            <family val="2"/>
          </rPr>
          <t>Sara Smith:</t>
        </r>
        <r>
          <rPr>
            <sz val="9"/>
            <color indexed="81"/>
            <rFont val="Tahoma"/>
            <family val="2"/>
          </rPr>
          <t xml:space="preserve">
</t>
        </r>
      </text>
    </comment>
    <comment ref="B10" authorId="0" shapeId="0" xr:uid="{00000000-0006-0000-0B00-000003000000}">
      <text>
        <r>
          <rPr>
            <b/>
            <sz val="9"/>
            <color indexed="81"/>
            <rFont val="Tahoma"/>
            <family val="2"/>
          </rPr>
          <t>Sara Smith:</t>
        </r>
        <r>
          <rPr>
            <sz val="9"/>
            <color indexed="81"/>
            <rFont val="Tahoma"/>
            <family val="2"/>
          </rPr>
          <t xml:space="preserve">
Invoice Count</t>
        </r>
      </text>
    </comment>
    <comment ref="B18" authorId="0" shapeId="0" xr:uid="{00000000-0006-0000-0B00-000004000000}">
      <text>
        <r>
          <rPr>
            <b/>
            <sz val="9"/>
            <color indexed="81"/>
            <rFont val="Tahoma"/>
            <family val="2"/>
          </rPr>
          <t>Sara Smith:</t>
        </r>
        <r>
          <rPr>
            <sz val="9"/>
            <color indexed="81"/>
            <rFont val="Tahoma"/>
            <family val="2"/>
          </rPr>
          <t xml:space="preserve">
Threshold by Period</t>
        </r>
      </text>
    </comment>
  </commentList>
</comments>
</file>

<file path=xl/sharedStrings.xml><?xml version="1.0" encoding="utf-8"?>
<sst xmlns="http://schemas.openxmlformats.org/spreadsheetml/2006/main" count="1249" uniqueCount="732">
  <si>
    <t>Company Name</t>
  </si>
  <si>
    <t>Client Type</t>
  </si>
  <si>
    <t>Overall FCCID</t>
  </si>
  <si>
    <t>State</t>
  </si>
  <si>
    <t>FCCID</t>
  </si>
  <si>
    <t>Bill Date</t>
  </si>
  <si>
    <t>First Bill cycle</t>
  </si>
  <si>
    <t>Negotiated rates</t>
  </si>
  <si>
    <t>Files received from</t>
  </si>
  <si>
    <t>FTP-Sent from Client</t>
  </si>
  <si>
    <t>Delete Usage  &lt;5.00 under</t>
  </si>
  <si>
    <t>Special PIU Carriers:</t>
  </si>
  <si>
    <t>Special instructions:</t>
  </si>
  <si>
    <t>Peerless Network</t>
  </si>
  <si>
    <t>Oracle v4.0.2</t>
  </si>
  <si>
    <t>063E</t>
  </si>
  <si>
    <t>PA</t>
  </si>
  <si>
    <t>NY</t>
  </si>
  <si>
    <t>155E</t>
  </si>
  <si>
    <t>967E</t>
  </si>
  <si>
    <t>Chicago, IL  60606</t>
  </si>
  <si>
    <t>107F</t>
  </si>
  <si>
    <t>225F</t>
  </si>
  <si>
    <t>264F</t>
  </si>
  <si>
    <t>MN</t>
  </si>
  <si>
    <t>MO</t>
  </si>
  <si>
    <t>NJ</t>
  </si>
  <si>
    <t>373F</t>
  </si>
  <si>
    <t>CA</t>
  </si>
  <si>
    <t>Customer Approval on billing before it is sent FF</t>
  </si>
  <si>
    <t>Facility/Tandem Company</t>
  </si>
  <si>
    <t>Contact  Bob 248-538-5118</t>
  </si>
  <si>
    <t>222 South Riverside Plaza</t>
  </si>
  <si>
    <t>Suite 2730</t>
  </si>
  <si>
    <t>List of Deactivated BANs is in customer information folder, reference before setting up a BAN</t>
  </si>
  <si>
    <t>227F</t>
  </si>
  <si>
    <t>539F</t>
  </si>
  <si>
    <t>WI</t>
  </si>
  <si>
    <t>CT</t>
  </si>
  <si>
    <t>FL</t>
  </si>
  <si>
    <t>GA</t>
  </si>
  <si>
    <t>902E</t>
  </si>
  <si>
    <t>909E</t>
  </si>
  <si>
    <t>See file labeled Usage DataSets Received_012111 filed at</t>
  </si>
  <si>
    <t>K:\Client\Peerless Network\Customer Information</t>
  </si>
  <si>
    <t>Yes, see factor matrix</t>
  </si>
  <si>
    <t xml:space="preserve">BAN Error Report guidelines: </t>
  </si>
  <si>
    <t xml:space="preserve">CLLI Error report guidelines: </t>
  </si>
  <si>
    <t>Send CLLI error report monthly to Bob for review. Bob will either provide permission to proceed without additional</t>
  </si>
  <si>
    <t>changes for he will provide an updated CLLI mapping which will have to be provided in a Remedy ticket to Gerry</t>
  </si>
  <si>
    <t>for updates to be made and then error files processed</t>
  </si>
  <si>
    <t xml:space="preserve">Prior to 5/5/11 bill cycle, all special rates were provided and updates were highlighted in red text. </t>
  </si>
  <si>
    <r>
      <rPr>
        <b/>
        <sz val="12"/>
        <color indexed="10"/>
        <rFont val="Arial"/>
        <family val="2"/>
      </rPr>
      <t>Rates:</t>
    </r>
    <r>
      <rPr>
        <sz val="12"/>
        <rFont val="Arial"/>
        <family val="2"/>
      </rPr>
      <t xml:space="preserve"> Bob provides monthly updates via remedy tickets. Effective 5/5/11 bill cycle only changes are provided. </t>
    </r>
  </si>
  <si>
    <t>Balancing Tips:</t>
  </si>
  <si>
    <t>SBT - MMR = Difference should be Adj + OCC</t>
  </si>
  <si>
    <t>TRX Summ - SBT = Difference should be OCC + LPCs</t>
  </si>
  <si>
    <t>Notes:</t>
  </si>
  <si>
    <t>Save a copy of the master adjustments spreadsheet to the billing reports folder and the adjustments folder on K</t>
  </si>
  <si>
    <t>K:Client\Peerless\Adjustments\Year\MM_YY</t>
  </si>
  <si>
    <t>K:Client\Peerless\Reports\MM_YY</t>
  </si>
  <si>
    <t xml:space="preserve">When posting adjustments, verify the total you are posting for an FCCID matches the total from the PEERLESS provided adjustments spreadsheet. </t>
  </si>
  <si>
    <t xml:space="preserve">After producing the bills and running an adjustment report, verify the total matches the PEERLESS provided adjustments spreadsheet. </t>
  </si>
  <si>
    <t>References:</t>
  </si>
  <si>
    <t>PEERLESS provided adjustments - Refers to the original spreadsheet provided by Bob Sherman in the remedy ticket</t>
  </si>
  <si>
    <t>CSG provided adjustments - Refers to the adjustment spreadsheet that CSG alters to include the SOC and jurisdictions</t>
  </si>
  <si>
    <t xml:space="preserve">From PEERLESS provided adjustments spreadsheet from Feb: </t>
  </si>
  <si>
    <t>Sort the spreadsheet by BAN, this will making totaling by FCCID easier</t>
  </si>
  <si>
    <t>Billing Account #</t>
  </si>
  <si>
    <t>Customer Name</t>
  </si>
  <si>
    <t>Inv #</t>
  </si>
  <si>
    <t>Adjustment Amount</t>
  </si>
  <si>
    <t>Adjustment Description to Appear on Invoice</t>
  </si>
  <si>
    <t>Jurisdiction</t>
  </si>
  <si>
    <t>SOC</t>
  </si>
  <si>
    <t>Commission Credit</t>
  </si>
  <si>
    <t>ST</t>
  </si>
  <si>
    <t>DEO-T</t>
  </si>
  <si>
    <t>063ED5997T</t>
  </si>
  <si>
    <t>GlobalCom - First Communications</t>
  </si>
  <si>
    <t>D5997T120105</t>
  </si>
  <si>
    <t>IS</t>
  </si>
  <si>
    <t>TRNA</t>
  </si>
  <si>
    <t xml:space="preserve">CSG uses invoice balance by jurisidiction report and submits the adjustments below: </t>
  </si>
  <si>
    <t xml:space="preserve">Determining the SOC to be used: </t>
  </si>
  <si>
    <t>BANs ending in E</t>
  </si>
  <si>
    <t>BANs ending in T</t>
  </si>
  <si>
    <t>BANs with no letter on end</t>
  </si>
  <si>
    <t>Interstate</t>
  </si>
  <si>
    <t>Intrastate</t>
  </si>
  <si>
    <t>Local</t>
  </si>
  <si>
    <t>RECIP-COMP-D</t>
  </si>
  <si>
    <t>RECIPCOMPT</t>
  </si>
  <si>
    <t xml:space="preserve">Peerless provides total adjustments. </t>
  </si>
  <si>
    <t xml:space="preserve">CSG then runs the invoice_balance_by_juris report from Infomaker and identifies any instances where the adjustment needs to be applied at the jurisdictional level. </t>
  </si>
  <si>
    <t xml:space="preserve">See examples below: </t>
  </si>
  <si>
    <t xml:space="preserve">If the total amount of the adjustment provided by Peerless equals the total amount on the Invoice Balance by Jurisdiction report for the same invoice then CSG breaksout the adjustment by jurisdiction. </t>
  </si>
  <si>
    <t>If the total amount of the adjustment provided by Peerless DOES NOT equal the total amount on the invoice balance by jurisdiction report for the same invoice, then CSG DOES NOT breakout the adjustment, but leaves it as it was provided. Choose a jurisdiction with the largest balance</t>
  </si>
  <si>
    <t>Formatting, sorting, and subtotaling the BAN error report</t>
  </si>
  <si>
    <t>Insert a column between H and I</t>
  </si>
  <si>
    <t>Label the column Match?</t>
  </si>
  <si>
    <t>In the first cell in your newly created column, enter the following formula</t>
  </si>
  <si>
    <t>=if(A2=H2,"YES")</t>
  </si>
  <si>
    <t>Copy this formula all the way down your newly created column I</t>
  </si>
  <si>
    <t>Label your tab "original"</t>
  </si>
  <si>
    <t>Then copy this same tab to 3 new tabs:</t>
  </si>
  <si>
    <t>D - Match</t>
  </si>
  <si>
    <t>D - Mismatch</t>
  </si>
  <si>
    <t>O - Match</t>
  </si>
  <si>
    <t>Note: You should not have any O - Mismatch, but if you do, they would go on a 4th tab)</t>
  </si>
  <si>
    <t xml:space="preserve">D - Match </t>
  </si>
  <si>
    <t>Should include only entries with a cic_list of D (column D) and a Match of Yes (column I)</t>
  </si>
  <si>
    <r>
      <t xml:space="preserve">Once you've copied the information to the new tab, you will need to </t>
    </r>
    <r>
      <rPr>
        <b/>
        <sz val="10"/>
        <color indexed="10"/>
        <rFont val="Arial"/>
        <family val="2"/>
      </rPr>
      <t>delete</t>
    </r>
    <r>
      <rPr>
        <sz val="10"/>
        <rFont val="Arial"/>
        <family val="2"/>
      </rPr>
      <t xml:space="preserve"> the unncessary information from the new tabs. Do not just filter the unneeded information. </t>
    </r>
  </si>
  <si>
    <t>Should include only entries with a cic_list of D (column D) and a Match of No (column I)</t>
  </si>
  <si>
    <t>O - Mismatch (if needed)</t>
  </si>
  <si>
    <t>Should include only entries with a cic_list of O (column D) and a Match of Yes (column I)</t>
  </si>
  <si>
    <t>Should include only entries with a cic_list of O (column D) and a Match of No (column I)</t>
  </si>
  <si>
    <t xml:space="preserve">Subtotaling: </t>
  </si>
  <si>
    <t>Sort by FCCID, CIC List, and then CIC (IN THIS ORDER)</t>
  </si>
  <si>
    <t>Once the above formatting is complete, then you will need to subtotal the D - Match, D - Mismatch, and O - Match tabs only. The original tab does NOT get subtotaled</t>
  </si>
  <si>
    <t xml:space="preserve">Subtotal each tab as follows: </t>
  </si>
  <si>
    <t xml:space="preserve">Click OK. The tab will subtotal. </t>
  </si>
  <si>
    <t>Once the subtotal is complete, then click on the minutes column header (usually K1) and your sort Z to A button</t>
  </si>
  <si>
    <t xml:space="preserve">This will cause the minutes to sort from largest to smallest. </t>
  </si>
  <si>
    <t>Once sorted, you will need to review and highlight any BANs the customer needs to review for set up based on the amounts listed:</t>
  </si>
  <si>
    <t xml:space="preserve">Example: </t>
  </si>
  <si>
    <t xml:space="preserve">For list of do not set up/deactivated Bans, reference the prior month's BAN error report. </t>
  </si>
  <si>
    <t>Formatting and sorting</t>
  </si>
  <si>
    <t xml:space="preserve"> Save the file periodically as the file is so large it will sometime freeze during subtotalling. The O-Match subtotal can take up to 25 minutes. </t>
  </si>
  <si>
    <t>BANs with a T in the middle</t>
  </si>
  <si>
    <t>Contain End Office Traffic - The CLLIs on these BANs are Peerless End Office switches
Usually OCN BANs are only set up with a BAN ending in E. The exception to this rule is for the BANs with a T in the middle. 
All CIC BANs set up will be set up with a BAN ending in E and T</t>
  </si>
  <si>
    <t>Contain Tandem Traffic - The CLLIs on these BANs are Tandem switches
All CIC BANs set up will be set up with a BAN ending in E and T</t>
  </si>
  <si>
    <t>Contain TRANSIT routed traffic
OCNs: 5917, 6232, 6664
Should have a BAN ending in E and T</t>
  </si>
  <si>
    <t>These are the "old" BANs. All traffic was previously billed on the BAN with no letter on the end. 
NO NEW BAN should be set up without a letter on the end
Any BAN still active has a dummy CLLI and is active because there is still a balance to be paid</t>
  </si>
  <si>
    <t>If zero rate is listed, the rate schedule should be tariff and add zero rated SOCs ONLY</t>
  </si>
  <si>
    <t>If tariff is listed with NO local rate, the rate schedule should be tariff</t>
  </si>
  <si>
    <t xml:space="preserve">If tariff is listed AND a LOCAL rate supplied, the BAN will have to be placed on a special rate schedule. Review existing BANs to determine if the special rate structure exist. If not, one will have to be added. </t>
  </si>
  <si>
    <t>If a specific rate schedule is listed, then most likely, that rate schedule is already set up and should be selected</t>
  </si>
  <si>
    <t>SOCs</t>
  </si>
  <si>
    <t>DEO-O, DEO-T, DEO-P-O, DEO-P-T, DEO-T-TER, DEO-T-TRA, QB, TFT, TFT-P-O, TFT-P-T</t>
  </si>
  <si>
    <t>TRNA, TRNA-O, TRNA-T, TRNA-P-O, TRNA-P-T, TRNA-T-TER, TRNA-T-TRA,  TFT, TFT-P-O, TFT-P-T</t>
  </si>
  <si>
    <t>BAN Structure and Setup</t>
  </si>
  <si>
    <t>If a BAN already exist for the rate schedule you are setting up, choose the same SOCs</t>
  </si>
  <si>
    <t xml:space="preserve">If a new rate schedule is being set up, you will need to use the below guidelines for determining which SOC should be added: </t>
  </si>
  <si>
    <t>DEO-O</t>
  </si>
  <si>
    <t>DEO-P-O</t>
  </si>
  <si>
    <t>DEO-P-T</t>
  </si>
  <si>
    <t>TFT</t>
  </si>
  <si>
    <t>TFT-P-O</t>
  </si>
  <si>
    <t>TFT-P-T</t>
  </si>
  <si>
    <t>DEO-T-TER</t>
  </si>
  <si>
    <t>DEO-T-TRA</t>
  </si>
  <si>
    <t>DEO-P-T-TER</t>
  </si>
  <si>
    <t>DEO-P-T-TRA</t>
  </si>
  <si>
    <t>QB</t>
  </si>
  <si>
    <t>TRNA-O</t>
  </si>
  <si>
    <t>TRNA-T</t>
  </si>
  <si>
    <t>TRNA-P-O</t>
  </si>
  <si>
    <t>TRNA-P-T</t>
  </si>
  <si>
    <t>TRNA-T-TER</t>
  </si>
  <si>
    <t>TRNA-T-TRA</t>
  </si>
  <si>
    <t>TRNA-P-T-TER</t>
  </si>
  <si>
    <t>TRNA-P-T-TRA</t>
  </si>
  <si>
    <t>Applies to which BAN type</t>
  </si>
  <si>
    <t>DEO</t>
  </si>
  <si>
    <t>All end office traffic</t>
  </si>
  <si>
    <t>Originating End office traffic</t>
  </si>
  <si>
    <t>Terminating End office traffic</t>
  </si>
  <si>
    <t>PVU factored originating end office traffic</t>
  </si>
  <si>
    <t>PVU factored terminating end office traffic</t>
  </si>
  <si>
    <t>CIC BANs ending in E and T on a tariff rate or ATT Contract rate schedule, does NOT apply to OCN BANs</t>
  </si>
  <si>
    <t>All terminating inTERlata end office traffic</t>
  </si>
  <si>
    <t>All terminating inTRAlata end office traffic</t>
  </si>
  <si>
    <t>PVU factored terminating inTERlata end office traffic</t>
  </si>
  <si>
    <t>PVU factored terminating inTRAlata end office traffic</t>
  </si>
  <si>
    <t>Database Queries (must be on BAN to enter Per Call Charges)</t>
  </si>
  <si>
    <t>All Tandem routed traffic</t>
  </si>
  <si>
    <t>Originating tandem routed traffic</t>
  </si>
  <si>
    <t>Terminating tandem routed traffic</t>
  </si>
  <si>
    <t>Applies to Jurisdiction</t>
  </si>
  <si>
    <t>Applies to Traffic</t>
  </si>
  <si>
    <t>IS/ST</t>
  </si>
  <si>
    <t>LOC</t>
  </si>
  <si>
    <t>BANS ending in T</t>
  </si>
  <si>
    <t>BANS ending in E</t>
  </si>
  <si>
    <t>PVU factored originating tandem routed traffic</t>
  </si>
  <si>
    <t>PVU factored terminating tandem routed traffic</t>
  </si>
  <si>
    <t>All terminating inTERlata tandem routed traffic</t>
  </si>
  <si>
    <t>All terminating inTRAlata tandem routed traffic</t>
  </si>
  <si>
    <t>PVU factored terminating inTERlata tandem routed traffic</t>
  </si>
  <si>
    <t>PVU factored terminating inTRAlata tandem routed traffic</t>
  </si>
  <si>
    <t>Local Tandem routed traffic</t>
  </si>
  <si>
    <t>Local end office routed traffic</t>
  </si>
  <si>
    <t xml:space="preserve">1 - Once Bob provides the list of BANs to set up use the above guidelines to determine how the BAN should be set up. </t>
  </si>
  <si>
    <t>2 - All BANs should be set up with a rate schedule, Bob will indicate what type of rate schedule in most cases</t>
  </si>
  <si>
    <t>3 - Validate any new BAN set up</t>
  </si>
  <si>
    <t>4 - Adding SOCs</t>
  </si>
  <si>
    <t>Any invoice validated should be placed in the validated invoices folder</t>
  </si>
  <si>
    <t xml:space="preserve">**PVU factored rates can be found in the factor folder: </t>
  </si>
  <si>
    <t>K:\Client\Peerless Network\Factors\PVU_Discount_Factor_Matrix_MM_YYYY.xls</t>
  </si>
  <si>
    <t>Payments are imported like all other customers</t>
  </si>
  <si>
    <t xml:space="preserve">Frequently you will find invoice numbers provided are not correct. </t>
  </si>
  <si>
    <t>If this happens, then use an ATB to try to locate the correct invoice number</t>
  </si>
  <si>
    <t>If the correct invoice number can be found, update the spreadsheet</t>
  </si>
  <si>
    <t>All corrected information should be saved in the payment folder with _corrections in the spreadsheet</t>
  </si>
  <si>
    <t>Attach the corrected information to the ticket submitted by the customer</t>
  </si>
  <si>
    <t>If it cannot be located, then you will have to contact the customer for direction</t>
  </si>
  <si>
    <t>Payment folder should have:</t>
  </si>
  <si>
    <t>Original spreadsheet from customer</t>
  </si>
  <si>
    <t>Spreadsheet you altered for importing purposes</t>
  </si>
  <si>
    <t>Save customer provided spreadsheet to the payment folder and to the reports folder as the #8 Payment documentation step</t>
  </si>
  <si>
    <t xml:space="preserve">Save a copy of the spreadsheet with _import. This spreadsheet will be formatted for importing. </t>
  </si>
  <si>
    <t>BAN</t>
  </si>
  <si>
    <t>TxnDate</t>
  </si>
  <si>
    <t>RefNumber</t>
  </si>
  <si>
    <t>Invoice Number</t>
  </si>
  <si>
    <t>Amount</t>
  </si>
  <si>
    <t>AT&amp;T</t>
  </si>
  <si>
    <t>902ED0288T</t>
  </si>
  <si>
    <t>26925016</t>
  </si>
  <si>
    <t>D0288T120106</t>
  </si>
  <si>
    <t>NETCARRIER</t>
  </si>
  <si>
    <t>264FD6426</t>
  </si>
  <si>
    <t>31268</t>
  </si>
  <si>
    <t>D6426111107</t>
  </si>
  <si>
    <t>D6426111207</t>
  </si>
  <si>
    <t>D6426120105</t>
  </si>
  <si>
    <t>967ED6426</t>
  </si>
  <si>
    <t>31269</t>
  </si>
  <si>
    <t>D6426100907</t>
  </si>
  <si>
    <t>D6426101008</t>
  </si>
  <si>
    <t>D6426101103</t>
  </si>
  <si>
    <t>D6426101203</t>
  </si>
  <si>
    <t>D6426110106</t>
  </si>
  <si>
    <t>967ED6426E</t>
  </si>
  <si>
    <t>D6426E110607</t>
  </si>
  <si>
    <t>D6426E110707</t>
  </si>
  <si>
    <t>D6426E110804</t>
  </si>
  <si>
    <t>D6426E110907</t>
  </si>
  <si>
    <t>D6426E111005</t>
  </si>
  <si>
    <t>D6426E111107</t>
  </si>
  <si>
    <t>D6426E111207</t>
  </si>
  <si>
    <t>D6426E120106</t>
  </si>
  <si>
    <t xml:space="preserve">Customer spreadsheet will contain the following: </t>
  </si>
  <si>
    <t xml:space="preserve">You will have to format to the following: </t>
  </si>
  <si>
    <t>INFOTELECOM</t>
  </si>
  <si>
    <t>373FO276DE</t>
  </si>
  <si>
    <t>5062</t>
  </si>
  <si>
    <t>O276DE120406</t>
  </si>
  <si>
    <t>909EO276DE</t>
  </si>
  <si>
    <t>XTEL</t>
  </si>
  <si>
    <t>264FD0924T</t>
  </si>
  <si>
    <t>10766</t>
  </si>
  <si>
    <t>D0924T120510</t>
  </si>
  <si>
    <t>Pointe Communicatons</t>
  </si>
  <si>
    <t>373FO2595</t>
  </si>
  <si>
    <t>13327</t>
  </si>
  <si>
    <t>O2595091106</t>
  </si>
  <si>
    <t>O2595100110</t>
  </si>
  <si>
    <t>O2595100203</t>
  </si>
  <si>
    <t>O2595100401</t>
  </si>
  <si>
    <t>O2595100510</t>
  </si>
  <si>
    <t>O2595100608</t>
  </si>
  <si>
    <t>O2595100708</t>
  </si>
  <si>
    <t>O2595100805</t>
  </si>
  <si>
    <t>O2595100907</t>
  </si>
  <si>
    <t>O2595101008</t>
  </si>
  <si>
    <t>O2595101103</t>
  </si>
  <si>
    <t>O2595101203</t>
  </si>
  <si>
    <t>O2595110106</t>
  </si>
  <si>
    <t>O2595110202</t>
  </si>
  <si>
    <t>O2595110304</t>
  </si>
  <si>
    <t>SERVICE ELECTRIC TELEPHONE, INC.</t>
  </si>
  <si>
    <t>967EO8320E</t>
  </si>
  <si>
    <t>18055</t>
  </si>
  <si>
    <t>O8320E120406</t>
  </si>
  <si>
    <t>Start by sorting your spreadsheet by check number</t>
  </si>
  <si>
    <t>Copy the amount and insert into column A (Check Amount)</t>
  </si>
  <si>
    <t>****Once you do this and finish the rest of your formatting, you can attempt the import, however, at times, the utility will find the same dollar amount listed and give you an error message.*****</t>
  </si>
  <si>
    <t xml:space="preserve">If this happens, you will have to: </t>
  </si>
  <si>
    <t>Sum the amounts for each check to get a total check amount. This amount will then need to be entered into the check amount field (column A) for all entries for  that check number</t>
  </si>
  <si>
    <t>An audit report</t>
  </si>
  <si>
    <t>A final report after the import into CABS</t>
  </si>
  <si>
    <t>Per Call Charges</t>
  </si>
  <si>
    <t>Provided via a Remedy ticket</t>
  </si>
  <si>
    <t>Save spreadsheet to reports folder</t>
  </si>
  <si>
    <t>PCC are ONLY entered on BANs ending in E</t>
  </si>
  <si>
    <t>Only entered the PCC if the Non-MOU Entry window has a bucket</t>
  </si>
  <si>
    <t>If NON-MOU entry window does not have the bucket AND there is enough queries to equate to more than $25, then go to the BAN and add the QB SOC to the BAN</t>
  </si>
  <si>
    <t>NECA_Co_Code</t>
  </si>
  <si>
    <t>CIC</t>
  </si>
  <si>
    <t>CIC_Name</t>
  </si>
  <si>
    <t>Calls</t>
  </si>
  <si>
    <t>ATX Telecommunications Services, Ltd.</t>
  </si>
  <si>
    <t>First Communications, LLC</t>
  </si>
  <si>
    <t>MCIWorldCom</t>
  </si>
  <si>
    <t>Global Crossing North American Networks, Inc.</t>
  </si>
  <si>
    <t>MCI Communications Services, Inc. (wholly owned su</t>
  </si>
  <si>
    <t>Primus Telecommunications, Inc.</t>
  </si>
  <si>
    <t>Global Crossing Telecommunications, Inc.</t>
  </si>
  <si>
    <t>AT&amp;T Communications</t>
  </si>
  <si>
    <t>Sprint Communications Company, LP</t>
  </si>
  <si>
    <t>Rogers Telecom Inc.</t>
  </si>
  <si>
    <t>Logix Communications, L.P.</t>
  </si>
  <si>
    <t>From PCC spreadsheet</t>
  </si>
  <si>
    <t>(There will need to be AT LEAST 1000 calls to get near $25 and add the QB SOC)</t>
  </si>
  <si>
    <t xml:space="preserve">If you enter the calls, then entry should be highlighted in yellow on the PCC spreadsheet. In the example below, the 4 in yellow were entered. The rest were not. </t>
  </si>
  <si>
    <t>Those entered had the NON-MOU entry 800 DB Query bucket in the usage module</t>
  </si>
  <si>
    <t>Those not entered, did not have the bucket and the bucket was not added because if you take the calls and mutliple them by each rate. The sum is not greater than $25</t>
  </si>
  <si>
    <t>IN CABS, go to usage module. Locate the BAN ending in E on the non-mou entry tab. If bucket below exist, enter the # of calls from spreadsheet. Click save</t>
  </si>
  <si>
    <t>Preliminary MOU Balance</t>
  </si>
  <si>
    <t>Expected MOUs</t>
  </si>
  <si>
    <t>Non-Transit MOUs Only</t>
  </si>
  <si>
    <t>MOUs Loaded 3rd and 4th</t>
  </si>
  <si>
    <t>Transit MOUs Only</t>
  </si>
  <si>
    <t>MMR Total MOUs</t>
  </si>
  <si>
    <t>No Ban MOUs</t>
  </si>
  <si>
    <t>No CLLI MOUs</t>
  </si>
  <si>
    <t>Thresheld MOUs</t>
  </si>
  <si>
    <t>Deleted MOUs</t>
  </si>
  <si>
    <t>Prior Period MOUs</t>
  </si>
  <si>
    <t>Total MOUs from current bill</t>
  </si>
  <si>
    <t>Within 1%?</t>
  </si>
  <si>
    <t xml:space="preserve">Customer provides expected MOU email </t>
  </si>
  <si>
    <t>Before sending billing, you will need to fill in the preliminary MOU numbers to verify you have all expected MOUs</t>
  </si>
  <si>
    <t>The expectation is to be within 1% of the expected MOUs</t>
  </si>
  <si>
    <t>&gt;&gt;&gt;&gt;&gt;&gt;&gt;</t>
  </si>
  <si>
    <t>FORMULA</t>
  </si>
  <si>
    <t>Enter the month you are billing for</t>
  </si>
  <si>
    <t>Input from Bob's expected MOU spreadsheet</t>
  </si>
  <si>
    <t>Enter total MOUs from FINAL BAN error Original tab</t>
  </si>
  <si>
    <t xml:space="preserve">Enter total MOUs from FINAL CLLI error </t>
  </si>
  <si>
    <t>Enter amount from Threshold report. Filter mou_on_hold_not_posted_pd by period 1. Total the d_mou and t_mou</t>
  </si>
  <si>
    <t>n/a, unless usage is deleted for some special reason</t>
  </si>
  <si>
    <t>Enter MOU from usage by day current month report. In Excel file, filter by any date prior to the 1st.</t>
  </si>
  <si>
    <t xml:space="preserve">MMR in Excel </t>
  </si>
  <si>
    <t>Revenue Analysis</t>
  </si>
  <si>
    <t xml:space="preserve">SOC Jurisdiction </t>
  </si>
  <si>
    <t>Inv_Bal_by_juris_w_LPC</t>
  </si>
  <si>
    <t>Threshold Report</t>
  </si>
  <si>
    <t>BAN Fulfillment Request Form</t>
  </si>
  <si>
    <t>Location</t>
  </si>
  <si>
    <t>Name</t>
  </si>
  <si>
    <t>Infomaker</t>
  </si>
  <si>
    <t>Normal report, location is different</t>
  </si>
  <si>
    <t>comcast_msg_mou_rev_to_exp_v5</t>
  </si>
  <si>
    <t>invoice_balances_by_jur_w_lpc</t>
  </si>
  <si>
    <t>mou_on_hold_not_posted_pd</t>
  </si>
  <si>
    <t>peerless_rev_analysis_2</t>
  </si>
  <si>
    <t>peerless_309282_v1</t>
  </si>
  <si>
    <t>Fulfillment report</t>
  </si>
  <si>
    <t>CABS</t>
  </si>
  <si>
    <t>Only should include NEW BANS. I run the fulfillment report and all BANS in RED should be the new BANs. I copy this list into the BAN fulfillment request form. Formulas are in place for the rest of the fields</t>
  </si>
  <si>
    <t>Note: the BAN error will be too large to save to excel. Save as text and then open with excel, and save as .xlsx</t>
  </si>
  <si>
    <t>LS-CS</t>
  </si>
  <si>
    <t>USF</t>
  </si>
  <si>
    <t>Territory Based Rating - Implemented 8/1/12</t>
  </si>
  <si>
    <t>Sprint provided specific to a CLLI</t>
  </si>
  <si>
    <t>CLLI set up with a Sprint territory assigned with a specific rate</t>
  </si>
  <si>
    <t>Territory rate only applies to D0333 in all markets</t>
  </si>
  <si>
    <t>Territorial based SOCs set up for D0333 to accommodate rates in each market</t>
  </si>
  <si>
    <t xml:space="preserve">SPRINT 0333 Territory: </t>
  </si>
  <si>
    <t>RBOC Territory Rates in TEXAS ONLY</t>
  </si>
  <si>
    <t>RBOCs provided rates (ATT, CenturyLink, and Verizon)</t>
  </si>
  <si>
    <t>CLLIs assigned to one of above RBOC territories</t>
  </si>
  <si>
    <t>Territorial based SOCs set up in TX to accommodate rates for each territory</t>
  </si>
  <si>
    <t xml:space="preserve">Territorial rate only applies to Intrastate Tariff rates (this includes multiple rate schedules where the territory rate is set up) </t>
  </si>
  <si>
    <t>Use PVU factor matrix in conjunction with SOC on BAN report to determine rate schedules to update</t>
  </si>
  <si>
    <t xml:space="preserve">Interstate SOCs are set up as territorial because the rate element is set up as territorial. However, all territories will have the same rate. </t>
  </si>
  <si>
    <t>PVUs do not apply to these rates</t>
  </si>
  <si>
    <t>Entered from (post-thresholding) MMR by BAN by EMR Jurisdiction report. Enter total MOUs on last page</t>
  </si>
  <si>
    <t>If D CIC list has more than 500,000 mous, send to Bob to see if they should be set up or not - otherwise, highlight any over 10,000 MOU for Bob to review at end of billing. He will provide direction for set up prior to next month's billing</t>
  </si>
  <si>
    <t>If OCN list has more than 500,000 mous, send to Bob to see if they should be set up or not - otherwise, highlight any over 50,000 MOU for Bob to review at end of billing. He will provide direction for set up prior to next month's billing</t>
  </si>
  <si>
    <t>updated per email - 10/3/12</t>
  </si>
  <si>
    <t>The below information applies to TARIFF rate schedules ONLY.  "N/A" means that there is no tariff rate.  For Contract specific BANs, a rate may exist.</t>
  </si>
  <si>
    <t>EO CIC BANs:</t>
  </si>
  <si>
    <t>Tandem CIC BANs:</t>
  </si>
  <si>
    <t>N/A</t>
  </si>
  <si>
    <t>CIC BAN Exceptions:</t>
  </si>
  <si>
    <t>155E - NY</t>
  </si>
  <si>
    <t>DEO-TOD-O</t>
  </si>
  <si>
    <t>TRNA-TOD-O</t>
  </si>
  <si>
    <t xml:space="preserve">TRNA-T </t>
  </si>
  <si>
    <t>107F - MN</t>
  </si>
  <si>
    <t>568G - MD</t>
  </si>
  <si>
    <t>TFT-TDM</t>
  </si>
  <si>
    <t>TFT-EO</t>
  </si>
  <si>
    <t>177F - TX</t>
  </si>
  <si>
    <t>DEO-T-O</t>
  </si>
  <si>
    <t>TRNA-T-O</t>
  </si>
  <si>
    <t>DEO-T-T</t>
  </si>
  <si>
    <t>TRNA-T-T</t>
  </si>
  <si>
    <t>TFT-T-O</t>
  </si>
  <si>
    <t>TFT-T-T</t>
  </si>
  <si>
    <t>The division between CIC &amp; OCN BAN Tariff rates</t>
  </si>
  <si>
    <t>EO OCN BANs:</t>
  </si>
  <si>
    <t>Tandem OCN BANs:</t>
  </si>
  <si>
    <t>Notes and other special circumstances</t>
  </si>
  <si>
    <r>
      <rPr>
        <sz val="7"/>
        <color indexed="56"/>
        <rFont val="Times New Roman"/>
        <family val="1"/>
      </rPr>
      <t xml:space="preserve"> </t>
    </r>
    <r>
      <rPr>
        <sz val="10"/>
        <rFont val="Arial"/>
      </rPr>
      <t>The contract rates supersede tariff rates and are listed on the contract tabs of the Peerless Rate Dump.  Where a rate is not listed for contract, we default back to the tariff rate.  In the case where the contract rates match the tariff rates, we utilize the tariff rate schedule when setting up. </t>
    </r>
  </si>
  <si>
    <t>The LOCAL rate for BANs ending in D5465E and D5465T should match the TARIFF INTRASTATE rate for that state.  Any time we change the TARIFF INTRASTATE rate in a state we must identify if there is a BAN for D5465 and also change the Local Rate accordingly.</t>
  </si>
  <si>
    <t>OCN BAN Exceptions:</t>
  </si>
  <si>
    <t>TN</t>
  </si>
  <si>
    <t>276F</t>
  </si>
  <si>
    <t xml:space="preserve">After entering the PCCs you will run non_mou_dump1 from Infomaker to validate what you entered. If you filter by what you highlight in yellow on the PCC and compare to the rows that have a Quantity and a modified date of when you keyed in the information the quantities should match. </t>
  </si>
  <si>
    <t>1.  Select a default state.  It does not matter which one</t>
  </si>
  <si>
    <t>2.  Go to the Threshold Billing module</t>
  </si>
  <si>
    <t>3.  Click on the check box next to "Default Co. Only:" to uncheck so that you can see BANs for all states</t>
  </si>
  <si>
    <t>4.  Sort by Net Due</t>
  </si>
  <si>
    <t>5.  Clear All</t>
  </si>
  <si>
    <t>7.  Save As to Excel with Headers, putting in the name "Pre Threshold".  Be sure to change the date in the name if you are using the structure from last month's report</t>
  </si>
  <si>
    <t>8.  Open the Pre Threshold spreadsheet</t>
  </si>
  <si>
    <t>10.  All rows should have a "Y" in column R.  Note the number of rows.</t>
  </si>
  <si>
    <t>11.  Remove the filter.</t>
  </si>
  <si>
    <t xml:space="preserve">12.  Filter column R to equal a "Y".  The number of rows should match that of step 10 above.  </t>
  </si>
  <si>
    <t>13.  Assuming all rows had a "Y" in step 10 and the number of rows in column R with a "Y" from step 12 matched step 10, CLICK THE RUNNING MAN</t>
  </si>
  <si>
    <t>14.  Click "Yes" to the "…Over 90 Days…" message</t>
  </si>
  <si>
    <t>15.  When finished, click View Held</t>
  </si>
  <si>
    <t>16.  Save As Excel with Headers, putting in the name "Post Threshold".  Be sure to change the date in the name if you are using the structure from last month's report</t>
  </si>
  <si>
    <t xml:space="preserve">17.  Open the Post Threshold report and make sure the same number of rows exist as did in step 10.  </t>
  </si>
  <si>
    <t>18.  The end.</t>
  </si>
  <si>
    <t>MI</t>
  </si>
  <si>
    <t>933G</t>
  </si>
  <si>
    <t>Tariff DC INTRAstate rates should match what is provided for tariff DC INTERstate rates.</t>
  </si>
  <si>
    <t>GL Extract</t>
  </si>
  <si>
    <t>peerless_gl_extract_v1</t>
  </si>
  <si>
    <t>As Needed</t>
  </si>
  <si>
    <t>SOCs on BAN</t>
  </si>
  <si>
    <t xml:space="preserve">The SOCs that are put in a BAN that has a contract rate schedule are mostly the same as the tariff info above.  There are exceptions where a SOC may not exist on a BAN due there being no Contract rate and the normal tariff SOC does not apply.  For instance:  The TFT SOC only applies to AT&amp;T LD &amp; Global Crossing CIC 0444 (where QB is the only contract rate).  For the AT&amp;T LD contract, the TFT SOC may not be present on the BAN.  </t>
  </si>
  <si>
    <t>For 0444 in ALL States, when a Tariff rate change occurs all rates EXCEPT for the QB rate needs to change.  While the rate schedule on this BAN is Global Crossing Rates, all rates are tariff EXCEPT for the QB rate.</t>
  </si>
  <si>
    <t>Rules for adding CLLIs to BANs</t>
  </si>
  <si>
    <t xml:space="preserve">“T” at the end BANs (“T” in the middle ONLY) – All BANs for a given state should contain ONLY the “TT” CLLIs and the “ET” CLLIs for that state.  </t>
  </si>
  <si>
    <t xml:space="preserve">“T” at the end BANs (“D” in the middle) – All BANs for a given state should contain the Transit CLLIs, the “TT” CLLIs, and the “ET” CLLIs for that state.  </t>
  </si>
  <si>
    <t xml:space="preserve">“T” at the end BANs (“O” in the middle) – All BANs for a given state should contain the Transit CLLIs for that state.  </t>
  </si>
  <si>
    <r>
      <t xml:space="preserve">“E” at the end BANs (“T”, “D”, and “O” in the middle) – All BANs for a given state should contain the End Office CLLIs for that state.  </t>
    </r>
    <r>
      <rPr>
        <b/>
        <sz val="10"/>
        <rFont val="Arial"/>
        <family val="2"/>
      </rPr>
      <t>You should NOT have more than one BAN for the same CIC/OCN</t>
    </r>
  </si>
  <si>
    <t xml:space="preserve">The T in the middle, T at the end is traffic that transits through Peerless.  </t>
  </si>
  <si>
    <t xml:space="preserve">Peerless used to have us bill all of this and then pulled all of it back except for what is being billing to Sprint PCS, T-Mobile, and Cimco.  </t>
  </si>
  <si>
    <t xml:space="preserve">Bob said that a while ago they tried to change all O in the middle, T at the end to either T in the middle, E at the end or O in the middle E at the end.  Bob said that they probably didn’t get all of it.  </t>
  </si>
  <si>
    <t>Regardless, if we have a O in the middle, T at the end and a T in the middle, T at the end, we should not have the ET or TT wirecenters on the O in the middle, T at the end.</t>
  </si>
  <si>
    <t>BAN/CLLI setup info</t>
  </si>
  <si>
    <t>4036</t>
  </si>
  <si>
    <t>551G</t>
  </si>
  <si>
    <t>6006</t>
  </si>
  <si>
    <t>6010</t>
  </si>
  <si>
    <t>6214</t>
  </si>
  <si>
    <t>6265</t>
  </si>
  <si>
    <t>6274</t>
  </si>
  <si>
    <t>6277</t>
  </si>
  <si>
    <t>6333</t>
  </si>
  <si>
    <t>6502</t>
  </si>
  <si>
    <t>6534</t>
  </si>
  <si>
    <t>6701</t>
  </si>
  <si>
    <t>6889</t>
  </si>
  <si>
    <t>701E</t>
  </si>
  <si>
    <t>5816</t>
  </si>
  <si>
    <t>6266</t>
  </si>
  <si>
    <t>0822</t>
  </si>
  <si>
    <t>468D</t>
  </si>
  <si>
    <t>5562</t>
  </si>
  <si>
    <t>6017</t>
  </si>
  <si>
    <t>6025</t>
  </si>
  <si>
    <t>6324</t>
  </si>
  <si>
    <t>6386</t>
  </si>
  <si>
    <t>6387</t>
  </si>
  <si>
    <t>6388</t>
  </si>
  <si>
    <t>6391</t>
  </si>
  <si>
    <t>6392</t>
  </si>
  <si>
    <t>6393</t>
  </si>
  <si>
    <t>6395</t>
  </si>
  <si>
    <t>6398</t>
  </si>
  <si>
    <t>6506</t>
  </si>
  <si>
    <t>6529</t>
  </si>
  <si>
    <t>6540</t>
  </si>
  <si>
    <t>6804</t>
  </si>
  <si>
    <t>6827</t>
  </si>
  <si>
    <t>6959</t>
  </si>
  <si>
    <t>899D</t>
  </si>
  <si>
    <t>6349</t>
  </si>
  <si>
    <t>4290</t>
  </si>
  <si>
    <t>6505</t>
  </si>
  <si>
    <t>5814</t>
  </si>
  <si>
    <t>6263</t>
  </si>
  <si>
    <t>6275</t>
  </si>
  <si>
    <t>6508</t>
  </si>
  <si>
    <t>6855</t>
  </si>
  <si>
    <t>6623</t>
  </si>
  <si>
    <t>6622</t>
  </si>
  <si>
    <t>6566</t>
  </si>
  <si>
    <t>6567</t>
  </si>
  <si>
    <t>6874</t>
  </si>
  <si>
    <t>6394</t>
  </si>
  <si>
    <t>561D</t>
  </si>
  <si>
    <t>6261</t>
  </si>
  <si>
    <t>6283</t>
  </si>
  <si>
    <t>6624</t>
  </si>
  <si>
    <t>7473</t>
  </si>
  <si>
    <t>6458</t>
  </si>
  <si>
    <t>6270</t>
  </si>
  <si>
    <t>GL Code</t>
  </si>
  <si>
    <t>Description</t>
  </si>
  <si>
    <t>EOIS</t>
  </si>
  <si>
    <t>EOLC</t>
  </si>
  <si>
    <t>EOST</t>
  </si>
  <si>
    <t>TANDEMIS</t>
  </si>
  <si>
    <t>TANDEMLC</t>
  </si>
  <si>
    <t>TANDEMST</t>
  </si>
  <si>
    <t>TRANSITIS</t>
  </si>
  <si>
    <t>TRANSITLC</t>
  </si>
  <si>
    <t>TRANSITST</t>
  </si>
  <si>
    <t>USF in WA</t>
  </si>
  <si>
    <t>WIRELESSIS</t>
  </si>
  <si>
    <t>WIRELESSLC</t>
  </si>
  <si>
    <t>WIRELESSST</t>
  </si>
  <si>
    <t>The following OCNs should have the Carrier Type = "Wireless", changed on the CIC List module.</t>
  </si>
  <si>
    <t xml:space="preserve">Below are the GL Codes provided by Bob (including the wireless GL Codes). </t>
  </si>
  <si>
    <t>OK</t>
  </si>
  <si>
    <t>363H</t>
  </si>
  <si>
    <t>428H</t>
  </si>
  <si>
    <t>438H</t>
  </si>
  <si>
    <t>384H</t>
  </si>
  <si>
    <t>Answer y to all fields when running the BAN error report excluding file name</t>
  </si>
  <si>
    <t>System: Usage Balancing - Company, Ban Totals</t>
  </si>
  <si>
    <t>User: AUR History Stats Report</t>
  </si>
  <si>
    <t>User: Detailed BAN Error Report w/extra research</t>
  </si>
  <si>
    <t>User: Detailed CLLI Error Report</t>
  </si>
  <si>
    <t>User: Exception Analysis Report</t>
  </si>
  <si>
    <t>User: MOU Entries Error Report</t>
  </si>
  <si>
    <t>User: Duplicate File Processing Report</t>
  </si>
  <si>
    <t>User: Usage Verify by Size</t>
  </si>
  <si>
    <t>User: Usage by Day Report</t>
  </si>
  <si>
    <t>User: Payment Report</t>
  </si>
  <si>
    <t>User: Factor Change Audit Report</t>
  </si>
  <si>
    <t>User: Factor Check Report with PVU</t>
  </si>
  <si>
    <t>User: SOC Change Audit Report</t>
  </si>
  <si>
    <t>User: Bill Completion Check Report</t>
  </si>
  <si>
    <t>User: Switched BANS Trending Report</t>
  </si>
  <si>
    <t>User: Aged Trial Balance for Export</t>
  </si>
  <si>
    <t>System: Billed Msg MOU Rev by BAN by EMR Jurisdiction</t>
  </si>
  <si>
    <t>User: Adjustment GL Trans by BAN Report</t>
  </si>
  <si>
    <t>User: OC&amp;C GL Trans by BAN Report</t>
  </si>
  <si>
    <t>System: Aged trial Balance</t>
  </si>
  <si>
    <t>User: MMR by Bill Date by Usg Pd by Direction by Prod</t>
  </si>
  <si>
    <t>User: Billed by Period</t>
  </si>
  <si>
    <t>User: Switched BAN Trending</t>
  </si>
  <si>
    <t>CABS: System/Dispute Reports</t>
  </si>
  <si>
    <t>Transaction Summary - bills only</t>
  </si>
  <si>
    <t>socs_on_bans_404_v3</t>
  </si>
  <si>
    <t>r_aged_trial_bal_for_export_jur</t>
  </si>
  <si>
    <t>count_of_invoices_not_zero_range</t>
  </si>
  <si>
    <t>Invoice Count</t>
  </si>
  <si>
    <t>Reports Run</t>
  </si>
  <si>
    <t>098H</t>
  </si>
  <si>
    <t>Tariff</t>
  </si>
  <si>
    <t>9.  Filter Net Due (column AE) for BETWEEN .01 AND 5.00</t>
  </si>
  <si>
    <t>6.  Check those with a Net Due between $.01 and $5.00 (include those with $.01 and $5.00)</t>
  </si>
  <si>
    <t>Bob Sherman</t>
  </si>
  <si>
    <t>IT Project Manager</t>
  </si>
  <si>
    <t>bsherman@peerlessnetwork.com</t>
  </si>
  <si>
    <t xml:space="preserve">312-506-0937 (w)
847-274-7657 (c) </t>
  </si>
  <si>
    <t>Role</t>
  </si>
  <si>
    <t>Phone</t>
  </si>
  <si>
    <t>Email</t>
  </si>
  <si>
    <t>Scott Kell</t>
  </si>
  <si>
    <t>Operations and Engineering</t>
  </si>
  <si>
    <t>312-506-0922</t>
  </si>
  <si>
    <t>skell@peerlessnetwork.com</t>
  </si>
  <si>
    <t>Dan Meldazis</t>
  </si>
  <si>
    <t>Regulatory Affairs</t>
  </si>
  <si>
    <t>312-506-0933</t>
  </si>
  <si>
    <t>dmeldazis@peerlessnetwork.com</t>
  </si>
  <si>
    <t>Watson Wu</t>
  </si>
  <si>
    <t>IT Developer</t>
  </si>
  <si>
    <t xml:space="preserve">514-223-0283 (w)
514-952-9102 (c) </t>
  </si>
  <si>
    <t>watson_wu@hotmail.com</t>
  </si>
  <si>
    <t>Jim Brewer</t>
  </si>
  <si>
    <t>Voice Services</t>
  </si>
  <si>
    <t>312-506-0921</t>
  </si>
  <si>
    <t>jbrewer@peerlessnetwork.com</t>
  </si>
  <si>
    <t>Doug Lee</t>
  </si>
  <si>
    <t>Finance</t>
  </si>
  <si>
    <t>312-506-0939</t>
  </si>
  <si>
    <t>dlee@peerlessnetwork.com</t>
  </si>
  <si>
    <t>Brian Gifford</t>
  </si>
  <si>
    <t>bgifford@peerlessnetwork.com</t>
  </si>
  <si>
    <t>Default PIL</t>
  </si>
  <si>
    <t>Default PLU</t>
  </si>
  <si>
    <t>Default PCL</t>
  </si>
  <si>
    <t>OCNs</t>
  </si>
  <si>
    <t>Default PIU</t>
  </si>
  <si>
    <t>D CICs</t>
  </si>
  <si>
    <t>Company</t>
  </si>
  <si>
    <t>Peerless</t>
  </si>
  <si>
    <t>Airus</t>
  </si>
  <si>
    <t>MA</t>
  </si>
  <si>
    <t>Rate Schedule</t>
  </si>
  <si>
    <t>IL</t>
  </si>
  <si>
    <t>066G</t>
  </si>
  <si>
    <t>SC</t>
  </si>
  <si>
    <t>NM</t>
  </si>
  <si>
    <t>377H</t>
  </si>
  <si>
    <t>ND</t>
  </si>
  <si>
    <t>460H</t>
  </si>
  <si>
    <t>UT</t>
  </si>
  <si>
    <t>526H</t>
  </si>
  <si>
    <t>5th</t>
  </si>
  <si>
    <t>060G</t>
  </si>
  <si>
    <t>IA</t>
  </si>
  <si>
    <t>423H</t>
  </si>
  <si>
    <t>MS</t>
  </si>
  <si>
    <t>459H</t>
  </si>
  <si>
    <t>LA</t>
  </si>
  <si>
    <t>477H</t>
  </si>
  <si>
    <t>NE</t>
  </si>
  <si>
    <t>478H</t>
  </si>
  <si>
    <t>484H</t>
  </si>
  <si>
    <t>RI</t>
  </si>
  <si>
    <t>507H</t>
  </si>
  <si>
    <t>Object Name</t>
  </si>
  <si>
    <t>Display Name</t>
  </si>
  <si>
    <t>PDF</t>
  </si>
  <si>
    <t>Excel</t>
  </si>
  <si>
    <t>Macro?</t>
  </si>
  <si>
    <t>Special Notes</t>
  </si>
  <si>
    <t>Keith's Revenue Analysis requests</t>
  </si>
  <si>
    <t>InfoMaker</t>
  </si>
  <si>
    <t>adjustments_not_posted_1</t>
  </si>
  <si>
    <t>aur_history_stats_v404_v1</t>
  </si>
  <si>
    <t>aur_usage_by_day_co</t>
  </si>
  <si>
    <t>ban_list_active_yes_no_403</t>
  </si>
  <si>
    <t>ban_list_for_fulfillment_5</t>
  </si>
  <si>
    <t>bill_completion_check</t>
  </si>
  <si>
    <t>billed_by_period_for_export_1</t>
  </si>
  <si>
    <t>exception_analysis_no_ban_v4</t>
  </si>
  <si>
    <t>exception_analysis_no_clli_v4</t>
  </si>
  <si>
    <t>exception_analysis_v2</t>
  </si>
  <si>
    <t>extract_factor_matrix_1</t>
  </si>
  <si>
    <t>factor_change_audit</t>
  </si>
  <si>
    <t>gl_trans_from_adjustments_ban_v2</t>
  </si>
  <si>
    <t>gl_trans_from_occ_ban</t>
  </si>
  <si>
    <t>mouentry_2_range_uid_v2</t>
  </si>
  <si>
    <t>payment_by_date8</t>
  </si>
  <si>
    <t>peerless_billed_by_pd_for_exp_1</t>
  </si>
  <si>
    <t>peerless_gl_extract_v5</t>
  </si>
  <si>
    <t>process_counts_recon_5_mas_v5</t>
  </si>
  <si>
    <t>r_aged_trial_bal_for_export</t>
  </si>
  <si>
    <t>soc_change_audit_v2</t>
  </si>
  <si>
    <t>sw_invoice_trending_v5</t>
  </si>
  <si>
    <t>usage_file_verify_v3</t>
  </si>
  <si>
    <t>Y</t>
  </si>
  <si>
    <t>msg_mou_rev_to_export_v403_cic_v2</t>
  </si>
  <si>
    <t>X</t>
  </si>
  <si>
    <t>Adjustment GL Trans by BAN Report</t>
  </si>
  <si>
    <t>Adjustments Not Posted Report</t>
  </si>
  <si>
    <t>Aged Trial Balance for Export</t>
  </si>
  <si>
    <t>r_aged_trial_bal_1</t>
  </si>
  <si>
    <t>Aged Trial Balance</t>
  </si>
  <si>
    <t>AUR History Stats Report</t>
  </si>
  <si>
    <t>Bill Completion Check Report</t>
  </si>
  <si>
    <t>Billed by Period Report</t>
  </si>
  <si>
    <t>r_msg_mou_rev_comp_by_ban_r_j</t>
  </si>
  <si>
    <t>Billed Msg MOU Rev by BAN by EMR Jurisdiction</t>
  </si>
  <si>
    <t>r_msg_mou_rev_comp_by_clli_r_j</t>
  </si>
  <si>
    <t>Billed Msg MOU Rev by CLLI by EMR Jurisdiction</t>
  </si>
  <si>
    <t>Detailed BAN Error Report - with extra research</t>
  </si>
  <si>
    <t>Detailed CLLI Error Report</t>
  </si>
  <si>
    <t>Duplicate File Processing Report</t>
  </si>
  <si>
    <t>Exception Analysis Report</t>
  </si>
  <si>
    <t>Factor Change Audit Report</t>
  </si>
  <si>
    <t>Factor Matrix Extract</t>
  </si>
  <si>
    <t>Fulfillment Report</t>
  </si>
  <si>
    <t>MOU Entries Error Report</t>
  </si>
  <si>
    <t>OC&amp;C GL Trans by BAN Report</t>
  </si>
  <si>
    <t>Payment Report</t>
  </si>
  <si>
    <t>SOC Change Audit Report</t>
  </si>
  <si>
    <t>SOCs on BANs Report (History optional)</t>
  </si>
  <si>
    <t>Switched BANS Trending Report</t>
  </si>
  <si>
    <t>r_transaction_summary_bills</t>
  </si>
  <si>
    <t>r_balance_bills_company_ban_s</t>
  </si>
  <si>
    <t>Usage Balancing - Company, Ban Totals</t>
  </si>
  <si>
    <t xml:space="preserve">Usage Verify by Size Report </t>
  </si>
  <si>
    <t>CABS\User</t>
  </si>
  <si>
    <t>Usage by Day Report</t>
  </si>
  <si>
    <t>MMR by Bill Date by Usg Pd by Direction by Prod</t>
  </si>
  <si>
    <t>CABS\System</t>
  </si>
  <si>
    <t>AUR History Summary</t>
  </si>
  <si>
    <t>r_aur_summary_1_s</t>
  </si>
  <si>
    <t>Used for Billing</t>
  </si>
  <si>
    <t>Used for Research</t>
  </si>
  <si>
    <t>Pre-Thresholding Report</t>
  </si>
  <si>
    <t>MSG MOU Rev Export</t>
  </si>
  <si>
    <t>SOC Jurisdiction Report</t>
  </si>
  <si>
    <t>Threshold by net due less than $5, effective 2/5/2017</t>
  </si>
  <si>
    <t xml:space="preserve">No.  We did delete usage prior to 6/5/11, which is when we began thresholding.  </t>
  </si>
  <si>
    <t>Between 6/5/11 &amp; 2/5/17 we threshold by net due less than $25</t>
  </si>
  <si>
    <t>Keith Campbell</t>
  </si>
  <si>
    <t>Patty McGuire</t>
  </si>
  <si>
    <t>kcampbell@peerlessnetwork.com</t>
  </si>
  <si>
    <t>pmcguire@peerlessnetwork.com</t>
  </si>
  <si>
    <t>Tim Butler</t>
  </si>
  <si>
    <t>tbutler@peerlessnetwork.com</t>
  </si>
  <si>
    <t>Usage / Mediation</t>
  </si>
  <si>
    <t>active bans</t>
  </si>
  <si>
    <t>adjustment formating</t>
  </si>
  <si>
    <t>bill by period</t>
  </si>
  <si>
    <t>factor check</t>
  </si>
  <si>
    <t>19V</t>
  </si>
  <si>
    <t>12F</t>
  </si>
  <si>
    <t>10A</t>
  </si>
  <si>
    <t>19Z</t>
  </si>
  <si>
    <t>inv bal Jur</t>
  </si>
  <si>
    <t>19AL</t>
  </si>
  <si>
    <t>invoice count</t>
  </si>
  <si>
    <t>21B</t>
  </si>
  <si>
    <t xml:space="preserve">MMR </t>
  </si>
  <si>
    <t>13C - 19F</t>
  </si>
  <si>
    <t>MMR billed date</t>
  </si>
  <si>
    <t>19K</t>
  </si>
  <si>
    <t>OCC formatting</t>
  </si>
  <si>
    <t>13F</t>
  </si>
  <si>
    <t>13E</t>
  </si>
  <si>
    <t>pre ther</t>
  </si>
  <si>
    <t>post ther</t>
  </si>
  <si>
    <t>14A</t>
  </si>
  <si>
    <t>14C</t>
  </si>
  <si>
    <t>Rev ana</t>
  </si>
  <si>
    <t>Soc Jur</t>
  </si>
  <si>
    <t>19AW</t>
  </si>
  <si>
    <t>SW BANs</t>
  </si>
  <si>
    <t>12C - 19W</t>
  </si>
  <si>
    <t>ther by pd</t>
  </si>
  <si>
    <t>Peerless_08-05-21_Combined_Threshold Report by Period</t>
  </si>
  <si>
    <t>12H - 19S</t>
  </si>
  <si>
    <t>PT_Export</t>
  </si>
  <si>
    <t>Pre-Thresholding Export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</si>
</sst>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8" formatCode="&quot;$&quot;#,##0.00_);[Red]\(&quot;$&quot;#,##0.00\)"/>
    <numFmt numFmtId="43" formatCode="_(* #,##0.00_);_(* \(#,##0.00\);_(* &quot;-&quot;??_);_(@_)"/>
    <numFmt numFmtId="164" formatCode="0000"/>
    <numFmt numFmtId="165" formatCode="0.0000%"/>
    <numFmt numFmtId="166" formatCode="0.0000000"/>
    <numFmt numFmtId="167" formatCode="m/d/yyyy;@"/>
    <numFmt numFmtId="168" formatCode="_(* #,##0_);_(* \(#,##0\);_(* &quot;-&quot;??_);_(@_)"/>
  </numFmts>
  <fonts count="32" x14ac:knownFonts="1">
    <font>
      <sz val="10"/>
      <name val="Arial"/>
    </font>
    <font>
      <sz val="10"/>
      <name val="Arial"/>
    </font>
    <font>
      <u/>
      <sz val="10"/>
      <color indexed="12"/>
      <name val="Arial"/>
      <family val="2"/>
    </font>
    <font>
      <b/>
      <u/>
      <sz val="10"/>
      <name val="Arial"/>
      <family val="2"/>
    </font>
    <font>
      <sz val="10"/>
      <name val="Arial"/>
      <family val="2"/>
    </font>
    <font>
      <sz val="12"/>
      <name val="Arial"/>
      <family val="2"/>
    </font>
    <font>
      <b/>
      <sz val="10"/>
      <name val="Arial"/>
      <family val="2"/>
    </font>
    <font>
      <b/>
      <sz val="12"/>
      <color indexed="10"/>
      <name val="Arial"/>
      <family val="2"/>
    </font>
    <font>
      <b/>
      <sz val="11"/>
      <name val="Arial"/>
      <family val="2"/>
    </font>
    <font>
      <b/>
      <sz val="12"/>
      <name val="Arial"/>
      <family val="2"/>
    </font>
    <font>
      <b/>
      <sz val="10"/>
      <color indexed="10"/>
      <name val="Arial"/>
      <family val="2"/>
    </font>
    <font>
      <b/>
      <sz val="14"/>
      <name val="Arial"/>
      <family val="2"/>
    </font>
    <font>
      <b/>
      <sz val="16"/>
      <name val="Arial"/>
      <family val="2"/>
    </font>
    <font>
      <sz val="24"/>
      <name val="Arial"/>
      <family val="2"/>
    </font>
    <font>
      <b/>
      <sz val="8"/>
      <color indexed="81"/>
      <name val="Tahoma"/>
      <family val="2"/>
    </font>
    <font>
      <sz val="8"/>
      <color indexed="81"/>
      <name val="Tahoma"/>
      <family val="2"/>
    </font>
    <font>
      <sz val="7"/>
      <color indexed="56"/>
      <name val="Times New Roman"/>
      <family val="1"/>
    </font>
    <font>
      <sz val="9"/>
      <color indexed="81"/>
      <name val="Tahoma"/>
      <family val="2"/>
    </font>
    <font>
      <b/>
      <sz val="9"/>
      <color indexed="81"/>
      <name val="Tahoma"/>
      <family val="2"/>
    </font>
    <font>
      <sz val="11"/>
      <color theme="1"/>
      <name val="Calibri"/>
      <family val="2"/>
      <scheme val="minor"/>
    </font>
    <font>
      <b/>
      <sz val="11"/>
      <color theme="1"/>
      <name val="Calibri"/>
      <family val="2"/>
      <scheme val="minor"/>
    </font>
    <font>
      <b/>
      <sz val="12"/>
      <color rgb="FFFF0000"/>
      <name val="Arial"/>
      <family val="2"/>
    </font>
    <font>
      <b/>
      <u/>
      <sz val="11"/>
      <color theme="1"/>
      <name val="Calibri"/>
      <family val="2"/>
      <scheme val="minor"/>
    </font>
    <font>
      <sz val="10"/>
      <color rgb="FFFF0000"/>
      <name val="Arial"/>
      <family val="2"/>
    </font>
    <font>
      <i/>
      <sz val="10"/>
      <color rgb="FFFF0000"/>
      <name val="Arial"/>
      <family val="2"/>
    </font>
    <font>
      <b/>
      <sz val="10"/>
      <color rgb="FFFF0000"/>
      <name val="Arial"/>
      <family val="2"/>
    </font>
    <font>
      <b/>
      <sz val="11"/>
      <color rgb="FF000000"/>
      <name val="Calibri"/>
      <family val="2"/>
      <scheme val="minor"/>
    </font>
    <font>
      <b/>
      <sz val="11"/>
      <color rgb="FFFF0000"/>
      <name val="Calibri"/>
      <family val="2"/>
      <scheme val="minor"/>
    </font>
    <font>
      <b/>
      <sz val="12"/>
      <color theme="3" tint="0.39997558519241921"/>
      <name val="Arial"/>
      <family val="2"/>
    </font>
    <font>
      <b/>
      <sz val="14"/>
      <color theme="1"/>
      <name val="Calibri"/>
      <family val="2"/>
      <scheme val="minor"/>
    </font>
    <font>
      <sz val="10"/>
      <color theme="1"/>
      <name val="Calibri"/>
      <family val="2"/>
      <scheme val="minor"/>
    </font>
    <font>
      <sz val="11"/>
      <color rgb="FF1F497D"/>
      <name val="Calibri"/>
      <family val="2"/>
      <scheme val="minor"/>
    </font>
  </fonts>
  <fills count="6">
    <fill>
      <patternFill patternType="none"/>
    </fill>
    <fill>
      <patternFill patternType="gray125"/>
    </fill>
    <fill>
      <patternFill patternType="solid">
        <fgColor rgb="FFFFFF00"/>
        <bgColor indexed="64"/>
      </patternFill>
    </fill>
    <fill>
      <patternFill patternType="solid">
        <fgColor rgb="FFFFC000"/>
        <bgColor indexed="64"/>
      </patternFill>
    </fill>
    <fill>
      <patternFill patternType="solid">
        <fgColor rgb="FFFF0000"/>
        <bgColor indexed="64"/>
      </patternFill>
    </fill>
    <fill>
      <patternFill patternType="solid">
        <fgColor rgb="FF00B0F0"/>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s>
  <cellStyleXfs count="5">
    <xf numFmtId="0" fontId="0" fillId="0" borderId="0"/>
    <xf numFmtId="43" fontId="1" fillId="0" borderId="0" applyFont="0" applyFill="0" applyBorder="0" applyAlignment="0" applyProtection="0"/>
    <xf numFmtId="0" fontId="2" fillId="0" borderId="0" applyNumberFormat="0" applyFill="0" applyBorder="0" applyAlignment="0" applyProtection="0">
      <alignment vertical="top"/>
      <protection locked="0"/>
    </xf>
    <xf numFmtId="0" fontId="19" fillId="0" borderId="0"/>
    <xf numFmtId="9" fontId="1" fillId="0" borderId="0" applyFont="0" applyFill="0" applyBorder="0" applyAlignment="0" applyProtection="0"/>
  </cellStyleXfs>
  <cellXfs count="136">
    <xf numFmtId="0" fontId="0" fillId="0" borderId="0" xfId="0"/>
    <xf numFmtId="0" fontId="3" fillId="0" borderId="0" xfId="0" applyFont="1" applyBorder="1"/>
    <xf numFmtId="0" fontId="4" fillId="0" borderId="0" xfId="0" applyFont="1" applyBorder="1"/>
    <xf numFmtId="0" fontId="4" fillId="0" borderId="0" xfId="0" applyFont="1"/>
    <xf numFmtId="0" fontId="5" fillId="0" borderId="0" xfId="0" applyFont="1"/>
    <xf numFmtId="0" fontId="5" fillId="0" borderId="0" xfId="0" applyFont="1" applyBorder="1"/>
    <xf numFmtId="0" fontId="4" fillId="0" borderId="0" xfId="0" applyFont="1" applyBorder="1" applyAlignment="1">
      <alignment horizontal="left"/>
    </xf>
    <xf numFmtId="0" fontId="4" fillId="0" borderId="0" xfId="0" applyFont="1" applyBorder="1" applyAlignment="1">
      <alignment horizontal="center"/>
    </xf>
    <xf numFmtId="9" fontId="4" fillId="0" borderId="0" xfId="4" applyFont="1" applyBorder="1" applyAlignment="1">
      <alignment horizontal="center"/>
    </xf>
    <xf numFmtId="0" fontId="3" fillId="0" borderId="0" xfId="0" applyFont="1" applyAlignment="1">
      <alignment horizontal="center"/>
    </xf>
    <xf numFmtId="0" fontId="4" fillId="0" borderId="0" xfId="0" applyFont="1" applyFill="1" applyBorder="1"/>
    <xf numFmtId="0" fontId="6" fillId="0" borderId="0" xfId="0" applyFont="1" applyBorder="1"/>
    <xf numFmtId="0" fontId="4" fillId="0" borderId="0" xfId="0" applyFont="1" applyFill="1" applyBorder="1" applyAlignment="1">
      <alignment horizontal="center"/>
    </xf>
    <xf numFmtId="0" fontId="4" fillId="2" borderId="0" xfId="0" applyFont="1" applyFill="1" applyBorder="1"/>
    <xf numFmtId="0" fontId="5" fillId="0" borderId="0" xfId="0" applyFont="1" applyAlignment="1">
      <alignment horizontal="center"/>
    </xf>
    <xf numFmtId="0" fontId="4" fillId="0" borderId="0" xfId="0" applyFont="1" applyAlignment="1">
      <alignment horizontal="center"/>
    </xf>
    <xf numFmtId="9" fontId="4" fillId="0" borderId="0" xfId="4" applyFont="1" applyAlignment="1">
      <alignment horizontal="center"/>
    </xf>
    <xf numFmtId="0" fontId="3" fillId="0" borderId="0" xfId="0" applyFont="1" applyAlignment="1">
      <alignment horizontal="left"/>
    </xf>
    <xf numFmtId="0" fontId="21" fillId="0" borderId="0" xfId="0" applyFont="1" applyBorder="1"/>
    <xf numFmtId="0" fontId="8" fillId="0" borderId="0" xfId="0" applyFont="1"/>
    <xf numFmtId="0" fontId="22" fillId="0" borderId="0" xfId="0" applyFont="1" applyBorder="1" applyAlignment="1">
      <alignment horizontal="center"/>
    </xf>
    <xf numFmtId="43" fontId="22" fillId="0" borderId="0" xfId="1" applyFont="1" applyFill="1" applyBorder="1" applyAlignment="1">
      <alignment horizontal="center"/>
    </xf>
    <xf numFmtId="0" fontId="0" fillId="0" borderId="1" xfId="0" applyBorder="1"/>
    <xf numFmtId="0" fontId="4" fillId="0" borderId="1" xfId="0" applyFont="1" applyBorder="1"/>
    <xf numFmtId="0" fontId="6" fillId="0" borderId="1" xfId="0" applyFont="1" applyBorder="1"/>
    <xf numFmtId="0" fontId="9" fillId="0" borderId="0" xfId="0" applyFont="1"/>
    <xf numFmtId="0" fontId="4" fillId="0" borderId="0" xfId="0" applyFont="1" applyAlignment="1">
      <alignment horizontal="left" indent="1"/>
    </xf>
    <xf numFmtId="0" fontId="0" fillId="0" borderId="2" xfId="0" applyBorder="1"/>
    <xf numFmtId="0" fontId="0" fillId="0" borderId="3" xfId="0" applyBorder="1"/>
    <xf numFmtId="0" fontId="4" fillId="0" borderId="4" xfId="0" applyFont="1" applyBorder="1"/>
    <xf numFmtId="0" fontId="0" fillId="0" borderId="0" xfId="0" applyBorder="1"/>
    <xf numFmtId="0" fontId="0" fillId="0" borderId="5" xfId="0" applyBorder="1"/>
    <xf numFmtId="0" fontId="22" fillId="0" borderId="4" xfId="0" applyFont="1" applyBorder="1" applyAlignment="1">
      <alignment horizontal="center"/>
    </xf>
    <xf numFmtId="0" fontId="22" fillId="0" borderId="5" xfId="0" applyFont="1" applyFill="1" applyBorder="1" applyAlignment="1">
      <alignment horizontal="center"/>
    </xf>
    <xf numFmtId="0" fontId="0" fillId="0" borderId="6" xfId="0" applyBorder="1"/>
    <xf numFmtId="0" fontId="0" fillId="0" borderId="7" xfId="0" applyBorder="1"/>
    <xf numFmtId="0" fontId="0" fillId="0" borderId="8" xfId="0" applyBorder="1"/>
    <xf numFmtId="0" fontId="0" fillId="0" borderId="4" xfId="0" applyBorder="1"/>
    <xf numFmtId="0" fontId="23" fillId="0" borderId="9" xfId="0" applyFont="1" applyBorder="1"/>
    <xf numFmtId="0" fontId="0" fillId="0" borderId="0" xfId="0" applyAlignment="1">
      <alignment horizontal="left" indent="1"/>
    </xf>
    <xf numFmtId="49" fontId="4" fillId="0" borderId="0" xfId="0" applyNumberFormat="1" applyFont="1"/>
    <xf numFmtId="0" fontId="11" fillId="0" borderId="0" xfId="0" applyFont="1"/>
    <xf numFmtId="0" fontId="12" fillId="0" borderId="0" xfId="0" applyFont="1"/>
    <xf numFmtId="0" fontId="13" fillId="0" borderId="0" xfId="0" applyFont="1" applyAlignment="1">
      <alignment horizontal="left" indent="1"/>
    </xf>
    <xf numFmtId="0" fontId="24" fillId="0" borderId="0" xfId="0" applyFont="1"/>
    <xf numFmtId="3" fontId="0" fillId="0" borderId="0" xfId="0" applyNumberFormat="1"/>
    <xf numFmtId="0" fontId="0" fillId="0" borderId="0" xfId="0" applyAlignment="1">
      <alignment wrapText="1"/>
    </xf>
    <xf numFmtId="0" fontId="4" fillId="0" borderId="0" xfId="0" applyFont="1" applyAlignment="1">
      <alignment wrapText="1"/>
    </xf>
    <xf numFmtId="0" fontId="6" fillId="0" borderId="0" xfId="0" applyFont="1"/>
    <xf numFmtId="0" fontId="6" fillId="0" borderId="0" xfId="0" applyFont="1" applyAlignment="1">
      <alignment wrapText="1"/>
    </xf>
    <xf numFmtId="0" fontId="9" fillId="0" borderId="0" xfId="0" applyFont="1" applyAlignment="1">
      <alignment wrapText="1"/>
    </xf>
    <xf numFmtId="0" fontId="0" fillId="0" borderId="0" xfId="0" applyFont="1"/>
    <xf numFmtId="0" fontId="20" fillId="0" borderId="0" xfId="0" applyFont="1" applyAlignment="1">
      <alignment horizontal="center"/>
    </xf>
    <xf numFmtId="164" fontId="20" fillId="0" borderId="0" xfId="0" applyNumberFormat="1" applyFont="1" applyAlignment="1">
      <alignment horizontal="center"/>
    </xf>
    <xf numFmtId="0" fontId="20" fillId="0" borderId="0" xfId="0" applyFont="1"/>
    <xf numFmtId="168" fontId="20" fillId="0" borderId="0" xfId="1" applyNumberFormat="1" applyFont="1" applyAlignment="1">
      <alignment horizontal="center"/>
    </xf>
    <xf numFmtId="166" fontId="20" fillId="0" borderId="0" xfId="0" applyNumberFormat="1" applyFont="1" applyBorder="1" applyAlignment="1">
      <alignment horizontal="center"/>
    </xf>
    <xf numFmtId="0" fontId="0" fillId="2" borderId="0" xfId="0" applyFill="1" applyAlignment="1">
      <alignment horizontal="center"/>
    </xf>
    <xf numFmtId="164" fontId="0" fillId="2" borderId="0" xfId="0" applyNumberFormat="1" applyFill="1" applyAlignment="1">
      <alignment horizontal="center"/>
    </xf>
    <xf numFmtId="0" fontId="0" fillId="2" borderId="0" xfId="0" applyFill="1"/>
    <xf numFmtId="168" fontId="19" fillId="2" borderId="0" xfId="1" applyNumberFormat="1" applyFont="1" applyFill="1"/>
    <xf numFmtId="166" fontId="0" fillId="2" borderId="0" xfId="0" applyNumberFormat="1" applyFill="1" applyBorder="1"/>
    <xf numFmtId="0" fontId="0" fillId="0" borderId="0" xfId="0" applyAlignment="1">
      <alignment horizontal="center"/>
    </xf>
    <xf numFmtId="164" fontId="0" fillId="0" borderId="0" xfId="0" applyNumberFormat="1" applyAlignment="1">
      <alignment horizontal="center"/>
    </xf>
    <xf numFmtId="168" fontId="19" fillId="0" borderId="0" xfId="1" applyNumberFormat="1" applyFont="1"/>
    <xf numFmtId="166" fontId="0" fillId="0" borderId="0" xfId="0" applyNumberFormat="1" applyBorder="1"/>
    <xf numFmtId="0" fontId="25" fillId="0" borderId="0" xfId="0" applyFont="1"/>
    <xf numFmtId="167" fontId="0" fillId="0" borderId="1" xfId="0" applyNumberFormat="1" applyBorder="1"/>
    <xf numFmtId="0" fontId="0" fillId="0" borderId="1" xfId="0" quotePrefix="1" applyBorder="1"/>
    <xf numFmtId="14" fontId="0" fillId="0" borderId="1" xfId="0" applyNumberFormat="1" applyBorder="1"/>
    <xf numFmtId="43" fontId="0" fillId="0" borderId="1" xfId="1" applyFont="1" applyFill="1" applyBorder="1"/>
    <xf numFmtId="17" fontId="0" fillId="0" borderId="0" xfId="0" applyNumberFormat="1"/>
    <xf numFmtId="4" fontId="0" fillId="0" borderId="0" xfId="0" applyNumberFormat="1"/>
    <xf numFmtId="4" fontId="26" fillId="0" borderId="0" xfId="0" applyNumberFormat="1" applyFont="1"/>
    <xf numFmtId="0" fontId="27" fillId="0" borderId="0" xfId="0" applyFont="1"/>
    <xf numFmtId="4" fontId="26" fillId="2" borderId="0" xfId="0" applyNumberFormat="1" applyFont="1" applyFill="1"/>
    <xf numFmtId="43" fontId="19" fillId="0" borderId="0" xfId="1" applyFont="1"/>
    <xf numFmtId="3" fontId="0" fillId="0" borderId="0" xfId="0" applyNumberFormat="1" applyFill="1"/>
    <xf numFmtId="3" fontId="27" fillId="0" borderId="0" xfId="0" applyNumberFormat="1" applyFont="1"/>
    <xf numFmtId="165" fontId="19" fillId="0" borderId="0" xfId="4" applyNumberFormat="1" applyFont="1"/>
    <xf numFmtId="0" fontId="28" fillId="0" borderId="0" xfId="0" applyFont="1" applyFill="1" applyBorder="1"/>
    <xf numFmtId="0" fontId="28" fillId="0" borderId="0" xfId="0" applyFont="1" applyBorder="1"/>
    <xf numFmtId="0" fontId="9" fillId="0" borderId="0" xfId="0" applyFont="1" applyBorder="1"/>
    <xf numFmtId="0" fontId="29" fillId="0" borderId="0" xfId="0" applyFont="1"/>
    <xf numFmtId="0" fontId="22" fillId="0" borderId="0" xfId="0" applyFont="1"/>
    <xf numFmtId="0" fontId="30" fillId="0" borderId="0" xfId="0" applyFont="1"/>
    <xf numFmtId="0" fontId="30" fillId="0" borderId="2" xfId="0" applyFont="1" applyBorder="1"/>
    <xf numFmtId="0" fontId="22" fillId="0" borderId="4" xfId="0" applyFont="1" applyBorder="1"/>
    <xf numFmtId="0" fontId="22" fillId="0" borderId="0" xfId="0" applyFont="1" applyBorder="1"/>
    <xf numFmtId="0" fontId="22" fillId="0" borderId="5" xfId="0" applyFont="1" applyBorder="1"/>
    <xf numFmtId="0" fontId="30" fillId="0" borderId="0" xfId="0" applyFont="1" applyBorder="1"/>
    <xf numFmtId="0" fontId="30" fillId="3" borderId="0" xfId="0" applyFont="1" applyFill="1" applyBorder="1"/>
    <xf numFmtId="0" fontId="30" fillId="0" borderId="5" xfId="0" applyFont="1" applyBorder="1"/>
    <xf numFmtId="0" fontId="30" fillId="0" borderId="0" xfId="0" applyFont="1" applyFill="1" applyBorder="1"/>
    <xf numFmtId="0" fontId="30" fillId="0" borderId="7" xfId="0" applyFont="1" applyFill="1" applyBorder="1"/>
    <xf numFmtId="0" fontId="30" fillId="0" borderId="7" xfId="0" applyFont="1" applyBorder="1"/>
    <xf numFmtId="0" fontId="0" fillId="4" borderId="0" xfId="0" applyFill="1"/>
    <xf numFmtId="0" fontId="0" fillId="5" borderId="0" xfId="0" applyFill="1"/>
    <xf numFmtId="0" fontId="20" fillId="5" borderId="0" xfId="0" applyFont="1" applyFill="1"/>
    <xf numFmtId="0" fontId="20" fillId="3" borderId="9" xfId="0" applyFont="1" applyFill="1" applyBorder="1"/>
    <xf numFmtId="0" fontId="6" fillId="0" borderId="9" xfId="0" applyFont="1" applyBorder="1" applyAlignment="1">
      <alignment horizontal="center"/>
    </xf>
    <xf numFmtId="0" fontId="0" fillId="0" borderId="3" xfId="0" applyBorder="1" applyAlignment="1">
      <alignment wrapText="1"/>
    </xf>
    <xf numFmtId="0" fontId="0" fillId="0" borderId="0" xfId="0" applyAlignment="1">
      <alignment horizontal="left"/>
    </xf>
    <xf numFmtId="0" fontId="4" fillId="0" borderId="0" xfId="0" applyFont="1" applyAlignment="1">
      <alignment horizontal="left"/>
    </xf>
    <xf numFmtId="0" fontId="0" fillId="0" borderId="4" xfId="0" applyBorder="1" applyAlignment="1">
      <alignment horizontal="center"/>
    </xf>
    <xf numFmtId="14" fontId="0" fillId="0" borderId="0" xfId="0" applyNumberFormat="1" applyFont="1" applyFill="1" applyBorder="1" applyAlignment="1">
      <alignment horizontal="center"/>
    </xf>
    <xf numFmtId="0" fontId="0" fillId="0" borderId="0" xfId="0" applyBorder="1" applyAlignment="1">
      <alignment horizontal="center"/>
    </xf>
    <xf numFmtId="8" fontId="0" fillId="0" borderId="0" xfId="0" applyNumberFormat="1" applyFill="1" applyBorder="1" applyAlignment="1">
      <alignment horizontal="center"/>
    </xf>
    <xf numFmtId="39" fontId="23" fillId="0" borderId="0" xfId="0" applyNumberFormat="1" applyFont="1" applyFill="1" applyBorder="1" applyAlignment="1">
      <alignment horizontal="center"/>
    </xf>
    <xf numFmtId="0" fontId="0" fillId="0" borderId="0" xfId="0" applyFont="1" applyBorder="1" applyAlignment="1">
      <alignment horizontal="center" wrapText="1"/>
    </xf>
    <xf numFmtId="0" fontId="0" fillId="0" borderId="5" xfId="0" applyFill="1" applyBorder="1" applyAlignment="1">
      <alignment horizontal="center"/>
    </xf>
    <xf numFmtId="0" fontId="0" fillId="0" borderId="6" xfId="0" applyBorder="1" applyAlignment="1">
      <alignment horizontal="center"/>
    </xf>
    <xf numFmtId="14" fontId="0" fillId="0" borderId="7" xfId="0" applyNumberFormat="1" applyFont="1" applyFill="1" applyBorder="1" applyAlignment="1">
      <alignment horizontal="center"/>
    </xf>
    <xf numFmtId="0" fontId="0" fillId="0" borderId="7" xfId="0" applyBorder="1" applyAlignment="1">
      <alignment horizontal="center"/>
    </xf>
    <xf numFmtId="8" fontId="0" fillId="0" borderId="7" xfId="0" applyNumberFormat="1" applyFill="1" applyBorder="1" applyAlignment="1">
      <alignment horizontal="center"/>
    </xf>
    <xf numFmtId="39" fontId="23" fillId="0" borderId="7" xfId="0" applyNumberFormat="1" applyFont="1" applyFill="1" applyBorder="1" applyAlignment="1">
      <alignment horizontal="center"/>
    </xf>
    <xf numFmtId="0" fontId="0" fillId="0" borderId="8" xfId="0" applyBorder="1" applyAlignment="1">
      <alignment horizontal="center"/>
    </xf>
    <xf numFmtId="0" fontId="22" fillId="0" borderId="0" xfId="0" applyFont="1" applyBorder="1" applyAlignment="1">
      <alignment horizontal="center" wrapText="1"/>
    </xf>
    <xf numFmtId="0" fontId="2" fillId="0" borderId="0" xfId="2" applyBorder="1" applyAlignment="1" applyProtection="1"/>
    <xf numFmtId="0" fontId="4" fillId="0" borderId="0" xfId="0" applyFont="1" applyFill="1" applyBorder="1" applyAlignment="1">
      <alignment wrapText="1"/>
    </xf>
    <xf numFmtId="0" fontId="2" fillId="0" borderId="0" xfId="2" applyFill="1" applyBorder="1" applyAlignment="1" applyProtection="1"/>
    <xf numFmtId="0" fontId="4" fillId="0" borderId="0" xfId="0" applyFont="1" applyFill="1" applyAlignment="1">
      <alignment horizontal="center"/>
    </xf>
    <xf numFmtId="14" fontId="0" fillId="0" borderId="0" xfId="0" applyNumberFormat="1" applyAlignment="1">
      <alignment horizontal="center"/>
    </xf>
    <xf numFmtId="0" fontId="20" fillId="0" borderId="0" xfId="3" applyFont="1" applyAlignment="1">
      <alignment horizontal="center" wrapText="1"/>
    </xf>
    <xf numFmtId="0" fontId="20" fillId="0" borderId="0" xfId="3" applyFont="1" applyAlignment="1">
      <alignment wrapText="1"/>
    </xf>
    <xf numFmtId="0" fontId="0" fillId="0" borderId="0" xfId="0" applyFont="1" applyFill="1"/>
    <xf numFmtId="0" fontId="6" fillId="0" borderId="0" xfId="0" applyFont="1" applyFill="1" applyBorder="1"/>
    <xf numFmtId="0" fontId="0" fillId="0" borderId="0" xfId="0" applyAlignment="1">
      <alignment horizontal="center"/>
    </xf>
    <xf numFmtId="0" fontId="4" fillId="0" borderId="4" xfId="0" applyFont="1" applyBorder="1" applyAlignment="1">
      <alignment wrapText="1"/>
    </xf>
    <xf numFmtId="0" fontId="0" fillId="0" borderId="5" xfId="0" applyBorder="1" applyAlignment="1">
      <alignment wrapText="1"/>
    </xf>
    <xf numFmtId="0" fontId="0" fillId="0" borderId="6" xfId="0" applyBorder="1" applyAlignment="1">
      <alignment wrapText="1"/>
    </xf>
    <xf numFmtId="0" fontId="0" fillId="0" borderId="8" xfId="0" applyBorder="1" applyAlignment="1">
      <alignment wrapText="1"/>
    </xf>
    <xf numFmtId="0" fontId="0" fillId="2" borderId="0" xfId="0" applyFill="1" applyAlignment="1">
      <alignment wrapText="1"/>
    </xf>
    <xf numFmtId="0" fontId="0" fillId="0" borderId="0" xfId="0" applyAlignment="1">
      <alignment wrapText="1"/>
    </xf>
    <xf numFmtId="0" fontId="31" fillId="0" borderId="0" xfId="0" applyFont="1" applyAlignment="1">
      <alignment horizontal="left" vertical="center" wrapText="1"/>
    </xf>
    <xf numFmtId="0" fontId="0" fillId="0" borderId="0" xfId="0" applyAlignment="1">
      <alignment horizontal="left" vertical="center" wrapText="1"/>
    </xf>
  </cellXfs>
  <cellStyles count="5">
    <cellStyle name="Comma" xfId="1" builtinId="3"/>
    <cellStyle name="Hyperlink" xfId="2" builtinId="8"/>
    <cellStyle name="Normal" xfId="0" builtinId="0"/>
    <cellStyle name="Normal 2" xfId="3" xr:uid="{00000000-0005-0000-0000-000003000000}"/>
    <cellStyle name="Percent" xfId="4" builtinId="5"/>
  </cellStyles>
  <dxfs count="2">
    <dxf>
      <font>
        <color rgb="FF9C0006"/>
      </font>
      <fill>
        <patternFill>
          <bgColor rgb="FFFFC7CE"/>
        </patternFill>
      </fill>
    </dxf>
    <dxf>
      <font>
        <color rgb="FF9C0006"/>
      </font>
      <fill>
        <patternFill>
          <bgColor rgb="FFFFC7CE"/>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24</xdr:row>
      <xdr:rowOff>0</xdr:rowOff>
    </xdr:from>
    <xdr:to>
      <xdr:col>21</xdr:col>
      <xdr:colOff>219075</xdr:colOff>
      <xdr:row>77</xdr:row>
      <xdr:rowOff>85725</xdr:rowOff>
    </xdr:to>
    <xdr:pic>
      <xdr:nvPicPr>
        <xdr:cNvPr id="3901" name="Picture 2">
          <a:extLst>
            <a:ext uri="{FF2B5EF4-FFF2-40B4-BE49-F238E27FC236}">
              <a16:creationId xmlns:a16="http://schemas.microsoft.com/office/drawing/2014/main" id="{A20AC98F-F85D-4298-8B25-D575990A3B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4267200"/>
          <a:ext cx="14373225" cy="866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0</xdr:col>
      <xdr:colOff>0</xdr:colOff>
      <xdr:row>130</xdr:row>
      <xdr:rowOff>0</xdr:rowOff>
    </xdr:from>
    <xdr:to>
      <xdr:col>16</xdr:col>
      <xdr:colOff>657225</xdr:colOff>
      <xdr:row>173</xdr:row>
      <xdr:rowOff>9525</xdr:rowOff>
    </xdr:to>
    <xdr:pic>
      <xdr:nvPicPr>
        <xdr:cNvPr id="3902" name="Picture 6">
          <a:extLst>
            <a:ext uri="{FF2B5EF4-FFF2-40B4-BE49-F238E27FC236}">
              <a16:creationId xmlns:a16="http://schemas.microsoft.com/office/drawing/2014/main" id="{A1C6239C-4545-451C-92F2-C4F54EB6C37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21526500"/>
          <a:ext cx="11715750" cy="6972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0</xdr:col>
      <xdr:colOff>819150</xdr:colOff>
      <xdr:row>98</xdr:row>
      <xdr:rowOff>9525</xdr:rowOff>
    </xdr:from>
    <xdr:to>
      <xdr:col>3</xdr:col>
      <xdr:colOff>1885950</xdr:colOff>
      <xdr:row>117</xdr:row>
      <xdr:rowOff>171450</xdr:rowOff>
    </xdr:to>
    <xdr:pic>
      <xdr:nvPicPr>
        <xdr:cNvPr id="3903" name="Picture 111">
          <a:extLst>
            <a:ext uri="{FF2B5EF4-FFF2-40B4-BE49-F238E27FC236}">
              <a16:creationId xmlns:a16="http://schemas.microsoft.com/office/drawing/2014/main" id="{48D67A41-ADA4-4ED0-B794-F963BD3FEC0D}"/>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l="18175" t="44844" r="63087" b="16454"/>
        <a:stretch>
          <a:fillRect/>
        </a:stretch>
      </xdr:blipFill>
      <xdr:spPr bwMode="auto">
        <a:xfrm>
          <a:off x="609600" y="16354425"/>
          <a:ext cx="2486025" cy="32289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36</xdr:row>
      <xdr:rowOff>66675</xdr:rowOff>
    </xdr:from>
    <xdr:to>
      <xdr:col>14</xdr:col>
      <xdr:colOff>685800</xdr:colOff>
      <xdr:row>83</xdr:row>
      <xdr:rowOff>85725</xdr:rowOff>
    </xdr:to>
    <xdr:pic>
      <xdr:nvPicPr>
        <xdr:cNvPr id="6407" name="Picture 1">
          <a:extLst>
            <a:ext uri="{FF2B5EF4-FFF2-40B4-BE49-F238E27FC236}">
              <a16:creationId xmlns:a16="http://schemas.microsoft.com/office/drawing/2014/main" id="{8B9D87E6-CCDD-4E09-AC24-2723F05D5E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6305550"/>
          <a:ext cx="12344400" cy="762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hyperlink" Target="mailto:kcampbell@peerlessnetwork.com" TargetMode="External"/><Relationship Id="rId3" Type="http://schemas.openxmlformats.org/officeDocument/2006/relationships/hyperlink" Target="mailto:dmeldazis@peerlessnetwork.com" TargetMode="External"/><Relationship Id="rId7" Type="http://schemas.openxmlformats.org/officeDocument/2006/relationships/hyperlink" Target="mailto:bgifford@peerlessnetwork.com" TargetMode="External"/><Relationship Id="rId2" Type="http://schemas.openxmlformats.org/officeDocument/2006/relationships/hyperlink" Target="mailto:skell@peerlessnetwork.com" TargetMode="External"/><Relationship Id="rId1" Type="http://schemas.openxmlformats.org/officeDocument/2006/relationships/hyperlink" Target="mailto:bsherman@peerlessnetwork.com" TargetMode="External"/><Relationship Id="rId6" Type="http://schemas.openxmlformats.org/officeDocument/2006/relationships/hyperlink" Target="mailto:dlee@peerlessnetwork.com" TargetMode="External"/><Relationship Id="rId11" Type="http://schemas.openxmlformats.org/officeDocument/2006/relationships/printerSettings" Target="../printerSettings/printerSettings1.bin"/><Relationship Id="rId5" Type="http://schemas.openxmlformats.org/officeDocument/2006/relationships/hyperlink" Target="mailto:jbrewer@peerlessnetwork.com" TargetMode="External"/><Relationship Id="rId10" Type="http://schemas.openxmlformats.org/officeDocument/2006/relationships/hyperlink" Target="mailto:tbutler@peerlessnetwork.com" TargetMode="External"/><Relationship Id="rId4" Type="http://schemas.openxmlformats.org/officeDocument/2006/relationships/hyperlink" Target="mailto:watson_wu@hotmail.com" TargetMode="External"/><Relationship Id="rId9" Type="http://schemas.openxmlformats.org/officeDocument/2006/relationships/hyperlink" Target="mailto:pmcguire@peerlessnetwork.com"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92D050"/>
  </sheetPr>
  <dimension ref="A1:L69"/>
  <sheetViews>
    <sheetView tabSelected="1" topLeftCell="A4" zoomScaleNormal="100" workbookViewId="0">
      <selection activeCell="H9" sqref="H9"/>
    </sheetView>
  </sheetViews>
  <sheetFormatPr defaultColWidth="9.1796875" defaultRowHeight="15.5" x14ac:dyDescent="0.35"/>
  <cols>
    <col min="1" max="1" width="36.453125" style="5" customWidth="1"/>
    <col min="2" max="2" width="23.7265625" style="5" customWidth="1"/>
    <col min="3" max="5" width="21.81640625" style="5" customWidth="1"/>
    <col min="6" max="10" width="21.81640625" style="4" customWidth="1"/>
    <col min="11" max="12" width="21.81640625" style="14" customWidth="1"/>
    <col min="13" max="14" width="19.453125" style="4" bestFit="1" customWidth="1"/>
    <col min="15" max="15" width="11.453125" style="4" bestFit="1" customWidth="1"/>
    <col min="16" max="18" width="10.1796875" style="4" bestFit="1" customWidth="1"/>
    <col min="19" max="16384" width="9.1796875" style="4"/>
  </cols>
  <sheetData>
    <row r="1" spans="1:7" x14ac:dyDescent="0.35">
      <c r="A1" s="1" t="s">
        <v>0</v>
      </c>
      <c r="B1" s="1" t="s">
        <v>13</v>
      </c>
      <c r="C1" s="2" t="s">
        <v>14</v>
      </c>
      <c r="D1" s="2"/>
      <c r="E1" s="2"/>
      <c r="F1" s="3"/>
      <c r="G1" s="3"/>
    </row>
    <row r="2" spans="1:7" x14ac:dyDescent="0.35">
      <c r="A2" s="2"/>
      <c r="B2" s="2" t="s">
        <v>32</v>
      </c>
      <c r="D2" s="2"/>
      <c r="E2" s="2"/>
      <c r="F2" s="3"/>
      <c r="G2" s="3"/>
    </row>
    <row r="3" spans="1:7" x14ac:dyDescent="0.35">
      <c r="A3" s="2"/>
      <c r="B3" s="2" t="s">
        <v>33</v>
      </c>
      <c r="D3" s="2"/>
      <c r="E3" s="2"/>
      <c r="F3" s="3"/>
      <c r="G3" s="3"/>
    </row>
    <row r="4" spans="1:7" x14ac:dyDescent="0.35">
      <c r="A4" s="2"/>
      <c r="B4" s="2" t="s">
        <v>20</v>
      </c>
      <c r="D4" s="2"/>
      <c r="E4" s="2"/>
      <c r="F4" s="3"/>
      <c r="G4" s="3"/>
    </row>
    <row r="5" spans="1:7" x14ac:dyDescent="0.35">
      <c r="A5" s="2"/>
      <c r="B5" s="2"/>
      <c r="D5" s="2"/>
      <c r="E5" s="2"/>
      <c r="F5" s="3"/>
      <c r="G5" s="3"/>
    </row>
    <row r="6" spans="1:7" x14ac:dyDescent="0.35">
      <c r="A6" s="13" t="s">
        <v>31</v>
      </c>
      <c r="B6" s="10" t="s">
        <v>557</v>
      </c>
      <c r="C6" s="10" t="s">
        <v>558</v>
      </c>
      <c r="D6" s="2" t="s">
        <v>559</v>
      </c>
      <c r="E6" s="2"/>
      <c r="F6" s="3"/>
      <c r="G6" s="3"/>
    </row>
    <row r="7" spans="1:7" ht="26" x14ac:dyDescent="0.35">
      <c r="A7" s="11" t="s">
        <v>553</v>
      </c>
      <c r="B7" s="10" t="s">
        <v>554</v>
      </c>
      <c r="C7" s="119" t="s">
        <v>556</v>
      </c>
      <c r="D7" s="118" t="s">
        <v>555</v>
      </c>
      <c r="E7" s="2"/>
      <c r="F7" s="3"/>
      <c r="G7" s="3"/>
    </row>
    <row r="8" spans="1:7" x14ac:dyDescent="0.35">
      <c r="A8" s="2" t="s">
        <v>560</v>
      </c>
      <c r="B8" s="10" t="s">
        <v>561</v>
      </c>
      <c r="C8" s="119" t="s">
        <v>562</v>
      </c>
      <c r="D8" s="118" t="s">
        <v>563</v>
      </c>
      <c r="E8" s="2"/>
      <c r="F8" s="3"/>
      <c r="G8" s="3"/>
    </row>
    <row r="9" spans="1:7" x14ac:dyDescent="0.35">
      <c r="A9" s="10" t="s">
        <v>564</v>
      </c>
      <c r="B9" s="10" t="s">
        <v>565</v>
      </c>
      <c r="C9" s="119" t="s">
        <v>566</v>
      </c>
      <c r="D9" s="120" t="s">
        <v>567</v>
      </c>
      <c r="E9" s="2"/>
      <c r="F9" s="3"/>
      <c r="G9" s="3"/>
    </row>
    <row r="10" spans="1:7" ht="26" x14ac:dyDescent="0.35">
      <c r="A10" s="10" t="s">
        <v>568</v>
      </c>
      <c r="B10" s="10" t="s">
        <v>569</v>
      </c>
      <c r="C10" s="119" t="s">
        <v>570</v>
      </c>
      <c r="D10" s="118" t="s">
        <v>571</v>
      </c>
      <c r="E10" s="2"/>
      <c r="F10" s="3"/>
      <c r="G10" s="3"/>
    </row>
    <row r="11" spans="1:7" x14ac:dyDescent="0.35">
      <c r="A11" s="10" t="s">
        <v>572</v>
      </c>
      <c r="B11" s="10" t="s">
        <v>573</v>
      </c>
      <c r="C11" s="119" t="s">
        <v>574</v>
      </c>
      <c r="D11" s="118" t="s">
        <v>575</v>
      </c>
      <c r="E11" s="2"/>
      <c r="F11" s="3"/>
      <c r="G11" s="3"/>
    </row>
    <row r="12" spans="1:7" x14ac:dyDescent="0.35">
      <c r="A12" s="10" t="s">
        <v>576</v>
      </c>
      <c r="B12" s="10" t="s">
        <v>577</v>
      </c>
      <c r="C12" s="119" t="s">
        <v>578</v>
      </c>
      <c r="D12" s="118" t="s">
        <v>579</v>
      </c>
      <c r="E12" s="2"/>
      <c r="F12" s="3"/>
      <c r="G12" s="3"/>
    </row>
    <row r="13" spans="1:7" x14ac:dyDescent="0.35">
      <c r="A13" s="10" t="s">
        <v>580</v>
      </c>
      <c r="B13" s="10" t="s">
        <v>577</v>
      </c>
      <c r="D13" s="118" t="s">
        <v>581</v>
      </c>
      <c r="E13" s="2"/>
      <c r="F13" s="3"/>
      <c r="G13" s="3"/>
    </row>
    <row r="14" spans="1:7" x14ac:dyDescent="0.35">
      <c r="A14" s="126" t="s">
        <v>692</v>
      </c>
      <c r="B14" s="10"/>
      <c r="D14" s="118" t="s">
        <v>694</v>
      </c>
      <c r="E14" s="2"/>
      <c r="F14" s="3"/>
      <c r="G14" s="3"/>
    </row>
    <row r="15" spans="1:7" x14ac:dyDescent="0.35">
      <c r="A15" s="126" t="s">
        <v>693</v>
      </c>
      <c r="B15" s="10"/>
      <c r="D15" s="118" t="s">
        <v>695</v>
      </c>
      <c r="E15" s="2"/>
      <c r="F15" s="3"/>
      <c r="G15" s="3"/>
    </row>
    <row r="16" spans="1:7" x14ac:dyDescent="0.35">
      <c r="A16" s="126" t="s">
        <v>696</v>
      </c>
      <c r="B16" s="10" t="s">
        <v>698</v>
      </c>
      <c r="D16" s="118" t="s">
        <v>697</v>
      </c>
      <c r="E16" s="2"/>
      <c r="F16" s="3"/>
      <c r="G16" s="3"/>
    </row>
    <row r="17" spans="1:7" x14ac:dyDescent="0.35">
      <c r="A17" s="2"/>
      <c r="B17" s="2"/>
      <c r="C17" s="2"/>
      <c r="D17" s="2"/>
      <c r="E17" s="2"/>
      <c r="F17" s="3"/>
      <c r="G17" s="3"/>
    </row>
    <row r="18" spans="1:7" x14ac:dyDescent="0.35">
      <c r="A18" s="2" t="s">
        <v>1</v>
      </c>
      <c r="B18" s="6" t="s">
        <v>30</v>
      </c>
      <c r="C18" s="2"/>
      <c r="D18" s="2"/>
      <c r="E18" s="2"/>
      <c r="F18" s="3"/>
      <c r="G18" s="3"/>
    </row>
    <row r="19" spans="1:7" x14ac:dyDescent="0.35">
      <c r="A19" s="2" t="s">
        <v>2</v>
      </c>
      <c r="B19" s="6" t="s">
        <v>15</v>
      </c>
      <c r="C19" s="2"/>
      <c r="D19" s="2"/>
      <c r="E19" s="2"/>
      <c r="F19" s="3"/>
      <c r="G19" s="3"/>
    </row>
    <row r="20" spans="1:7" x14ac:dyDescent="0.35">
      <c r="A20" s="2"/>
      <c r="B20" s="2"/>
      <c r="C20" s="2"/>
      <c r="D20" s="2"/>
      <c r="E20" s="2"/>
      <c r="F20" s="3"/>
      <c r="G20" s="3"/>
    </row>
    <row r="21" spans="1:7" x14ac:dyDescent="0.35">
      <c r="A21" s="2" t="s">
        <v>8</v>
      </c>
      <c r="B21" s="2" t="s">
        <v>9</v>
      </c>
      <c r="C21" s="2"/>
      <c r="D21" s="2"/>
      <c r="E21" s="2"/>
      <c r="F21" s="3"/>
      <c r="G21" s="3"/>
    </row>
    <row r="22" spans="1:7" x14ac:dyDescent="0.35">
      <c r="A22" s="2"/>
      <c r="B22" s="17" t="s">
        <v>43</v>
      </c>
      <c r="C22" s="9"/>
      <c r="D22" s="9"/>
      <c r="E22" s="2"/>
      <c r="F22" s="3"/>
      <c r="G22" s="3"/>
    </row>
    <row r="23" spans="1:7" x14ac:dyDescent="0.35">
      <c r="A23" s="2"/>
      <c r="B23" s="3" t="s">
        <v>44</v>
      </c>
      <c r="C23" s="3"/>
      <c r="D23" s="3"/>
      <c r="E23" s="2"/>
      <c r="F23" s="3"/>
      <c r="G23" s="3"/>
    </row>
    <row r="24" spans="1:7" x14ac:dyDescent="0.35">
      <c r="A24" s="2"/>
      <c r="B24" s="3"/>
      <c r="C24" s="3"/>
      <c r="D24" s="3"/>
      <c r="E24" s="2"/>
      <c r="F24" s="3"/>
      <c r="G24" s="3"/>
    </row>
    <row r="25" spans="1:7" x14ac:dyDescent="0.35">
      <c r="A25" s="2" t="s">
        <v>10</v>
      </c>
      <c r="B25" s="10" t="s">
        <v>690</v>
      </c>
      <c r="C25" s="2"/>
      <c r="D25" s="2"/>
      <c r="E25" s="2"/>
      <c r="F25" s="3"/>
      <c r="G25" s="3"/>
    </row>
    <row r="26" spans="1:7" x14ac:dyDescent="0.35">
      <c r="A26" s="2" t="s">
        <v>689</v>
      </c>
      <c r="B26" s="2"/>
      <c r="C26" s="2" t="s">
        <v>691</v>
      </c>
      <c r="D26" s="2"/>
      <c r="E26" s="2"/>
      <c r="F26" s="3"/>
      <c r="G26" s="3"/>
    </row>
    <row r="27" spans="1:7" x14ac:dyDescent="0.35">
      <c r="A27" s="2"/>
      <c r="B27" s="2"/>
      <c r="C27" s="2"/>
      <c r="D27" s="2"/>
      <c r="E27" s="2"/>
      <c r="F27" s="3"/>
      <c r="G27" s="3"/>
    </row>
    <row r="28" spans="1:7" x14ac:dyDescent="0.35">
      <c r="A28" s="2" t="s">
        <v>11</v>
      </c>
      <c r="B28" s="10" t="s">
        <v>45</v>
      </c>
      <c r="C28" s="2"/>
      <c r="D28" s="2"/>
      <c r="E28" s="2"/>
      <c r="F28" s="3"/>
      <c r="G28" s="3"/>
    </row>
    <row r="29" spans="1:7" x14ac:dyDescent="0.35">
      <c r="A29" s="11"/>
      <c r="B29" s="7"/>
      <c r="C29" s="7"/>
      <c r="D29" s="7"/>
      <c r="E29" s="7"/>
      <c r="F29" s="3"/>
      <c r="G29" s="3"/>
    </row>
    <row r="30" spans="1:7" x14ac:dyDescent="0.35">
      <c r="A30" s="2" t="s">
        <v>12</v>
      </c>
      <c r="B30" s="2" t="s">
        <v>29</v>
      </c>
      <c r="C30" s="2"/>
      <c r="D30" s="2"/>
      <c r="E30" s="2"/>
      <c r="F30" s="3"/>
      <c r="G30" s="3"/>
    </row>
    <row r="31" spans="1:7" x14ac:dyDescent="0.35">
      <c r="A31" s="2"/>
      <c r="B31" s="2" t="s">
        <v>34</v>
      </c>
      <c r="C31" s="2"/>
      <c r="D31" s="2"/>
      <c r="E31" s="2"/>
      <c r="F31" s="3"/>
      <c r="G31" s="3"/>
    </row>
    <row r="33" spans="1:2" x14ac:dyDescent="0.35">
      <c r="B33" s="18" t="s">
        <v>46</v>
      </c>
    </row>
    <row r="34" spans="1:2" x14ac:dyDescent="0.35">
      <c r="A34" s="5" t="s">
        <v>372</v>
      </c>
      <c r="B34" s="5" t="s">
        <v>370</v>
      </c>
    </row>
    <row r="35" spans="1:2" x14ac:dyDescent="0.35">
      <c r="A35" s="5" t="s">
        <v>372</v>
      </c>
      <c r="B35" s="5" t="s">
        <v>371</v>
      </c>
    </row>
    <row r="37" spans="1:2" x14ac:dyDescent="0.35">
      <c r="B37" s="18" t="s">
        <v>47</v>
      </c>
    </row>
    <row r="38" spans="1:2" x14ac:dyDescent="0.35">
      <c r="B38" s="5" t="s">
        <v>48</v>
      </c>
    </row>
    <row r="39" spans="1:2" x14ac:dyDescent="0.35">
      <c r="B39" s="5" t="s">
        <v>49</v>
      </c>
    </row>
    <row r="40" spans="1:2" x14ac:dyDescent="0.35">
      <c r="B40" s="5" t="s">
        <v>50</v>
      </c>
    </row>
    <row r="42" spans="1:2" x14ac:dyDescent="0.35">
      <c r="B42" s="5" t="s">
        <v>52</v>
      </c>
    </row>
    <row r="43" spans="1:2" x14ac:dyDescent="0.35">
      <c r="B43" s="5" t="s">
        <v>51</v>
      </c>
    </row>
    <row r="45" spans="1:2" x14ac:dyDescent="0.35">
      <c r="B45" s="18" t="s">
        <v>53</v>
      </c>
    </row>
    <row r="46" spans="1:2" x14ac:dyDescent="0.35">
      <c r="B46" s="5" t="s">
        <v>54</v>
      </c>
    </row>
    <row r="47" spans="1:2" x14ac:dyDescent="0.35">
      <c r="B47" s="5" t="s">
        <v>55</v>
      </c>
    </row>
    <row r="49" spans="2:3" x14ac:dyDescent="0.35">
      <c r="B49" s="18" t="s">
        <v>355</v>
      </c>
    </row>
    <row r="50" spans="2:3" x14ac:dyDescent="0.35">
      <c r="B50" s="80" t="s">
        <v>360</v>
      </c>
    </row>
    <row r="51" spans="2:3" x14ac:dyDescent="0.35">
      <c r="B51" s="5" t="s">
        <v>356</v>
      </c>
    </row>
    <row r="52" spans="2:3" x14ac:dyDescent="0.35">
      <c r="B52" s="5" t="s">
        <v>357</v>
      </c>
    </row>
    <row r="53" spans="2:3" x14ac:dyDescent="0.35">
      <c r="B53" s="5" t="s">
        <v>358</v>
      </c>
    </row>
    <row r="54" spans="2:3" x14ac:dyDescent="0.35">
      <c r="B54" s="5" t="s">
        <v>359</v>
      </c>
    </row>
    <row r="56" spans="2:3" x14ac:dyDescent="0.35">
      <c r="B56" s="81" t="s">
        <v>361</v>
      </c>
    </row>
    <row r="57" spans="2:3" x14ac:dyDescent="0.35">
      <c r="B57" s="82" t="s">
        <v>368</v>
      </c>
    </row>
    <row r="58" spans="2:3" x14ac:dyDescent="0.35">
      <c r="B58" s="5" t="s">
        <v>362</v>
      </c>
    </row>
    <row r="59" spans="2:3" x14ac:dyDescent="0.35">
      <c r="B59" s="5" t="s">
        <v>363</v>
      </c>
    </row>
    <row r="60" spans="2:3" x14ac:dyDescent="0.35">
      <c r="B60" s="5" t="s">
        <v>364</v>
      </c>
    </row>
    <row r="61" spans="2:3" x14ac:dyDescent="0.35">
      <c r="B61" s="5" t="s">
        <v>365</v>
      </c>
    </row>
    <row r="62" spans="2:3" x14ac:dyDescent="0.35">
      <c r="C62" s="5" t="s">
        <v>366</v>
      </c>
    </row>
    <row r="63" spans="2:3" x14ac:dyDescent="0.35">
      <c r="B63" s="5" t="s">
        <v>367</v>
      </c>
    </row>
    <row r="66" spans="1:2" x14ac:dyDescent="0.35">
      <c r="A66" s="5" t="s">
        <v>437</v>
      </c>
      <c r="B66" s="5" t="s">
        <v>433</v>
      </c>
    </row>
    <row r="67" spans="1:2" x14ac:dyDescent="0.35">
      <c r="B67" s="5" t="s">
        <v>434</v>
      </c>
    </row>
    <row r="68" spans="1:2" x14ac:dyDescent="0.35">
      <c r="B68" s="5" t="s">
        <v>435</v>
      </c>
    </row>
    <row r="69" spans="1:2" x14ac:dyDescent="0.35">
      <c r="B69" s="5" t="s">
        <v>436</v>
      </c>
    </row>
  </sheetData>
  <phoneticPr fontId="0" type="noConversion"/>
  <hyperlinks>
    <hyperlink ref="D7" r:id="rId1" xr:uid="{00000000-0004-0000-0000-000000000000}"/>
    <hyperlink ref="D8" r:id="rId2" xr:uid="{00000000-0004-0000-0000-000001000000}"/>
    <hyperlink ref="D9" r:id="rId3" xr:uid="{00000000-0004-0000-0000-000002000000}"/>
    <hyperlink ref="D10" r:id="rId4" xr:uid="{00000000-0004-0000-0000-000003000000}"/>
    <hyperlink ref="D11" r:id="rId5" xr:uid="{00000000-0004-0000-0000-000004000000}"/>
    <hyperlink ref="D12" r:id="rId6" xr:uid="{00000000-0004-0000-0000-000005000000}"/>
    <hyperlink ref="D13" r:id="rId7" xr:uid="{00000000-0004-0000-0000-000006000000}"/>
    <hyperlink ref="D14" r:id="rId8" xr:uid="{00000000-0004-0000-0000-000007000000}"/>
    <hyperlink ref="D15" r:id="rId9" xr:uid="{00000000-0004-0000-0000-000008000000}"/>
    <hyperlink ref="D16" r:id="rId10" xr:uid="{00000000-0004-0000-0000-000009000000}"/>
  </hyperlinks>
  <printOptions horizontalCentered="1"/>
  <pageMargins left="0" right="0" top="0.55000000000000004" bottom="0.42" header="0.31" footer="0.17"/>
  <pageSetup scale="90" orientation="portrait" r:id="rId11"/>
  <headerFooter alignWithMargins="0">
    <oddFooter>&amp;Lk|client\service bureau\&amp;F &amp;A&amp;C&amp;P of &amp;N&amp;R&amp;D &amp;T</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41EECE-F876-4D67-9EF6-CBA17DB9F309}">
  <sheetPr codeName="Sheet11"/>
  <dimension ref="A1:C17"/>
  <sheetViews>
    <sheetView zoomScale="145" zoomScaleNormal="145" workbookViewId="0">
      <selection activeCell="A2" sqref="A2"/>
    </sheetView>
  </sheetViews>
  <sheetFormatPr defaultRowHeight="12.5" x14ac:dyDescent="0.25"/>
  <cols>
    <col min="1" max="1" width="18.54296875" bestFit="1" customWidth="1"/>
    <col min="2" max="2" width="4" bestFit="1" customWidth="1"/>
    <col min="3" max="3" width="57" bestFit="1" customWidth="1"/>
  </cols>
  <sheetData>
    <row r="1" spans="1:3" x14ac:dyDescent="0.25">
      <c r="A1" t="s">
        <v>699</v>
      </c>
      <c r="B1">
        <v>1</v>
      </c>
      <c r="C1" t="s">
        <v>704</v>
      </c>
    </row>
    <row r="2" spans="1:3" x14ac:dyDescent="0.25">
      <c r="A2" t="s">
        <v>700</v>
      </c>
      <c r="B2">
        <v>1</v>
      </c>
      <c r="C2" t="s">
        <v>717</v>
      </c>
    </row>
    <row r="3" spans="1:3" x14ac:dyDescent="0.25">
      <c r="A3" t="s">
        <v>701</v>
      </c>
      <c r="B3">
        <v>1</v>
      </c>
      <c r="C3" t="s">
        <v>703</v>
      </c>
    </row>
    <row r="4" spans="1:3" x14ac:dyDescent="0.25">
      <c r="A4" t="s">
        <v>702</v>
      </c>
      <c r="B4">
        <v>1</v>
      </c>
      <c r="C4" t="s">
        <v>705</v>
      </c>
    </row>
    <row r="5" spans="1:3" x14ac:dyDescent="0.25">
      <c r="A5" t="s">
        <v>422</v>
      </c>
      <c r="B5">
        <v>1</v>
      </c>
      <c r="C5" t="s">
        <v>706</v>
      </c>
    </row>
    <row r="6" spans="1:3" x14ac:dyDescent="0.25">
      <c r="A6" t="s">
        <v>707</v>
      </c>
      <c r="B6">
        <v>1</v>
      </c>
      <c r="C6" t="s">
        <v>708</v>
      </c>
    </row>
    <row r="7" spans="1:3" x14ac:dyDescent="0.25">
      <c r="A7" t="s">
        <v>709</v>
      </c>
      <c r="B7">
        <v>1</v>
      </c>
      <c r="C7" t="s">
        <v>710</v>
      </c>
    </row>
    <row r="8" spans="1:3" x14ac:dyDescent="0.25">
      <c r="A8" t="s">
        <v>711</v>
      </c>
      <c r="B8">
        <v>2</v>
      </c>
      <c r="C8" t="s">
        <v>712</v>
      </c>
    </row>
    <row r="9" spans="1:3" x14ac:dyDescent="0.25">
      <c r="A9" s="59" t="s">
        <v>713</v>
      </c>
      <c r="B9" s="59">
        <v>1</v>
      </c>
      <c r="C9" s="59" t="s">
        <v>714</v>
      </c>
    </row>
    <row r="10" spans="1:3" x14ac:dyDescent="0.25">
      <c r="A10" t="s">
        <v>715</v>
      </c>
      <c r="B10">
        <v>1</v>
      </c>
      <c r="C10" t="s">
        <v>716</v>
      </c>
    </row>
    <row r="11" spans="1:3" x14ac:dyDescent="0.25">
      <c r="A11" s="59" t="s">
        <v>718</v>
      </c>
      <c r="B11" s="59">
        <v>1</v>
      </c>
      <c r="C11" s="59" t="s">
        <v>720</v>
      </c>
    </row>
    <row r="12" spans="1:3" x14ac:dyDescent="0.25">
      <c r="A12" s="59" t="s">
        <v>719</v>
      </c>
      <c r="B12" s="59">
        <v>1</v>
      </c>
      <c r="C12" s="59" t="s">
        <v>721</v>
      </c>
    </row>
    <row r="13" spans="1:3" x14ac:dyDescent="0.25">
      <c r="A13" t="s">
        <v>722</v>
      </c>
      <c r="B13">
        <v>2</v>
      </c>
      <c r="C13" t="s">
        <v>729</v>
      </c>
    </row>
    <row r="14" spans="1:3" x14ac:dyDescent="0.25">
      <c r="A14" t="s">
        <v>723</v>
      </c>
      <c r="B14">
        <v>1</v>
      </c>
      <c r="C14" t="s">
        <v>724</v>
      </c>
    </row>
    <row r="15" spans="1:3" x14ac:dyDescent="0.25">
      <c r="A15" t="s">
        <v>725</v>
      </c>
      <c r="B15">
        <v>2</v>
      </c>
      <c r="C15" t="s">
        <v>726</v>
      </c>
    </row>
    <row r="16" spans="1:3" x14ac:dyDescent="0.25">
      <c r="A16" t="s">
        <v>727</v>
      </c>
      <c r="B16">
        <v>1</v>
      </c>
      <c r="C16" t="s">
        <v>728</v>
      </c>
    </row>
    <row r="17" spans="1:3" x14ac:dyDescent="0.25">
      <c r="A17" t="s">
        <v>730</v>
      </c>
      <c r="B17">
        <v>1</v>
      </c>
      <c r="C17" t="s">
        <v>731</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5">
    <tabColor rgb="FFFF0000"/>
  </sheetPr>
  <dimension ref="A1:N33"/>
  <sheetViews>
    <sheetView workbookViewId="0">
      <selection activeCell="A3" sqref="A3:A33"/>
    </sheetView>
  </sheetViews>
  <sheetFormatPr defaultRowHeight="12.5" x14ac:dyDescent="0.25"/>
  <cols>
    <col min="4" max="4" width="9.1796875" style="7" customWidth="1"/>
    <col min="5" max="5" width="12.81640625" style="122" bestFit="1" customWidth="1"/>
    <col min="6" max="13" width="10.453125" customWidth="1"/>
    <col min="14" max="14" width="14.7265625" style="62" bestFit="1" customWidth="1"/>
  </cols>
  <sheetData>
    <row r="1" spans="1:14" x14ac:dyDescent="0.25">
      <c r="F1" s="127" t="s">
        <v>587</v>
      </c>
      <c r="G1" s="127"/>
      <c r="H1" s="127"/>
      <c r="I1" s="127"/>
      <c r="J1" s="127" t="s">
        <v>585</v>
      </c>
      <c r="K1" s="127"/>
      <c r="L1" s="127"/>
      <c r="M1" s="127"/>
    </row>
    <row r="2" spans="1:14" x14ac:dyDescent="0.25">
      <c r="A2" t="s">
        <v>588</v>
      </c>
      <c r="B2" s="2" t="s">
        <v>3</v>
      </c>
      <c r="C2" s="2" t="s">
        <v>4</v>
      </c>
      <c r="D2" s="7" t="s">
        <v>5</v>
      </c>
      <c r="E2" s="122" t="s">
        <v>6</v>
      </c>
      <c r="F2" s="10" t="s">
        <v>586</v>
      </c>
      <c r="G2" s="10" t="s">
        <v>582</v>
      </c>
      <c r="H2" s="10" t="s">
        <v>583</v>
      </c>
      <c r="I2" s="10" t="s">
        <v>584</v>
      </c>
      <c r="J2" s="10" t="s">
        <v>586</v>
      </c>
      <c r="K2" s="10" t="s">
        <v>582</v>
      </c>
      <c r="L2" s="10" t="s">
        <v>583</v>
      </c>
      <c r="M2" s="10" t="s">
        <v>584</v>
      </c>
      <c r="N2" s="7" t="s">
        <v>7</v>
      </c>
    </row>
    <row r="3" spans="1:14" x14ac:dyDescent="0.25">
      <c r="A3" t="s">
        <v>590</v>
      </c>
      <c r="B3" s="121" t="s">
        <v>28</v>
      </c>
      <c r="C3" s="15" t="s">
        <v>603</v>
      </c>
      <c r="D3" s="7" t="s">
        <v>602</v>
      </c>
      <c r="E3" s="122">
        <v>42526</v>
      </c>
      <c r="F3" s="16">
        <v>0</v>
      </c>
      <c r="G3" s="8">
        <v>0</v>
      </c>
      <c r="H3" s="8">
        <v>0</v>
      </c>
      <c r="I3" s="16">
        <v>0</v>
      </c>
      <c r="J3" s="16">
        <v>0</v>
      </c>
      <c r="K3" s="8">
        <v>0</v>
      </c>
      <c r="L3" s="8">
        <v>1</v>
      </c>
      <c r="M3" s="8">
        <v>0</v>
      </c>
      <c r="N3" s="62" t="s">
        <v>550</v>
      </c>
    </row>
    <row r="4" spans="1:14" x14ac:dyDescent="0.25">
      <c r="A4" t="s">
        <v>590</v>
      </c>
      <c r="B4" s="121" t="s">
        <v>26</v>
      </c>
      <c r="C4" s="15" t="s">
        <v>594</v>
      </c>
      <c r="D4" s="7" t="s">
        <v>602</v>
      </c>
      <c r="E4" s="122">
        <v>42160</v>
      </c>
      <c r="F4" s="16">
        <v>0</v>
      </c>
      <c r="G4" s="8">
        <v>0</v>
      </c>
      <c r="H4" s="8">
        <v>0</v>
      </c>
      <c r="I4" s="16">
        <v>0</v>
      </c>
      <c r="J4" s="16">
        <v>0</v>
      </c>
      <c r="K4" s="8">
        <v>0</v>
      </c>
      <c r="L4" s="8">
        <v>1</v>
      </c>
      <c r="M4" s="8">
        <v>0</v>
      </c>
      <c r="N4" s="62" t="s">
        <v>550</v>
      </c>
    </row>
    <row r="5" spans="1:14" x14ac:dyDescent="0.25">
      <c r="A5" t="s">
        <v>590</v>
      </c>
      <c r="B5" s="121" t="s">
        <v>17</v>
      </c>
      <c r="C5" s="15" t="s">
        <v>514</v>
      </c>
      <c r="D5" s="7" t="s">
        <v>602</v>
      </c>
      <c r="E5" s="122">
        <v>41978</v>
      </c>
      <c r="F5" s="16">
        <v>0</v>
      </c>
      <c r="G5" s="8">
        <v>0</v>
      </c>
      <c r="H5" s="8">
        <v>0</v>
      </c>
      <c r="I5" s="16">
        <v>0</v>
      </c>
      <c r="J5" s="16">
        <v>0</v>
      </c>
      <c r="K5" s="8">
        <v>0</v>
      </c>
      <c r="L5" s="8">
        <v>1</v>
      </c>
      <c r="M5" s="8">
        <v>0</v>
      </c>
      <c r="N5" s="7" t="s">
        <v>550</v>
      </c>
    </row>
    <row r="6" spans="1:14" x14ac:dyDescent="0.25">
      <c r="A6" t="s">
        <v>590</v>
      </c>
      <c r="B6" s="121" t="s">
        <v>604</v>
      </c>
      <c r="C6" s="15" t="s">
        <v>605</v>
      </c>
      <c r="D6" s="7" t="s">
        <v>602</v>
      </c>
      <c r="E6" s="122">
        <v>42556</v>
      </c>
      <c r="F6" s="16">
        <v>0</v>
      </c>
      <c r="G6" s="8">
        <v>0</v>
      </c>
      <c r="H6" s="8">
        <v>0</v>
      </c>
      <c r="I6" s="16">
        <v>0</v>
      </c>
      <c r="J6" s="16">
        <v>0</v>
      </c>
      <c r="K6" s="8">
        <v>0</v>
      </c>
      <c r="L6" s="8">
        <v>1</v>
      </c>
      <c r="M6" s="8">
        <v>0</v>
      </c>
      <c r="N6" s="62" t="s">
        <v>550</v>
      </c>
    </row>
    <row r="7" spans="1:14" x14ac:dyDescent="0.25">
      <c r="A7" t="s">
        <v>590</v>
      </c>
      <c r="B7" s="121" t="s">
        <v>591</v>
      </c>
      <c r="C7" s="15" t="s">
        <v>515</v>
      </c>
      <c r="D7" s="7" t="s">
        <v>602</v>
      </c>
      <c r="E7" s="122">
        <v>42040</v>
      </c>
      <c r="F7" s="16">
        <v>0</v>
      </c>
      <c r="G7" s="8">
        <v>0</v>
      </c>
      <c r="H7" s="8">
        <v>0</v>
      </c>
      <c r="I7" s="16">
        <v>0</v>
      </c>
      <c r="J7" s="16">
        <v>0</v>
      </c>
      <c r="K7" s="8">
        <v>0</v>
      </c>
      <c r="L7" s="8">
        <v>1</v>
      </c>
      <c r="M7" s="8">
        <v>0</v>
      </c>
      <c r="N7" s="7" t="s">
        <v>550</v>
      </c>
    </row>
    <row r="8" spans="1:14" x14ac:dyDescent="0.25">
      <c r="A8" t="s">
        <v>590</v>
      </c>
      <c r="B8" s="121" t="s">
        <v>591</v>
      </c>
      <c r="C8" s="15" t="s">
        <v>515</v>
      </c>
      <c r="D8" s="7" t="s">
        <v>602</v>
      </c>
      <c r="E8" s="122">
        <v>42221</v>
      </c>
      <c r="F8" s="16">
        <v>0</v>
      </c>
      <c r="G8" s="8">
        <v>0</v>
      </c>
      <c r="H8" s="8">
        <v>0</v>
      </c>
      <c r="I8" s="16">
        <v>0</v>
      </c>
      <c r="J8" s="16">
        <v>0</v>
      </c>
      <c r="K8" s="8">
        <v>0</v>
      </c>
      <c r="L8" s="8">
        <v>1</v>
      </c>
      <c r="M8" s="8">
        <v>0</v>
      </c>
      <c r="N8" s="62" t="s">
        <v>550</v>
      </c>
    </row>
    <row r="9" spans="1:14" x14ac:dyDescent="0.25">
      <c r="A9" t="s">
        <v>590</v>
      </c>
      <c r="B9" s="121" t="s">
        <v>16</v>
      </c>
      <c r="C9" s="15" t="s">
        <v>516</v>
      </c>
      <c r="D9" s="7" t="s">
        <v>602</v>
      </c>
      <c r="E9" s="122">
        <v>42040</v>
      </c>
      <c r="F9" s="16">
        <v>0</v>
      </c>
      <c r="G9" s="8">
        <v>0</v>
      </c>
      <c r="H9" s="8">
        <v>0</v>
      </c>
      <c r="I9" s="16">
        <v>0</v>
      </c>
      <c r="J9" s="16">
        <v>0</v>
      </c>
      <c r="K9" s="8">
        <v>0</v>
      </c>
      <c r="L9" s="8">
        <v>1</v>
      </c>
      <c r="M9" s="8">
        <v>0</v>
      </c>
      <c r="N9" s="7" t="s">
        <v>550</v>
      </c>
    </row>
    <row r="10" spans="1:14" x14ac:dyDescent="0.25">
      <c r="A10" t="s">
        <v>590</v>
      </c>
      <c r="B10" s="121" t="s">
        <v>16</v>
      </c>
      <c r="C10" s="15" t="s">
        <v>516</v>
      </c>
      <c r="D10" s="7" t="s">
        <v>602</v>
      </c>
      <c r="E10" s="122">
        <v>42129</v>
      </c>
      <c r="F10" s="16">
        <v>0</v>
      </c>
      <c r="G10" s="8">
        <v>0</v>
      </c>
      <c r="H10" s="8">
        <v>0</v>
      </c>
      <c r="I10" s="16">
        <v>0</v>
      </c>
      <c r="J10" s="16">
        <v>0</v>
      </c>
      <c r="K10" s="8">
        <v>0</v>
      </c>
      <c r="L10" s="8">
        <v>1</v>
      </c>
      <c r="M10" s="8">
        <v>0</v>
      </c>
      <c r="N10" s="62" t="s">
        <v>550</v>
      </c>
    </row>
    <row r="11" spans="1:14" x14ac:dyDescent="0.25">
      <c r="A11" t="s">
        <v>590</v>
      </c>
      <c r="B11" s="121" t="s">
        <v>606</v>
      </c>
      <c r="C11" s="15" t="s">
        <v>607</v>
      </c>
      <c r="D11" s="7" t="s">
        <v>602</v>
      </c>
      <c r="E11" s="122">
        <v>42648</v>
      </c>
      <c r="F11" s="16">
        <v>0</v>
      </c>
      <c r="G11" s="8">
        <v>0</v>
      </c>
      <c r="H11" s="8">
        <v>0</v>
      </c>
      <c r="I11" s="16">
        <v>0</v>
      </c>
      <c r="J11" s="16">
        <v>0</v>
      </c>
      <c r="K11" s="8">
        <v>0</v>
      </c>
      <c r="L11" s="8">
        <v>1</v>
      </c>
      <c r="M11" s="8">
        <v>0</v>
      </c>
      <c r="N11" s="62" t="s">
        <v>550</v>
      </c>
    </row>
    <row r="12" spans="1:14" x14ac:dyDescent="0.25">
      <c r="A12" t="s">
        <v>590</v>
      </c>
      <c r="B12" s="121" t="s">
        <v>608</v>
      </c>
      <c r="C12" s="15" t="s">
        <v>609</v>
      </c>
      <c r="D12" s="7" t="s">
        <v>602</v>
      </c>
      <c r="E12" s="122">
        <v>42709</v>
      </c>
      <c r="F12" s="16">
        <v>0</v>
      </c>
      <c r="G12" s="8">
        <v>0</v>
      </c>
      <c r="H12" s="8">
        <v>0</v>
      </c>
      <c r="I12" s="16">
        <v>0</v>
      </c>
      <c r="J12" s="16">
        <v>0</v>
      </c>
      <c r="K12" s="8">
        <v>0</v>
      </c>
      <c r="L12" s="8">
        <v>1</v>
      </c>
      <c r="M12" s="8">
        <v>0</v>
      </c>
      <c r="N12" s="62" t="s">
        <v>550</v>
      </c>
    </row>
    <row r="13" spans="1:14" x14ac:dyDescent="0.25">
      <c r="A13" t="s">
        <v>590</v>
      </c>
      <c r="B13" s="121" t="s">
        <v>610</v>
      </c>
      <c r="C13" s="15" t="s">
        <v>611</v>
      </c>
      <c r="D13" s="7" t="s">
        <v>602</v>
      </c>
      <c r="E13" s="122">
        <v>42556</v>
      </c>
      <c r="F13" s="16">
        <v>0</v>
      </c>
      <c r="G13" s="8">
        <v>0</v>
      </c>
      <c r="H13" s="8">
        <v>0</v>
      </c>
      <c r="I13" s="16">
        <v>0</v>
      </c>
      <c r="J13" s="16">
        <v>0</v>
      </c>
      <c r="K13" s="8">
        <v>0</v>
      </c>
      <c r="L13" s="8">
        <v>1</v>
      </c>
      <c r="M13" s="8">
        <v>0</v>
      </c>
      <c r="N13" s="62" t="s">
        <v>550</v>
      </c>
    </row>
    <row r="14" spans="1:14" x14ac:dyDescent="0.25">
      <c r="A14" t="s">
        <v>590</v>
      </c>
      <c r="B14" s="121" t="s">
        <v>39</v>
      </c>
      <c r="C14" s="15" t="s">
        <v>612</v>
      </c>
      <c r="D14" s="7" t="s">
        <v>602</v>
      </c>
      <c r="E14" s="122">
        <v>42618</v>
      </c>
      <c r="F14" s="16">
        <v>0</v>
      </c>
      <c r="G14" s="8">
        <v>0</v>
      </c>
      <c r="H14" s="8">
        <v>0</v>
      </c>
      <c r="I14" s="16">
        <v>0</v>
      </c>
      <c r="J14" s="16">
        <v>0</v>
      </c>
      <c r="K14" s="8">
        <v>0</v>
      </c>
      <c r="L14" s="8">
        <v>1</v>
      </c>
      <c r="M14" s="8">
        <v>0</v>
      </c>
      <c r="N14" s="62" t="s">
        <v>550</v>
      </c>
    </row>
    <row r="15" spans="1:14" x14ac:dyDescent="0.25">
      <c r="A15" s="3" t="s">
        <v>590</v>
      </c>
      <c r="B15" s="121" t="s">
        <v>613</v>
      </c>
      <c r="C15" s="15" t="s">
        <v>614</v>
      </c>
      <c r="D15" s="7" t="s">
        <v>602</v>
      </c>
      <c r="E15" s="122">
        <v>42799</v>
      </c>
      <c r="F15" s="16">
        <v>0</v>
      </c>
      <c r="G15" s="8">
        <v>0</v>
      </c>
      <c r="H15" s="8">
        <v>0</v>
      </c>
      <c r="I15" s="16">
        <v>0</v>
      </c>
      <c r="J15" s="16">
        <v>0</v>
      </c>
      <c r="K15" s="8">
        <v>0</v>
      </c>
      <c r="L15" s="8">
        <v>1</v>
      </c>
      <c r="M15" s="8">
        <v>0</v>
      </c>
      <c r="N15" s="62" t="s">
        <v>550</v>
      </c>
    </row>
    <row r="16" spans="1:14" x14ac:dyDescent="0.25">
      <c r="A16" t="s">
        <v>589</v>
      </c>
      <c r="B16" s="12" t="s">
        <v>593</v>
      </c>
      <c r="C16" s="7" t="s">
        <v>15</v>
      </c>
      <c r="D16" s="7" t="s">
        <v>602</v>
      </c>
      <c r="E16" s="122">
        <v>39634</v>
      </c>
      <c r="F16" s="8">
        <v>0.75</v>
      </c>
      <c r="G16" s="8">
        <v>1</v>
      </c>
      <c r="H16" s="8">
        <v>0</v>
      </c>
      <c r="I16" s="8">
        <v>0</v>
      </c>
      <c r="J16" s="8">
        <v>0</v>
      </c>
      <c r="K16" s="8">
        <v>0</v>
      </c>
      <c r="L16" s="8">
        <v>1</v>
      </c>
      <c r="M16" s="8">
        <v>0</v>
      </c>
      <c r="N16" s="7" t="s">
        <v>592</v>
      </c>
    </row>
    <row r="17" spans="1:14" x14ac:dyDescent="0.25">
      <c r="A17" t="s">
        <v>589</v>
      </c>
      <c r="B17" s="121" t="s">
        <v>595</v>
      </c>
      <c r="C17" s="15" t="s">
        <v>549</v>
      </c>
      <c r="D17" s="7" t="s">
        <v>602</v>
      </c>
      <c r="E17" s="122">
        <v>42068</v>
      </c>
      <c r="F17" s="16">
        <v>0</v>
      </c>
      <c r="G17" s="8">
        <v>0</v>
      </c>
      <c r="H17" s="8">
        <v>0</v>
      </c>
      <c r="I17" s="16">
        <v>0</v>
      </c>
      <c r="J17" s="16">
        <v>0</v>
      </c>
      <c r="K17" s="8">
        <v>0</v>
      </c>
      <c r="L17" s="8">
        <v>1</v>
      </c>
      <c r="M17" s="8">
        <v>0</v>
      </c>
      <c r="N17" s="62" t="s">
        <v>592</v>
      </c>
    </row>
    <row r="18" spans="1:14" x14ac:dyDescent="0.25">
      <c r="A18" t="s">
        <v>589</v>
      </c>
      <c r="B18" s="12" t="s">
        <v>24</v>
      </c>
      <c r="C18" s="12" t="s">
        <v>21</v>
      </c>
      <c r="D18" s="7" t="s">
        <v>602</v>
      </c>
      <c r="E18" s="122">
        <v>39873</v>
      </c>
      <c r="F18" s="8">
        <v>0.75</v>
      </c>
      <c r="G18" s="8">
        <v>1</v>
      </c>
      <c r="H18" s="8">
        <v>0</v>
      </c>
      <c r="I18" s="8">
        <v>0</v>
      </c>
      <c r="J18" s="8">
        <v>0</v>
      </c>
      <c r="K18" s="8">
        <v>0</v>
      </c>
      <c r="L18" s="8">
        <v>1</v>
      </c>
      <c r="M18" s="8">
        <v>0</v>
      </c>
      <c r="N18" s="7" t="s">
        <v>592</v>
      </c>
    </row>
    <row r="19" spans="1:14" x14ac:dyDescent="0.25">
      <c r="A19" t="s">
        <v>589</v>
      </c>
      <c r="B19" s="12" t="s">
        <v>17</v>
      </c>
      <c r="C19" s="7" t="s">
        <v>18</v>
      </c>
      <c r="D19" s="7" t="s">
        <v>602</v>
      </c>
      <c r="E19" s="122">
        <v>39665</v>
      </c>
      <c r="F19" s="8">
        <v>0.75</v>
      </c>
      <c r="G19" s="8">
        <v>1</v>
      </c>
      <c r="H19" s="8">
        <v>0</v>
      </c>
      <c r="I19" s="8">
        <v>0</v>
      </c>
      <c r="J19" s="8">
        <v>0</v>
      </c>
      <c r="K19" s="8">
        <v>0</v>
      </c>
      <c r="L19" s="8">
        <v>1</v>
      </c>
      <c r="M19" s="8">
        <v>0</v>
      </c>
      <c r="N19" s="7" t="s">
        <v>592</v>
      </c>
    </row>
    <row r="20" spans="1:14" x14ac:dyDescent="0.25">
      <c r="A20" t="s">
        <v>589</v>
      </c>
      <c r="B20" s="12" t="s">
        <v>25</v>
      </c>
      <c r="C20" s="12" t="s">
        <v>22</v>
      </c>
      <c r="D20" s="7" t="s">
        <v>602</v>
      </c>
      <c r="E20" s="122">
        <v>39904</v>
      </c>
      <c r="F20" s="8">
        <v>0.75</v>
      </c>
      <c r="G20" s="8">
        <v>1</v>
      </c>
      <c r="H20" s="8">
        <v>0</v>
      </c>
      <c r="I20" s="8">
        <v>0</v>
      </c>
      <c r="J20" s="8">
        <v>0</v>
      </c>
      <c r="K20" s="8">
        <v>0</v>
      </c>
      <c r="L20" s="8">
        <v>1</v>
      </c>
      <c r="M20" s="8">
        <v>0</v>
      </c>
      <c r="N20" s="7" t="s">
        <v>592</v>
      </c>
    </row>
    <row r="21" spans="1:14" x14ac:dyDescent="0.25">
      <c r="A21" t="s">
        <v>589</v>
      </c>
      <c r="B21" s="121" t="s">
        <v>37</v>
      </c>
      <c r="C21" s="15" t="s">
        <v>35</v>
      </c>
      <c r="D21" s="7" t="s">
        <v>602</v>
      </c>
      <c r="E21" s="122">
        <v>40483</v>
      </c>
      <c r="F21" s="16">
        <v>0.75</v>
      </c>
      <c r="G21" s="8">
        <v>1</v>
      </c>
      <c r="H21" s="8">
        <v>0</v>
      </c>
      <c r="I21" s="16">
        <v>0</v>
      </c>
      <c r="J21" s="16">
        <v>0</v>
      </c>
      <c r="K21" s="8">
        <v>0</v>
      </c>
      <c r="L21" s="8">
        <v>1</v>
      </c>
      <c r="M21" s="8">
        <v>0</v>
      </c>
      <c r="N21" s="7" t="s">
        <v>592</v>
      </c>
    </row>
    <row r="22" spans="1:14" x14ac:dyDescent="0.25">
      <c r="A22" t="s">
        <v>589</v>
      </c>
      <c r="B22" s="12" t="s">
        <v>26</v>
      </c>
      <c r="C22" s="12" t="s">
        <v>23</v>
      </c>
      <c r="D22" s="7" t="s">
        <v>602</v>
      </c>
      <c r="E22" s="122">
        <v>39995</v>
      </c>
      <c r="F22" s="8">
        <v>0.75</v>
      </c>
      <c r="G22" s="8">
        <v>1</v>
      </c>
      <c r="H22" s="8">
        <v>0</v>
      </c>
      <c r="I22" s="8">
        <v>0</v>
      </c>
      <c r="J22" s="8">
        <v>0</v>
      </c>
      <c r="K22" s="8">
        <v>0</v>
      </c>
      <c r="L22" s="8">
        <v>1</v>
      </c>
      <c r="M22" s="8">
        <v>0</v>
      </c>
      <c r="N22" s="7" t="s">
        <v>592</v>
      </c>
    </row>
    <row r="23" spans="1:14" x14ac:dyDescent="0.25">
      <c r="A23" t="s">
        <v>589</v>
      </c>
      <c r="B23" s="121" t="s">
        <v>400</v>
      </c>
      <c r="C23" s="15" t="s">
        <v>401</v>
      </c>
      <c r="D23" s="7" t="s">
        <v>602</v>
      </c>
      <c r="E23" s="122">
        <v>41279</v>
      </c>
      <c r="F23" s="16">
        <v>0.75</v>
      </c>
      <c r="G23" s="8">
        <v>1</v>
      </c>
      <c r="H23" s="8">
        <v>0</v>
      </c>
      <c r="I23" s="16">
        <v>0</v>
      </c>
      <c r="J23" s="16">
        <v>0</v>
      </c>
      <c r="K23" s="8">
        <v>0</v>
      </c>
      <c r="L23" s="8">
        <v>1</v>
      </c>
      <c r="M23" s="8">
        <v>0</v>
      </c>
      <c r="N23" s="7" t="s">
        <v>592</v>
      </c>
    </row>
    <row r="24" spans="1:14" x14ac:dyDescent="0.25">
      <c r="A24" t="s">
        <v>589</v>
      </c>
      <c r="B24" s="12" t="s">
        <v>28</v>
      </c>
      <c r="C24" s="12" t="s">
        <v>27</v>
      </c>
      <c r="D24" s="7" t="s">
        <v>602</v>
      </c>
      <c r="E24" s="122">
        <v>40057</v>
      </c>
      <c r="F24" s="8">
        <v>0.75</v>
      </c>
      <c r="G24" s="8">
        <v>1</v>
      </c>
      <c r="H24" s="8">
        <v>0</v>
      </c>
      <c r="I24" s="8">
        <v>0</v>
      </c>
      <c r="J24" s="8">
        <v>0</v>
      </c>
      <c r="K24" s="8">
        <v>0</v>
      </c>
      <c r="L24" s="8">
        <v>1</v>
      </c>
      <c r="M24" s="8">
        <v>0</v>
      </c>
      <c r="N24" s="7" t="s">
        <v>592</v>
      </c>
    </row>
    <row r="25" spans="1:14" x14ac:dyDescent="0.25">
      <c r="A25" t="s">
        <v>589</v>
      </c>
      <c r="B25" s="121" t="s">
        <v>596</v>
      </c>
      <c r="C25" s="15" t="s">
        <v>597</v>
      </c>
      <c r="D25" s="7" t="s">
        <v>602</v>
      </c>
      <c r="E25" s="122">
        <v>42129</v>
      </c>
      <c r="F25" s="16">
        <v>0</v>
      </c>
      <c r="G25" s="8">
        <v>0</v>
      </c>
      <c r="H25" s="8">
        <v>0</v>
      </c>
      <c r="I25" s="16">
        <v>0</v>
      </c>
      <c r="J25" s="16">
        <v>0</v>
      </c>
      <c r="K25" s="8">
        <v>0</v>
      </c>
      <c r="L25" s="8">
        <v>1</v>
      </c>
      <c r="M25" s="8">
        <v>0</v>
      </c>
      <c r="N25" s="62" t="s">
        <v>592</v>
      </c>
    </row>
    <row r="26" spans="1:14" x14ac:dyDescent="0.25">
      <c r="A26" t="s">
        <v>589</v>
      </c>
      <c r="B26" s="121" t="s">
        <v>513</v>
      </c>
      <c r="C26" s="15" t="s">
        <v>517</v>
      </c>
      <c r="D26" s="7" t="s">
        <v>602</v>
      </c>
      <c r="E26" s="122">
        <v>42009</v>
      </c>
      <c r="F26" s="16">
        <v>0</v>
      </c>
      <c r="G26" s="8">
        <v>0</v>
      </c>
      <c r="H26" s="8">
        <v>0</v>
      </c>
      <c r="I26" s="16">
        <v>0</v>
      </c>
      <c r="J26" s="16">
        <v>0</v>
      </c>
      <c r="K26" s="8">
        <v>0</v>
      </c>
      <c r="L26" s="8">
        <v>1</v>
      </c>
      <c r="M26" s="8">
        <v>0</v>
      </c>
      <c r="N26" s="7" t="s">
        <v>592</v>
      </c>
    </row>
    <row r="27" spans="1:14" x14ac:dyDescent="0.25">
      <c r="A27" t="s">
        <v>589</v>
      </c>
      <c r="B27" s="121" t="s">
        <v>598</v>
      </c>
      <c r="C27" s="15" t="s">
        <v>599</v>
      </c>
      <c r="D27" s="7" t="s">
        <v>602</v>
      </c>
      <c r="E27" s="122">
        <v>42099</v>
      </c>
      <c r="F27" s="16">
        <v>0</v>
      </c>
      <c r="G27" s="8">
        <v>0</v>
      </c>
      <c r="H27" s="8">
        <v>0</v>
      </c>
      <c r="I27" s="16">
        <v>0</v>
      </c>
      <c r="J27" s="16">
        <v>0</v>
      </c>
      <c r="K27" s="8">
        <v>0</v>
      </c>
      <c r="L27" s="8">
        <v>1</v>
      </c>
      <c r="M27" s="8">
        <v>0</v>
      </c>
      <c r="N27" s="62" t="s">
        <v>592</v>
      </c>
    </row>
    <row r="28" spans="1:14" x14ac:dyDescent="0.25">
      <c r="A28" t="s">
        <v>589</v>
      </c>
      <c r="B28" s="121" t="s">
        <v>600</v>
      </c>
      <c r="C28" s="15" t="s">
        <v>601</v>
      </c>
      <c r="D28" s="7" t="s">
        <v>602</v>
      </c>
      <c r="E28" s="122">
        <v>42190</v>
      </c>
      <c r="F28" s="16">
        <v>0</v>
      </c>
      <c r="G28" s="8">
        <v>0</v>
      </c>
      <c r="H28" s="8">
        <v>0</v>
      </c>
      <c r="I28" s="16">
        <v>0</v>
      </c>
      <c r="J28" s="16">
        <v>0</v>
      </c>
      <c r="K28" s="8">
        <v>0</v>
      </c>
      <c r="L28" s="8">
        <v>1</v>
      </c>
      <c r="M28" s="8">
        <v>0</v>
      </c>
      <c r="N28" s="62" t="s">
        <v>592</v>
      </c>
    </row>
    <row r="29" spans="1:14" x14ac:dyDescent="0.25">
      <c r="A29" t="s">
        <v>589</v>
      </c>
      <c r="B29" s="121" t="s">
        <v>38</v>
      </c>
      <c r="C29" s="15" t="s">
        <v>36</v>
      </c>
      <c r="D29" s="7" t="s">
        <v>602</v>
      </c>
      <c r="E29" s="122">
        <v>40483</v>
      </c>
      <c r="F29" s="16">
        <v>0.75</v>
      </c>
      <c r="G29" s="8">
        <v>1</v>
      </c>
      <c r="H29" s="8">
        <v>0</v>
      </c>
      <c r="I29" s="16">
        <v>0</v>
      </c>
      <c r="J29" s="16">
        <v>0</v>
      </c>
      <c r="K29" s="8">
        <v>0</v>
      </c>
      <c r="L29" s="8">
        <v>1</v>
      </c>
      <c r="M29" s="8">
        <v>0</v>
      </c>
      <c r="N29" s="7" t="s">
        <v>592</v>
      </c>
    </row>
    <row r="30" spans="1:14" x14ac:dyDescent="0.25">
      <c r="A30" t="s">
        <v>589</v>
      </c>
      <c r="B30" s="12" t="s">
        <v>39</v>
      </c>
      <c r="C30" s="12" t="s">
        <v>41</v>
      </c>
      <c r="D30" s="7" t="s">
        <v>602</v>
      </c>
      <c r="E30" s="122">
        <v>40179</v>
      </c>
      <c r="F30" s="8">
        <v>0.75</v>
      </c>
      <c r="G30" s="8">
        <v>1</v>
      </c>
      <c r="H30" s="8">
        <v>0</v>
      </c>
      <c r="I30" s="8">
        <v>0</v>
      </c>
      <c r="J30" s="8">
        <v>0</v>
      </c>
      <c r="K30" s="8">
        <v>0</v>
      </c>
      <c r="L30" s="8">
        <v>1</v>
      </c>
      <c r="M30" s="8">
        <v>0</v>
      </c>
      <c r="N30" s="7" t="s">
        <v>592</v>
      </c>
    </row>
    <row r="31" spans="1:14" x14ac:dyDescent="0.25">
      <c r="A31" t="s">
        <v>589</v>
      </c>
      <c r="B31" s="12" t="s">
        <v>40</v>
      </c>
      <c r="C31" s="12" t="s">
        <v>42</v>
      </c>
      <c r="D31" s="7" t="s">
        <v>602</v>
      </c>
      <c r="E31" s="122">
        <v>40179</v>
      </c>
      <c r="F31" s="8">
        <v>0.75</v>
      </c>
      <c r="G31" s="8">
        <v>1</v>
      </c>
      <c r="H31" s="8">
        <v>0</v>
      </c>
      <c r="I31" s="8">
        <v>0</v>
      </c>
      <c r="J31" s="8">
        <v>0</v>
      </c>
      <c r="K31" s="8">
        <v>0</v>
      </c>
      <c r="L31" s="8">
        <v>1</v>
      </c>
      <c r="M31" s="8">
        <v>0</v>
      </c>
      <c r="N31" s="7" t="s">
        <v>592</v>
      </c>
    </row>
    <row r="32" spans="1:14" x14ac:dyDescent="0.25">
      <c r="A32" t="s">
        <v>589</v>
      </c>
      <c r="B32" s="121" t="s">
        <v>419</v>
      </c>
      <c r="C32" s="15" t="s">
        <v>420</v>
      </c>
      <c r="D32" s="7" t="s">
        <v>602</v>
      </c>
      <c r="E32" s="122">
        <v>41399</v>
      </c>
      <c r="F32" s="16">
        <v>0.75</v>
      </c>
      <c r="G32" s="8">
        <v>1</v>
      </c>
      <c r="H32" s="8">
        <v>0</v>
      </c>
      <c r="I32" s="16">
        <v>0</v>
      </c>
      <c r="J32" s="16">
        <v>0</v>
      </c>
      <c r="K32" s="8">
        <v>0</v>
      </c>
      <c r="L32" s="8">
        <v>1</v>
      </c>
      <c r="M32" s="8">
        <v>0</v>
      </c>
      <c r="N32" s="7" t="s">
        <v>592</v>
      </c>
    </row>
    <row r="33" spans="1:14" x14ac:dyDescent="0.25">
      <c r="A33" t="s">
        <v>589</v>
      </c>
      <c r="B33" s="12" t="s">
        <v>16</v>
      </c>
      <c r="C33" s="7" t="s">
        <v>19</v>
      </c>
      <c r="D33" s="7" t="s">
        <v>602</v>
      </c>
      <c r="E33" s="122">
        <v>39665</v>
      </c>
      <c r="F33" s="8">
        <v>0.75</v>
      </c>
      <c r="G33" s="8">
        <v>1</v>
      </c>
      <c r="H33" s="8">
        <v>0</v>
      </c>
      <c r="I33" s="8">
        <v>0</v>
      </c>
      <c r="J33" s="8">
        <v>0</v>
      </c>
      <c r="K33" s="8">
        <v>0</v>
      </c>
      <c r="L33" s="8">
        <v>1</v>
      </c>
      <c r="M33" s="8">
        <v>0</v>
      </c>
      <c r="N33" s="7" t="s">
        <v>592</v>
      </c>
    </row>
  </sheetData>
  <autoFilter ref="A2:N32" xr:uid="{00000000-0009-0000-0000-000001000000}">
    <sortState xmlns:xlrd2="http://schemas.microsoft.com/office/spreadsheetml/2017/richdata2" ref="A3:N33">
      <sortCondition ref="A2:A32"/>
    </sortState>
  </autoFilter>
  <mergeCells count="2">
    <mergeCell ref="J1:M1"/>
    <mergeCell ref="F1:I1"/>
  </mergeCells>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rgb="FF92D050"/>
  </sheetPr>
  <dimension ref="A1:K176"/>
  <sheetViews>
    <sheetView workbookViewId="0">
      <selection activeCell="B129" sqref="B129"/>
    </sheetView>
  </sheetViews>
  <sheetFormatPr defaultRowHeight="12.5" x14ac:dyDescent="0.25"/>
  <cols>
    <col min="4" max="4" width="19" customWidth="1"/>
    <col min="5" max="6" width="12.7265625" bestFit="1" customWidth="1"/>
    <col min="7" max="7" width="12.453125" bestFit="1" customWidth="1"/>
  </cols>
  <sheetData>
    <row r="1" spans="1:4" ht="15.5" x14ac:dyDescent="0.35">
      <c r="A1" s="18" t="s">
        <v>46</v>
      </c>
      <c r="B1" s="5"/>
      <c r="C1" s="5"/>
      <c r="D1" s="5"/>
    </row>
    <row r="2" spans="1:4" ht="15.5" x14ac:dyDescent="0.35">
      <c r="A2" s="2" t="str">
        <f>Peerless!B34</f>
        <v>If D CIC list has more than 500,000 mous, send to Bob to see if they should be set up or not - otherwise, highlight any over 10,000 MOU for Bob to review at end of billing. He will provide direction for set up prior to next month's billing</v>
      </c>
      <c r="B2" s="5"/>
      <c r="C2" s="5"/>
      <c r="D2" s="5"/>
    </row>
    <row r="3" spans="1:4" ht="15.5" x14ac:dyDescent="0.35">
      <c r="A3" s="2" t="str">
        <f>Peerless!B35</f>
        <v>If OCN list has more than 500,000 mous, send to Bob to see if they should be set up or not - otherwise, highlight any over 50,000 MOU for Bob to review at end of billing. He will provide direction for set up prior to next month's billing</v>
      </c>
      <c r="B3" s="5"/>
      <c r="C3" s="5"/>
      <c r="D3" s="5"/>
    </row>
    <row r="5" spans="1:4" x14ac:dyDescent="0.25">
      <c r="A5" t="s">
        <v>352</v>
      </c>
    </row>
    <row r="7" spans="1:4" x14ac:dyDescent="0.25">
      <c r="A7" s="103" t="s">
        <v>518</v>
      </c>
    </row>
    <row r="9" spans="1:4" ht="29.5" x14ac:dyDescent="0.55000000000000004">
      <c r="A9" s="43" t="s">
        <v>97</v>
      </c>
    </row>
    <row r="11" spans="1:4" ht="18" x14ac:dyDescent="0.4">
      <c r="A11" s="41" t="s">
        <v>126</v>
      </c>
    </row>
    <row r="12" spans="1:4" x14ac:dyDescent="0.25">
      <c r="B12" s="3" t="s">
        <v>103</v>
      </c>
    </row>
    <row r="13" spans="1:4" x14ac:dyDescent="0.25">
      <c r="B13" s="3" t="s">
        <v>117</v>
      </c>
    </row>
    <row r="14" spans="1:4" x14ac:dyDescent="0.25">
      <c r="B14" s="3" t="s">
        <v>98</v>
      </c>
    </row>
    <row r="15" spans="1:4" x14ac:dyDescent="0.25">
      <c r="B15" s="3" t="s">
        <v>99</v>
      </c>
    </row>
    <row r="16" spans="1:4" x14ac:dyDescent="0.25">
      <c r="B16" s="3" t="s">
        <v>100</v>
      </c>
    </row>
    <row r="17" spans="2:3" x14ac:dyDescent="0.25">
      <c r="B17" s="40" t="s">
        <v>101</v>
      </c>
    </row>
    <row r="18" spans="2:3" x14ac:dyDescent="0.25">
      <c r="B18" s="3" t="s">
        <v>102</v>
      </c>
    </row>
    <row r="19" spans="2:3" x14ac:dyDescent="0.25">
      <c r="B19" s="3" t="s">
        <v>104</v>
      </c>
    </row>
    <row r="20" spans="2:3" x14ac:dyDescent="0.25">
      <c r="C20" s="3" t="s">
        <v>105</v>
      </c>
    </row>
    <row r="21" spans="2:3" x14ac:dyDescent="0.25">
      <c r="C21" s="3" t="s">
        <v>106</v>
      </c>
    </row>
    <row r="22" spans="2:3" x14ac:dyDescent="0.25">
      <c r="C22" s="3" t="s">
        <v>107</v>
      </c>
    </row>
    <row r="23" spans="2:3" x14ac:dyDescent="0.25">
      <c r="B23" s="3" t="s">
        <v>108</v>
      </c>
      <c r="C23" s="3"/>
    </row>
    <row r="24" spans="2:3" x14ac:dyDescent="0.25">
      <c r="C24" s="3"/>
    </row>
    <row r="80" spans="1:1" ht="13" x14ac:dyDescent="0.3">
      <c r="A80" s="3" t="s">
        <v>111</v>
      </c>
    </row>
    <row r="82" spans="1:2" x14ac:dyDescent="0.25">
      <c r="A82" s="3" t="s">
        <v>109</v>
      </c>
    </row>
    <row r="83" spans="1:2" x14ac:dyDescent="0.25">
      <c r="B83" s="3" t="s">
        <v>110</v>
      </c>
    </row>
    <row r="85" spans="1:2" x14ac:dyDescent="0.25">
      <c r="A85" s="3" t="s">
        <v>106</v>
      </c>
    </row>
    <row r="86" spans="1:2" x14ac:dyDescent="0.25">
      <c r="B86" s="3" t="s">
        <v>112</v>
      </c>
    </row>
    <row r="88" spans="1:2" x14ac:dyDescent="0.25">
      <c r="A88" s="3" t="s">
        <v>107</v>
      </c>
    </row>
    <row r="89" spans="1:2" x14ac:dyDescent="0.25">
      <c r="B89" s="3" t="s">
        <v>114</v>
      </c>
    </row>
    <row r="91" spans="1:2" x14ac:dyDescent="0.25">
      <c r="A91" s="3" t="s">
        <v>113</v>
      </c>
    </row>
    <row r="92" spans="1:2" x14ac:dyDescent="0.25">
      <c r="B92" s="3" t="s">
        <v>115</v>
      </c>
    </row>
    <row r="94" spans="1:2" ht="20" x14ac:dyDescent="0.4">
      <c r="A94" s="42" t="s">
        <v>116</v>
      </c>
    </row>
    <row r="96" spans="1:2" x14ac:dyDescent="0.25">
      <c r="A96" s="3" t="s">
        <v>118</v>
      </c>
    </row>
    <row r="98" spans="2:2" x14ac:dyDescent="0.25">
      <c r="B98" s="3" t="s">
        <v>119</v>
      </c>
    </row>
    <row r="119" spans="1:11" x14ac:dyDescent="0.25">
      <c r="B119" s="3" t="s">
        <v>120</v>
      </c>
    </row>
    <row r="120" spans="1:11" x14ac:dyDescent="0.25">
      <c r="B120" s="3" t="s">
        <v>121</v>
      </c>
    </row>
    <row r="122" spans="1:11" x14ac:dyDescent="0.25">
      <c r="B122" s="3" t="s">
        <v>122</v>
      </c>
    </row>
    <row r="123" spans="1:11" x14ac:dyDescent="0.25">
      <c r="B123" s="3" t="s">
        <v>123</v>
      </c>
    </row>
    <row r="125" spans="1:11" x14ac:dyDescent="0.25">
      <c r="B125" s="2" t="str">
        <f>Peerless!B34</f>
        <v>If D CIC list has more than 500,000 mous, send to Bob to see if they should be set up or not - otherwise, highlight any over 10,000 MOU for Bob to review at end of billing. He will provide direction for set up prior to next month's billing</v>
      </c>
      <c r="C125" s="2"/>
      <c r="D125" s="2"/>
      <c r="E125" s="2"/>
      <c r="F125" s="3"/>
      <c r="G125" s="3"/>
      <c r="H125" s="3"/>
      <c r="I125" s="3"/>
      <c r="J125" s="3"/>
      <c r="K125" s="3"/>
    </row>
    <row r="126" spans="1:11" x14ac:dyDescent="0.25">
      <c r="B126" s="2" t="str">
        <f>Peerless!B35</f>
        <v>If OCN list has more than 500,000 mous, send to Bob to see if they should be set up or not - otherwise, highlight any over 50,000 MOU for Bob to review at end of billing. He will provide direction for set up prior to next month's billing</v>
      </c>
      <c r="C126" s="2"/>
      <c r="D126" s="2"/>
      <c r="E126" s="2"/>
      <c r="F126" s="3"/>
      <c r="G126" s="3"/>
      <c r="H126" s="3"/>
      <c r="I126" s="3"/>
      <c r="J126" s="3"/>
      <c r="K126" s="3"/>
    </row>
    <row r="128" spans="1:11" x14ac:dyDescent="0.25">
      <c r="A128" s="3" t="s">
        <v>124</v>
      </c>
      <c r="B128" s="3"/>
    </row>
    <row r="129" spans="2:2" ht="13" x14ac:dyDescent="0.3">
      <c r="B129" s="44" t="s">
        <v>125</v>
      </c>
    </row>
    <row r="175" spans="1:2" x14ac:dyDescent="0.25">
      <c r="A175" s="3" t="s">
        <v>56</v>
      </c>
    </row>
    <row r="176" spans="1:2" x14ac:dyDescent="0.25">
      <c r="B176" t="s">
        <v>127</v>
      </c>
    </row>
  </sheetData>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tabColor rgb="FF0070C0"/>
  </sheetPr>
  <dimension ref="A1:D120"/>
  <sheetViews>
    <sheetView workbookViewId="0"/>
  </sheetViews>
  <sheetFormatPr defaultRowHeight="12.5" x14ac:dyDescent="0.25"/>
  <cols>
    <col min="1" max="1" width="36.1796875" customWidth="1"/>
    <col min="2" max="2" width="70.26953125" style="46" customWidth="1"/>
    <col min="3" max="3" width="56.81640625" style="46" bestFit="1" customWidth="1"/>
    <col min="4" max="4" width="26.1796875" bestFit="1" customWidth="1"/>
  </cols>
  <sheetData>
    <row r="1" spans="1:3" ht="18" x14ac:dyDescent="0.4">
      <c r="A1" s="41" t="s">
        <v>140</v>
      </c>
    </row>
    <row r="2" spans="1:3" ht="13" x14ac:dyDescent="0.3">
      <c r="C2" s="49" t="s">
        <v>137</v>
      </c>
    </row>
    <row r="3" spans="1:3" ht="62.5" x14ac:dyDescent="0.25">
      <c r="A3" t="s">
        <v>84</v>
      </c>
      <c r="B3" s="47" t="s">
        <v>129</v>
      </c>
      <c r="C3" s="47" t="s">
        <v>138</v>
      </c>
    </row>
    <row r="4" spans="1:3" ht="25" x14ac:dyDescent="0.25">
      <c r="A4" t="s">
        <v>85</v>
      </c>
      <c r="B4" s="47" t="s">
        <v>130</v>
      </c>
      <c r="C4" s="47" t="s">
        <v>139</v>
      </c>
    </row>
    <row r="5" spans="1:3" ht="37.5" x14ac:dyDescent="0.25">
      <c r="A5" t="s">
        <v>128</v>
      </c>
      <c r="B5" s="47" t="s">
        <v>131</v>
      </c>
    </row>
    <row r="6" spans="1:3" ht="62.5" x14ac:dyDescent="0.25">
      <c r="A6" t="s">
        <v>86</v>
      </c>
      <c r="B6" s="47" t="s">
        <v>132</v>
      </c>
    </row>
    <row r="7" spans="1:3" ht="13" thickBot="1" x14ac:dyDescent="0.3"/>
    <row r="8" spans="1:3" ht="13" x14ac:dyDescent="0.3">
      <c r="A8" s="100" t="s">
        <v>428</v>
      </c>
      <c r="B8" s="101"/>
    </row>
    <row r="9" spans="1:3" ht="26.25" customHeight="1" x14ac:dyDescent="0.3">
      <c r="A9" s="128" t="s">
        <v>432</v>
      </c>
      <c r="B9" s="129"/>
    </row>
    <row r="10" spans="1:3" ht="25.5" customHeight="1" x14ac:dyDescent="0.25">
      <c r="A10" s="128" t="s">
        <v>430</v>
      </c>
      <c r="B10" s="129"/>
    </row>
    <row r="11" spans="1:3" ht="25.5" customHeight="1" x14ac:dyDescent="0.25">
      <c r="A11" s="128" t="s">
        <v>431</v>
      </c>
      <c r="B11" s="129"/>
    </row>
    <row r="12" spans="1:3" ht="25.5" customHeight="1" thickBot="1" x14ac:dyDescent="0.3">
      <c r="A12" s="130" t="s">
        <v>429</v>
      </c>
      <c r="B12" s="131"/>
    </row>
    <row r="13" spans="1:3" ht="25.5" customHeight="1" x14ac:dyDescent="0.25">
      <c r="B13" s="47"/>
    </row>
    <row r="14" spans="1:3" ht="25.5" customHeight="1" x14ac:dyDescent="0.25">
      <c r="B14" s="47"/>
    </row>
    <row r="15" spans="1:3" x14ac:dyDescent="0.25">
      <c r="A15" s="3" t="s">
        <v>192</v>
      </c>
    </row>
    <row r="16" spans="1:3" x14ac:dyDescent="0.25">
      <c r="A16" s="3" t="s">
        <v>193</v>
      </c>
    </row>
    <row r="17" spans="1:4" ht="25" x14ac:dyDescent="0.25">
      <c r="B17" s="47" t="s">
        <v>133</v>
      </c>
    </row>
    <row r="18" spans="1:4" x14ac:dyDescent="0.25">
      <c r="B18" s="47" t="s">
        <v>134</v>
      </c>
    </row>
    <row r="19" spans="1:4" ht="37.5" x14ac:dyDescent="0.25">
      <c r="B19" s="47" t="s">
        <v>135</v>
      </c>
    </row>
    <row r="20" spans="1:4" ht="25" x14ac:dyDescent="0.25">
      <c r="B20" s="47" t="s">
        <v>136</v>
      </c>
    </row>
    <row r="21" spans="1:4" x14ac:dyDescent="0.25">
      <c r="A21" s="3" t="s">
        <v>194</v>
      </c>
      <c r="B21" s="47" t="s">
        <v>196</v>
      </c>
    </row>
    <row r="22" spans="1:4" x14ac:dyDescent="0.25">
      <c r="A22" s="3" t="s">
        <v>195</v>
      </c>
    </row>
    <row r="23" spans="1:4" ht="25" x14ac:dyDescent="0.25">
      <c r="B23" s="47" t="s">
        <v>141</v>
      </c>
    </row>
    <row r="24" spans="1:4" ht="25" x14ac:dyDescent="0.25">
      <c r="B24" s="47" t="s">
        <v>142</v>
      </c>
    </row>
    <row r="25" spans="1:4" ht="15.5" x14ac:dyDescent="0.35">
      <c r="A25" s="25" t="s">
        <v>73</v>
      </c>
      <c r="B25" s="50" t="s">
        <v>179</v>
      </c>
      <c r="C25" s="50" t="s">
        <v>162</v>
      </c>
      <c r="D25" s="25" t="s">
        <v>178</v>
      </c>
    </row>
    <row r="26" spans="1:4" x14ac:dyDescent="0.25">
      <c r="A26" s="3" t="s">
        <v>163</v>
      </c>
      <c r="B26" s="47" t="s">
        <v>164</v>
      </c>
      <c r="C26" s="47" t="s">
        <v>84</v>
      </c>
      <c r="D26" s="3" t="s">
        <v>180</v>
      </c>
    </row>
    <row r="27" spans="1:4" x14ac:dyDescent="0.25">
      <c r="A27" s="3" t="s">
        <v>143</v>
      </c>
      <c r="B27" s="47" t="s">
        <v>165</v>
      </c>
      <c r="C27" s="47" t="s">
        <v>84</v>
      </c>
      <c r="D27" s="3" t="s">
        <v>180</v>
      </c>
    </row>
    <row r="28" spans="1:4" x14ac:dyDescent="0.25">
      <c r="A28" s="3" t="s">
        <v>76</v>
      </c>
      <c r="B28" s="47" t="s">
        <v>166</v>
      </c>
      <c r="C28" s="47" t="s">
        <v>84</v>
      </c>
      <c r="D28" s="3" t="s">
        <v>180</v>
      </c>
    </row>
    <row r="29" spans="1:4" x14ac:dyDescent="0.25">
      <c r="A29" s="3" t="s">
        <v>144</v>
      </c>
      <c r="B29" s="47" t="s">
        <v>167</v>
      </c>
      <c r="C29" s="47" t="s">
        <v>84</v>
      </c>
      <c r="D29" s="3" t="s">
        <v>75</v>
      </c>
    </row>
    <row r="30" spans="1:4" x14ac:dyDescent="0.25">
      <c r="A30" s="3" t="s">
        <v>145</v>
      </c>
      <c r="B30" s="47" t="s">
        <v>168</v>
      </c>
      <c r="C30" s="47" t="s">
        <v>84</v>
      </c>
      <c r="D30" s="3" t="s">
        <v>75</v>
      </c>
    </row>
    <row r="31" spans="1:4" ht="25" x14ac:dyDescent="0.25">
      <c r="A31" s="3" t="s">
        <v>146</v>
      </c>
      <c r="C31" s="47" t="s">
        <v>169</v>
      </c>
      <c r="D31" s="3" t="s">
        <v>180</v>
      </c>
    </row>
    <row r="32" spans="1:4" ht="25" x14ac:dyDescent="0.25">
      <c r="A32" s="3" t="s">
        <v>147</v>
      </c>
      <c r="C32" s="47" t="s">
        <v>169</v>
      </c>
      <c r="D32" s="3" t="s">
        <v>75</v>
      </c>
    </row>
    <row r="33" spans="1:4" ht="25" x14ac:dyDescent="0.25">
      <c r="A33" s="3" t="s">
        <v>148</v>
      </c>
      <c r="C33" s="47" t="s">
        <v>169</v>
      </c>
      <c r="D33" s="3" t="s">
        <v>75</v>
      </c>
    </row>
    <row r="34" spans="1:4" x14ac:dyDescent="0.25">
      <c r="A34" s="3" t="s">
        <v>149</v>
      </c>
      <c r="B34" s="47" t="s">
        <v>170</v>
      </c>
      <c r="C34" s="47" t="s">
        <v>84</v>
      </c>
      <c r="D34" s="3" t="s">
        <v>180</v>
      </c>
    </row>
    <row r="35" spans="1:4" x14ac:dyDescent="0.25">
      <c r="A35" s="3" t="s">
        <v>150</v>
      </c>
      <c r="B35" s="47" t="s">
        <v>171</v>
      </c>
      <c r="C35" s="47" t="s">
        <v>84</v>
      </c>
      <c r="D35" s="3" t="s">
        <v>180</v>
      </c>
    </row>
    <row r="36" spans="1:4" x14ac:dyDescent="0.25">
      <c r="A36" s="3" t="s">
        <v>151</v>
      </c>
      <c r="B36" s="47" t="s">
        <v>172</v>
      </c>
      <c r="C36" s="47" t="s">
        <v>84</v>
      </c>
      <c r="D36" s="3" t="s">
        <v>75</v>
      </c>
    </row>
    <row r="37" spans="1:4" x14ac:dyDescent="0.25">
      <c r="A37" s="3" t="s">
        <v>152</v>
      </c>
      <c r="B37" s="47" t="s">
        <v>173</v>
      </c>
      <c r="C37" s="47" t="s">
        <v>84</v>
      </c>
      <c r="D37" s="3" t="s">
        <v>75</v>
      </c>
    </row>
    <row r="38" spans="1:4" x14ac:dyDescent="0.25">
      <c r="A38" s="3" t="s">
        <v>153</v>
      </c>
      <c r="B38" s="47" t="s">
        <v>174</v>
      </c>
      <c r="C38" s="47" t="s">
        <v>84</v>
      </c>
      <c r="D38" s="3" t="s">
        <v>180</v>
      </c>
    </row>
    <row r="39" spans="1:4" x14ac:dyDescent="0.25">
      <c r="A39" s="3" t="s">
        <v>81</v>
      </c>
      <c r="B39" s="47" t="s">
        <v>175</v>
      </c>
      <c r="C39" s="47" t="s">
        <v>182</v>
      </c>
      <c r="D39" s="3" t="s">
        <v>180</v>
      </c>
    </row>
    <row r="40" spans="1:4" x14ac:dyDescent="0.25">
      <c r="A40" s="3" t="s">
        <v>154</v>
      </c>
      <c r="B40" s="47" t="s">
        <v>176</v>
      </c>
      <c r="C40" s="47" t="s">
        <v>182</v>
      </c>
      <c r="D40" s="3" t="s">
        <v>180</v>
      </c>
    </row>
    <row r="41" spans="1:4" x14ac:dyDescent="0.25">
      <c r="A41" s="3" t="s">
        <v>155</v>
      </c>
      <c r="B41" s="47" t="s">
        <v>177</v>
      </c>
      <c r="C41" s="47" t="s">
        <v>182</v>
      </c>
      <c r="D41" s="3" t="s">
        <v>180</v>
      </c>
    </row>
    <row r="42" spans="1:4" x14ac:dyDescent="0.25">
      <c r="A42" s="3" t="s">
        <v>156</v>
      </c>
      <c r="B42" s="47" t="s">
        <v>184</v>
      </c>
      <c r="C42" s="47" t="s">
        <v>182</v>
      </c>
      <c r="D42" s="3" t="s">
        <v>75</v>
      </c>
    </row>
    <row r="43" spans="1:4" x14ac:dyDescent="0.25">
      <c r="A43" s="3" t="s">
        <v>157</v>
      </c>
      <c r="B43" s="47" t="s">
        <v>185</v>
      </c>
      <c r="C43" s="47" t="s">
        <v>182</v>
      </c>
      <c r="D43" s="3" t="s">
        <v>75</v>
      </c>
    </row>
    <row r="44" spans="1:4" x14ac:dyDescent="0.25">
      <c r="A44" s="3" t="s">
        <v>158</v>
      </c>
      <c r="B44" s="47" t="s">
        <v>186</v>
      </c>
      <c r="C44" s="47" t="s">
        <v>182</v>
      </c>
      <c r="D44" s="3" t="s">
        <v>180</v>
      </c>
    </row>
    <row r="45" spans="1:4" x14ac:dyDescent="0.25">
      <c r="A45" s="3" t="s">
        <v>159</v>
      </c>
      <c r="B45" s="47" t="s">
        <v>187</v>
      </c>
      <c r="C45" s="47" t="s">
        <v>182</v>
      </c>
      <c r="D45" s="3" t="s">
        <v>180</v>
      </c>
    </row>
    <row r="46" spans="1:4" x14ac:dyDescent="0.25">
      <c r="A46" s="3" t="s">
        <v>160</v>
      </c>
      <c r="B46" s="47" t="s">
        <v>188</v>
      </c>
      <c r="C46" s="47" t="s">
        <v>182</v>
      </c>
      <c r="D46" s="3" t="s">
        <v>75</v>
      </c>
    </row>
    <row r="47" spans="1:4" x14ac:dyDescent="0.25">
      <c r="A47" s="3" t="s">
        <v>161</v>
      </c>
      <c r="B47" s="47" t="s">
        <v>189</v>
      </c>
      <c r="C47" s="47" t="s">
        <v>182</v>
      </c>
      <c r="D47" s="3" t="s">
        <v>75</v>
      </c>
    </row>
    <row r="48" spans="1:4" x14ac:dyDescent="0.25">
      <c r="A48" s="3" t="s">
        <v>91</v>
      </c>
      <c r="B48" s="47" t="s">
        <v>190</v>
      </c>
      <c r="C48" s="47" t="s">
        <v>182</v>
      </c>
      <c r="D48" s="3" t="s">
        <v>181</v>
      </c>
    </row>
    <row r="49" spans="1:4" x14ac:dyDescent="0.25">
      <c r="A49" s="3" t="s">
        <v>90</v>
      </c>
      <c r="B49" s="47" t="s">
        <v>191</v>
      </c>
      <c r="C49" s="47" t="s">
        <v>183</v>
      </c>
      <c r="D49" s="3" t="s">
        <v>181</v>
      </c>
    </row>
    <row r="50" spans="1:4" x14ac:dyDescent="0.25">
      <c r="A50" s="3" t="s">
        <v>353</v>
      </c>
      <c r="B50" s="47"/>
      <c r="C50" s="47"/>
      <c r="D50" s="3"/>
    </row>
    <row r="51" spans="1:4" x14ac:dyDescent="0.25">
      <c r="A51" s="3" t="s">
        <v>354</v>
      </c>
      <c r="B51" s="47"/>
      <c r="C51" s="47"/>
      <c r="D51" s="3"/>
    </row>
    <row r="52" spans="1:4" x14ac:dyDescent="0.25">
      <c r="A52" s="3"/>
      <c r="B52" s="47"/>
      <c r="C52" s="47"/>
      <c r="D52" s="3"/>
    </row>
    <row r="53" spans="1:4" x14ac:dyDescent="0.25">
      <c r="A53" s="3"/>
      <c r="B53" s="47"/>
      <c r="C53" s="47"/>
      <c r="D53" s="3"/>
    </row>
    <row r="56" spans="1:4" x14ac:dyDescent="0.25">
      <c r="A56" s="3" t="s">
        <v>197</v>
      </c>
    </row>
    <row r="57" spans="1:4" x14ac:dyDescent="0.25">
      <c r="B57" s="47" t="s">
        <v>198</v>
      </c>
    </row>
    <row r="60" spans="1:4" ht="37.5" x14ac:dyDescent="0.25">
      <c r="A60" s="46" t="s">
        <v>511</v>
      </c>
      <c r="B60" s="47" t="s">
        <v>512</v>
      </c>
    </row>
    <row r="61" spans="1:4" x14ac:dyDescent="0.25">
      <c r="A61" t="s">
        <v>454</v>
      </c>
      <c r="B61" s="46" t="s">
        <v>496</v>
      </c>
      <c r="C61" s="46" t="s">
        <v>497</v>
      </c>
    </row>
    <row r="62" spans="1:4" x14ac:dyDescent="0.25">
      <c r="A62" s="102">
        <v>2964</v>
      </c>
      <c r="B62" s="46">
        <v>40010</v>
      </c>
      <c r="C62" s="46" t="s">
        <v>498</v>
      </c>
    </row>
    <row r="63" spans="1:4" x14ac:dyDescent="0.25">
      <c r="A63" t="s">
        <v>438</v>
      </c>
      <c r="B63" s="46">
        <v>40030</v>
      </c>
      <c r="C63" s="46" t="s">
        <v>499</v>
      </c>
    </row>
    <row r="64" spans="1:4" x14ac:dyDescent="0.25">
      <c r="A64" t="s">
        <v>476</v>
      </c>
      <c r="B64" s="46">
        <v>40020</v>
      </c>
      <c r="C64" s="46" t="s">
        <v>500</v>
      </c>
    </row>
    <row r="65" spans="1:3" x14ac:dyDescent="0.25">
      <c r="A65" t="s">
        <v>455</v>
      </c>
      <c r="B65" s="46">
        <v>40070</v>
      </c>
      <c r="C65" s="46" t="s">
        <v>501</v>
      </c>
    </row>
    <row r="66" spans="1:3" x14ac:dyDescent="0.25">
      <c r="A66" t="s">
        <v>439</v>
      </c>
      <c r="B66" s="46">
        <v>40090</v>
      </c>
      <c r="C66" s="46" t="s">
        <v>502</v>
      </c>
    </row>
    <row r="67" spans="1:3" x14ac:dyDescent="0.25">
      <c r="A67" t="s">
        <v>456</v>
      </c>
      <c r="B67" s="46">
        <v>40080</v>
      </c>
      <c r="C67" s="46" t="s">
        <v>503</v>
      </c>
    </row>
    <row r="68" spans="1:3" x14ac:dyDescent="0.25">
      <c r="A68" t="s">
        <v>489</v>
      </c>
      <c r="B68" s="46">
        <v>40040</v>
      </c>
      <c r="C68" s="46" t="s">
        <v>504</v>
      </c>
    </row>
    <row r="69" spans="1:3" x14ac:dyDescent="0.25">
      <c r="A69" t="s">
        <v>478</v>
      </c>
      <c r="B69" s="46">
        <v>40060</v>
      </c>
      <c r="C69" s="46" t="s">
        <v>505</v>
      </c>
    </row>
    <row r="70" spans="1:3" x14ac:dyDescent="0.25">
      <c r="A70" t="s">
        <v>452</v>
      </c>
      <c r="B70" s="46">
        <v>40050</v>
      </c>
      <c r="C70" s="46" t="s">
        <v>506</v>
      </c>
    </row>
    <row r="71" spans="1:3" x14ac:dyDescent="0.25">
      <c r="A71" s="102">
        <v>6003</v>
      </c>
      <c r="B71" s="46">
        <v>21030</v>
      </c>
      <c r="C71" s="46" t="s">
        <v>507</v>
      </c>
    </row>
    <row r="72" spans="1:3" x14ac:dyDescent="0.25">
      <c r="A72" t="s">
        <v>440</v>
      </c>
      <c r="B72" s="46">
        <v>40130</v>
      </c>
      <c r="C72" s="46" t="s">
        <v>508</v>
      </c>
    </row>
    <row r="73" spans="1:3" x14ac:dyDescent="0.25">
      <c r="A73" t="s">
        <v>441</v>
      </c>
      <c r="B73" s="46">
        <v>40150</v>
      </c>
      <c r="C73" s="46" t="s">
        <v>509</v>
      </c>
    </row>
    <row r="74" spans="1:3" x14ac:dyDescent="0.25">
      <c r="A74" t="s">
        <v>457</v>
      </c>
      <c r="B74" s="46">
        <v>40140</v>
      </c>
      <c r="C74" s="46" t="s">
        <v>510</v>
      </c>
    </row>
    <row r="75" spans="1:3" x14ac:dyDescent="0.25">
      <c r="A75" t="s">
        <v>458</v>
      </c>
    </row>
    <row r="76" spans="1:3" x14ac:dyDescent="0.25">
      <c r="A76" t="s">
        <v>442</v>
      </c>
    </row>
    <row r="77" spans="1:3" x14ac:dyDescent="0.25">
      <c r="A77" t="s">
        <v>490</v>
      </c>
    </row>
    <row r="78" spans="1:3" x14ac:dyDescent="0.25">
      <c r="A78" t="s">
        <v>479</v>
      </c>
    </row>
    <row r="79" spans="1:3" x14ac:dyDescent="0.25">
      <c r="A79" t="s">
        <v>443</v>
      </c>
    </row>
    <row r="80" spans="1:3" x14ac:dyDescent="0.25">
      <c r="A80" t="s">
        <v>453</v>
      </c>
    </row>
    <row r="81" spans="1:1" x14ac:dyDescent="0.25">
      <c r="A81" t="s">
        <v>495</v>
      </c>
    </row>
    <row r="82" spans="1:1" x14ac:dyDescent="0.25">
      <c r="A82" t="s">
        <v>444</v>
      </c>
    </row>
    <row r="83" spans="1:1" x14ac:dyDescent="0.25">
      <c r="A83" t="s">
        <v>480</v>
      </c>
    </row>
    <row r="84" spans="1:1" x14ac:dyDescent="0.25">
      <c r="A84" t="s">
        <v>445</v>
      </c>
    </row>
    <row r="85" spans="1:1" x14ac:dyDescent="0.25">
      <c r="A85" t="s">
        <v>491</v>
      </c>
    </row>
    <row r="86" spans="1:1" x14ac:dyDescent="0.25">
      <c r="A86" t="s">
        <v>459</v>
      </c>
    </row>
    <row r="87" spans="1:1" x14ac:dyDescent="0.25">
      <c r="A87" t="s">
        <v>446</v>
      </c>
    </row>
    <row r="88" spans="1:1" x14ac:dyDescent="0.25">
      <c r="A88" t="s">
        <v>475</v>
      </c>
    </row>
    <row r="89" spans="1:1" x14ac:dyDescent="0.25">
      <c r="A89" t="s">
        <v>460</v>
      </c>
    </row>
    <row r="90" spans="1:1" x14ac:dyDescent="0.25">
      <c r="A90" t="s">
        <v>461</v>
      </c>
    </row>
    <row r="91" spans="1:1" x14ac:dyDescent="0.25">
      <c r="A91" t="s">
        <v>462</v>
      </c>
    </row>
    <row r="92" spans="1:1" x14ac:dyDescent="0.25">
      <c r="A92" t="s">
        <v>463</v>
      </c>
    </row>
    <row r="93" spans="1:1" x14ac:dyDescent="0.25">
      <c r="A93" t="s">
        <v>464</v>
      </c>
    </row>
    <row r="94" spans="1:1" x14ac:dyDescent="0.25">
      <c r="A94" t="s">
        <v>465</v>
      </c>
    </row>
    <row r="95" spans="1:1" x14ac:dyDescent="0.25">
      <c r="A95" t="s">
        <v>488</v>
      </c>
    </row>
    <row r="96" spans="1:1" x14ac:dyDescent="0.25">
      <c r="A96" t="s">
        <v>466</v>
      </c>
    </row>
    <row r="97" spans="1:1" x14ac:dyDescent="0.25">
      <c r="A97" t="s">
        <v>467</v>
      </c>
    </row>
    <row r="98" spans="1:1" x14ac:dyDescent="0.25">
      <c r="A98" t="s">
        <v>494</v>
      </c>
    </row>
    <row r="99" spans="1:1" x14ac:dyDescent="0.25">
      <c r="A99" t="s">
        <v>447</v>
      </c>
    </row>
    <row r="100" spans="1:1" x14ac:dyDescent="0.25">
      <c r="A100" t="s">
        <v>477</v>
      </c>
    </row>
    <row r="101" spans="1:1" x14ac:dyDescent="0.25">
      <c r="A101" t="s">
        <v>468</v>
      </c>
    </row>
    <row r="102" spans="1:1" x14ac:dyDescent="0.25">
      <c r="A102" t="s">
        <v>481</v>
      </c>
    </row>
    <row r="103" spans="1:1" x14ac:dyDescent="0.25">
      <c r="A103" t="s">
        <v>469</v>
      </c>
    </row>
    <row r="104" spans="1:1" x14ac:dyDescent="0.25">
      <c r="A104" t="s">
        <v>448</v>
      </c>
    </row>
    <row r="105" spans="1:1" x14ac:dyDescent="0.25">
      <c r="A105" t="s">
        <v>470</v>
      </c>
    </row>
    <row r="106" spans="1:1" x14ac:dyDescent="0.25">
      <c r="A106" t="s">
        <v>485</v>
      </c>
    </row>
    <row r="107" spans="1:1" x14ac:dyDescent="0.25">
      <c r="A107" t="s">
        <v>486</v>
      </c>
    </row>
    <row r="108" spans="1:1" x14ac:dyDescent="0.25">
      <c r="A108" t="s">
        <v>484</v>
      </c>
    </row>
    <row r="109" spans="1:1" x14ac:dyDescent="0.25">
      <c r="A109" t="s">
        <v>483</v>
      </c>
    </row>
    <row r="110" spans="1:1" x14ac:dyDescent="0.25">
      <c r="A110" t="s">
        <v>492</v>
      </c>
    </row>
    <row r="111" spans="1:1" x14ac:dyDescent="0.25">
      <c r="A111" t="s">
        <v>449</v>
      </c>
    </row>
    <row r="112" spans="1:1" x14ac:dyDescent="0.25">
      <c r="A112" t="s">
        <v>471</v>
      </c>
    </row>
    <row r="113" spans="1:1" x14ac:dyDescent="0.25">
      <c r="A113" t="s">
        <v>472</v>
      </c>
    </row>
    <row r="114" spans="1:1" x14ac:dyDescent="0.25">
      <c r="A114" t="s">
        <v>482</v>
      </c>
    </row>
    <row r="115" spans="1:1" x14ac:dyDescent="0.25">
      <c r="A115" t="s">
        <v>487</v>
      </c>
    </row>
    <row r="116" spans="1:1" x14ac:dyDescent="0.25">
      <c r="A116" t="s">
        <v>450</v>
      </c>
    </row>
    <row r="117" spans="1:1" x14ac:dyDescent="0.25">
      <c r="A117" t="s">
        <v>473</v>
      </c>
    </row>
    <row r="118" spans="1:1" x14ac:dyDescent="0.25">
      <c r="A118" t="s">
        <v>451</v>
      </c>
    </row>
    <row r="119" spans="1:1" x14ac:dyDescent="0.25">
      <c r="A119" t="s">
        <v>493</v>
      </c>
    </row>
    <row r="120" spans="1:1" x14ac:dyDescent="0.25">
      <c r="A120" t="s">
        <v>474</v>
      </c>
    </row>
  </sheetData>
  <mergeCells count="4">
    <mergeCell ref="A9:B9"/>
    <mergeCell ref="A10:B10"/>
    <mergeCell ref="A12:B12"/>
    <mergeCell ref="A11:B11"/>
  </mergeCells>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tabColor rgb="FFFF0000"/>
  </sheetPr>
  <dimension ref="A1:H40"/>
  <sheetViews>
    <sheetView showGridLines="0" workbookViewId="0">
      <selection activeCell="A17" sqref="A17"/>
    </sheetView>
  </sheetViews>
  <sheetFormatPr defaultRowHeight="12.5" x14ac:dyDescent="0.25"/>
  <cols>
    <col min="1" max="5" width="30" customWidth="1"/>
    <col min="6" max="6" width="41.7265625" bestFit="1" customWidth="1"/>
    <col min="7" max="7" width="12.7265625" customWidth="1"/>
    <col min="8" max="8" width="12.26953125" customWidth="1"/>
    <col min="9" max="10" width="30" customWidth="1"/>
  </cols>
  <sheetData>
    <row r="1" spans="1:8" ht="14" x14ac:dyDescent="0.3">
      <c r="A1" s="19" t="s">
        <v>62</v>
      </c>
    </row>
    <row r="2" spans="1:8" x14ac:dyDescent="0.25">
      <c r="A2" t="s">
        <v>63</v>
      </c>
    </row>
    <row r="3" spans="1:8" x14ac:dyDescent="0.25">
      <c r="A3" t="s">
        <v>64</v>
      </c>
    </row>
    <row r="5" spans="1:8" ht="14" x14ac:dyDescent="0.3">
      <c r="A5" s="19" t="s">
        <v>56</v>
      </c>
    </row>
    <row r="6" spans="1:8" x14ac:dyDescent="0.25">
      <c r="A6" s="26" t="s">
        <v>92</v>
      </c>
    </row>
    <row r="8" spans="1:8" x14ac:dyDescent="0.25">
      <c r="A8" s="26" t="s">
        <v>66</v>
      </c>
    </row>
    <row r="10" spans="1:8" x14ac:dyDescent="0.25">
      <c r="A10" s="26" t="s">
        <v>93</v>
      </c>
    </row>
    <row r="11" spans="1:8" x14ac:dyDescent="0.25">
      <c r="A11" s="3" t="s">
        <v>95</v>
      </c>
    </row>
    <row r="12" spans="1:8" x14ac:dyDescent="0.25">
      <c r="A12" s="3" t="s">
        <v>96</v>
      </c>
    </row>
    <row r="13" spans="1:8" x14ac:dyDescent="0.25">
      <c r="A13" s="3"/>
    </row>
    <row r="14" spans="1:8" x14ac:dyDescent="0.25">
      <c r="A14" t="s">
        <v>94</v>
      </c>
    </row>
    <row r="15" spans="1:8" ht="13" thickBot="1" x14ac:dyDescent="0.3"/>
    <row r="16" spans="1:8" x14ac:dyDescent="0.25">
      <c r="A16" s="38" t="s">
        <v>65</v>
      </c>
      <c r="B16" s="27"/>
      <c r="C16" s="27"/>
      <c r="D16" s="27"/>
      <c r="E16" s="27"/>
      <c r="F16" s="27"/>
      <c r="G16" s="27"/>
      <c r="H16" s="28"/>
    </row>
    <row r="17" spans="1:8" x14ac:dyDescent="0.25">
      <c r="A17" s="29"/>
      <c r="B17" s="30"/>
      <c r="C17" s="30"/>
      <c r="D17" s="30"/>
      <c r="E17" s="30"/>
      <c r="F17" s="30"/>
      <c r="G17" s="30"/>
      <c r="H17" s="31"/>
    </row>
    <row r="18" spans="1:8" ht="14.5" x14ac:dyDescent="0.35">
      <c r="A18" s="32" t="s">
        <v>67</v>
      </c>
      <c r="B18" s="20" t="s">
        <v>5</v>
      </c>
      <c r="C18" s="20" t="s">
        <v>68</v>
      </c>
      <c r="D18" s="20" t="s">
        <v>69</v>
      </c>
      <c r="E18" s="21" t="s">
        <v>70</v>
      </c>
      <c r="F18" s="20" t="s">
        <v>71</v>
      </c>
      <c r="G18" s="117" t="s">
        <v>72</v>
      </c>
      <c r="H18" s="33" t="s">
        <v>73</v>
      </c>
    </row>
    <row r="19" spans="1:8" ht="13" thickBot="1" x14ac:dyDescent="0.3">
      <c r="A19" s="111" t="s">
        <v>77</v>
      </c>
      <c r="B19" s="112">
        <v>40913</v>
      </c>
      <c r="C19" s="113" t="s">
        <v>78</v>
      </c>
      <c r="D19" s="114" t="s">
        <v>79</v>
      </c>
      <c r="E19" s="115">
        <v>-48.11</v>
      </c>
      <c r="F19" s="113" t="s">
        <v>74</v>
      </c>
      <c r="G19" s="113"/>
      <c r="H19" s="116"/>
    </row>
    <row r="20" spans="1:8" ht="13" thickBot="1" x14ac:dyDescent="0.3"/>
    <row r="21" spans="1:8" x14ac:dyDescent="0.25">
      <c r="A21" s="38" t="s">
        <v>82</v>
      </c>
      <c r="B21" s="27"/>
      <c r="C21" s="27"/>
      <c r="D21" s="27"/>
      <c r="E21" s="27"/>
      <c r="F21" s="27"/>
      <c r="G21" s="27"/>
      <c r="H21" s="28"/>
    </row>
    <row r="22" spans="1:8" ht="14.5" x14ac:dyDescent="0.35">
      <c r="A22" s="32" t="s">
        <v>67</v>
      </c>
      <c r="B22" s="20" t="s">
        <v>5</v>
      </c>
      <c r="C22" s="20" t="s">
        <v>68</v>
      </c>
      <c r="D22" s="20" t="s">
        <v>69</v>
      </c>
      <c r="E22" s="21" t="s">
        <v>70</v>
      </c>
      <c r="F22" s="20" t="s">
        <v>71</v>
      </c>
      <c r="G22" s="117" t="s">
        <v>72</v>
      </c>
      <c r="H22" s="33" t="s">
        <v>73</v>
      </c>
    </row>
    <row r="23" spans="1:8" x14ac:dyDescent="0.25">
      <c r="A23" s="104" t="s">
        <v>77</v>
      </c>
      <c r="B23" s="105">
        <v>40913</v>
      </c>
      <c r="C23" s="106" t="s">
        <v>78</v>
      </c>
      <c r="D23" s="107" t="s">
        <v>79</v>
      </c>
      <c r="E23" s="108">
        <v>-30.38</v>
      </c>
      <c r="F23" s="106" t="s">
        <v>74</v>
      </c>
      <c r="G23" s="109" t="s">
        <v>80</v>
      </c>
      <c r="H23" s="110" t="s">
        <v>81</v>
      </c>
    </row>
    <row r="24" spans="1:8" x14ac:dyDescent="0.25">
      <c r="A24" s="104" t="s">
        <v>77</v>
      </c>
      <c r="B24" s="105">
        <v>40913</v>
      </c>
      <c r="C24" s="106" t="s">
        <v>78</v>
      </c>
      <c r="D24" s="107" t="s">
        <v>79</v>
      </c>
      <c r="E24" s="108">
        <v>-17.73</v>
      </c>
      <c r="F24" s="106" t="s">
        <v>74</v>
      </c>
      <c r="G24" s="109" t="s">
        <v>75</v>
      </c>
      <c r="H24" s="110" t="s">
        <v>81</v>
      </c>
    </row>
    <row r="25" spans="1:8" ht="13" thickBot="1" x14ac:dyDescent="0.3">
      <c r="A25" s="34"/>
      <c r="B25" s="35"/>
      <c r="C25" s="35"/>
      <c r="D25" s="35"/>
      <c r="E25" s="35"/>
      <c r="F25" s="35"/>
      <c r="G25" s="35"/>
      <c r="H25" s="36"/>
    </row>
    <row r="26" spans="1:8" x14ac:dyDescent="0.25">
      <c r="A26" s="39" t="s">
        <v>57</v>
      </c>
    </row>
    <row r="28" spans="1:8" x14ac:dyDescent="0.25">
      <c r="A28" t="s">
        <v>58</v>
      </c>
    </row>
    <row r="29" spans="1:8" x14ac:dyDescent="0.25">
      <c r="A29" t="s">
        <v>59</v>
      </c>
    </row>
    <row r="32" spans="1:8" x14ac:dyDescent="0.25">
      <c r="A32" s="39" t="s">
        <v>60</v>
      </c>
    </row>
    <row r="33" spans="1:4" x14ac:dyDescent="0.25">
      <c r="A33" s="39" t="s">
        <v>61</v>
      </c>
    </row>
    <row r="36" spans="1:4" ht="15.5" x14ac:dyDescent="0.35">
      <c r="A36" s="25" t="s">
        <v>83</v>
      </c>
    </row>
    <row r="37" spans="1:4" ht="13" x14ac:dyDescent="0.3">
      <c r="A37" s="22"/>
      <c r="B37" s="24" t="s">
        <v>87</v>
      </c>
      <c r="C37" s="24" t="s">
        <v>88</v>
      </c>
      <c r="D37" s="24" t="s">
        <v>89</v>
      </c>
    </row>
    <row r="38" spans="1:4" ht="13" x14ac:dyDescent="0.3">
      <c r="A38" s="24" t="s">
        <v>84</v>
      </c>
      <c r="B38" s="23" t="s">
        <v>76</v>
      </c>
      <c r="C38" s="23" t="s">
        <v>76</v>
      </c>
      <c r="D38" s="23" t="s">
        <v>90</v>
      </c>
    </row>
    <row r="39" spans="1:4" ht="13" x14ac:dyDescent="0.3">
      <c r="A39" s="24" t="s">
        <v>85</v>
      </c>
      <c r="B39" s="23" t="s">
        <v>81</v>
      </c>
      <c r="C39" s="23" t="s">
        <v>81</v>
      </c>
      <c r="D39" s="23" t="s">
        <v>91</v>
      </c>
    </row>
    <row r="40" spans="1:4" ht="13" x14ac:dyDescent="0.3">
      <c r="A40" s="24" t="s">
        <v>86</v>
      </c>
      <c r="B40" s="23" t="s">
        <v>76</v>
      </c>
      <c r="C40" s="23" t="s">
        <v>76</v>
      </c>
      <c r="D40" s="23" t="s">
        <v>90</v>
      </c>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tabColor rgb="FFFFC000"/>
  </sheetPr>
  <dimension ref="A1:G73"/>
  <sheetViews>
    <sheetView showGridLines="0" workbookViewId="0"/>
  </sheetViews>
  <sheetFormatPr defaultRowHeight="12.5" x14ac:dyDescent="0.25"/>
  <cols>
    <col min="1" max="1" width="28.26953125" customWidth="1"/>
    <col min="2" max="2" width="69.54296875" customWidth="1"/>
    <col min="3" max="3" width="8.1796875" bestFit="1" customWidth="1"/>
    <col min="4" max="4" width="10.1796875" bestFit="1" customWidth="1"/>
    <col min="5" max="5" width="13.7265625" bestFit="1" customWidth="1"/>
    <col min="6" max="6" width="10.26953125" bestFit="1" customWidth="1"/>
  </cols>
  <sheetData>
    <row r="1" spans="1:6" x14ac:dyDescent="0.25">
      <c r="A1" s="3" t="s">
        <v>199</v>
      </c>
    </row>
    <row r="2" spans="1:6" x14ac:dyDescent="0.25">
      <c r="A2" s="3"/>
    </row>
    <row r="3" spans="1:6" x14ac:dyDescent="0.25">
      <c r="A3" s="3" t="s">
        <v>209</v>
      </c>
    </row>
    <row r="4" spans="1:6" x14ac:dyDescent="0.25">
      <c r="A4" s="3" t="s">
        <v>210</v>
      </c>
    </row>
    <row r="5" spans="1:6" x14ac:dyDescent="0.25">
      <c r="A5" s="3"/>
    </row>
    <row r="6" spans="1:6" x14ac:dyDescent="0.25">
      <c r="A6" s="3"/>
    </row>
    <row r="7" spans="1:6" x14ac:dyDescent="0.25">
      <c r="A7" s="3" t="s">
        <v>242</v>
      </c>
    </row>
    <row r="8" spans="1:6" x14ac:dyDescent="0.25">
      <c r="A8" s="3"/>
    </row>
    <row r="9" spans="1:6" x14ac:dyDescent="0.25">
      <c r="A9" s="22" t="s">
        <v>68</v>
      </c>
      <c r="B9" s="22" t="s">
        <v>211</v>
      </c>
      <c r="C9" s="67" t="s">
        <v>212</v>
      </c>
      <c r="D9" s="22" t="s">
        <v>213</v>
      </c>
      <c r="E9" s="22" t="s">
        <v>214</v>
      </c>
      <c r="F9" s="22" t="s">
        <v>215</v>
      </c>
    </row>
    <row r="10" spans="1:6" x14ac:dyDescent="0.25">
      <c r="A10" s="68" t="s">
        <v>216</v>
      </c>
      <c r="B10" s="68" t="s">
        <v>217</v>
      </c>
      <c r="C10" s="69">
        <f>DATE(2012,5,1)</f>
        <v>41030</v>
      </c>
      <c r="D10" s="68" t="s">
        <v>218</v>
      </c>
      <c r="E10" s="68" t="s">
        <v>219</v>
      </c>
      <c r="F10" s="70">
        <v>54289.54</v>
      </c>
    </row>
    <row r="11" spans="1:6" x14ac:dyDescent="0.25">
      <c r="A11" s="68" t="s">
        <v>220</v>
      </c>
      <c r="B11" s="68" t="s">
        <v>221</v>
      </c>
      <c r="C11" s="69">
        <f>DATE(2012,5,1)</f>
        <v>41030</v>
      </c>
      <c r="D11" s="68" t="s">
        <v>222</v>
      </c>
      <c r="E11" s="68" t="s">
        <v>223</v>
      </c>
      <c r="F11" s="70">
        <v>125.12</v>
      </c>
    </row>
    <row r="12" spans="1:6" x14ac:dyDescent="0.25">
      <c r="A12" s="68" t="s">
        <v>220</v>
      </c>
      <c r="B12" s="68" t="s">
        <v>221</v>
      </c>
      <c r="C12" s="69">
        <v>41030</v>
      </c>
      <c r="D12" s="68" t="s">
        <v>222</v>
      </c>
      <c r="E12" s="68" t="s">
        <v>224</v>
      </c>
      <c r="F12" s="70">
        <v>66.930000000000007</v>
      </c>
    </row>
    <row r="13" spans="1:6" x14ac:dyDescent="0.25">
      <c r="A13" s="68" t="s">
        <v>220</v>
      </c>
      <c r="B13" s="68" t="s">
        <v>221</v>
      </c>
      <c r="C13" s="69">
        <v>41030</v>
      </c>
      <c r="D13" s="68" t="s">
        <v>222</v>
      </c>
      <c r="E13" s="68" t="s">
        <v>225</v>
      </c>
      <c r="F13" s="70">
        <v>57.34</v>
      </c>
    </row>
    <row r="14" spans="1:6" x14ac:dyDescent="0.25">
      <c r="A14" s="68" t="s">
        <v>220</v>
      </c>
      <c r="B14" s="68" t="s">
        <v>226</v>
      </c>
      <c r="C14" s="69">
        <f t="shared" ref="C14:C26" si="0">DATE(2012,5,1)</f>
        <v>41030</v>
      </c>
      <c r="D14" s="68" t="s">
        <v>227</v>
      </c>
      <c r="E14" s="68" t="s">
        <v>228</v>
      </c>
      <c r="F14" s="70">
        <v>53.22</v>
      </c>
    </row>
    <row r="15" spans="1:6" x14ac:dyDescent="0.25">
      <c r="A15" s="68" t="s">
        <v>220</v>
      </c>
      <c r="B15" s="68" t="s">
        <v>226</v>
      </c>
      <c r="C15" s="69">
        <f t="shared" si="0"/>
        <v>41030</v>
      </c>
      <c r="D15" s="68" t="s">
        <v>227</v>
      </c>
      <c r="E15" s="68" t="s">
        <v>229</v>
      </c>
      <c r="F15" s="70">
        <v>45.85</v>
      </c>
    </row>
    <row r="16" spans="1:6" x14ac:dyDescent="0.25">
      <c r="A16" s="68" t="s">
        <v>220</v>
      </c>
      <c r="B16" s="68" t="s">
        <v>226</v>
      </c>
      <c r="C16" s="69">
        <f t="shared" si="0"/>
        <v>41030</v>
      </c>
      <c r="D16" s="68" t="s">
        <v>227</v>
      </c>
      <c r="E16" s="68" t="s">
        <v>230</v>
      </c>
      <c r="F16" s="70">
        <v>42.21</v>
      </c>
    </row>
    <row r="17" spans="1:7" x14ac:dyDescent="0.25">
      <c r="A17" s="68" t="s">
        <v>220</v>
      </c>
      <c r="B17" s="68" t="s">
        <v>226</v>
      </c>
      <c r="C17" s="69">
        <f t="shared" si="0"/>
        <v>41030</v>
      </c>
      <c r="D17" s="68" t="s">
        <v>227</v>
      </c>
      <c r="E17" s="68" t="s">
        <v>231</v>
      </c>
      <c r="F17" s="70">
        <v>51.06</v>
      </c>
    </row>
    <row r="18" spans="1:7" x14ac:dyDescent="0.25">
      <c r="A18" s="68" t="s">
        <v>220</v>
      </c>
      <c r="B18" s="68" t="s">
        <v>226</v>
      </c>
      <c r="C18" s="69">
        <f t="shared" si="0"/>
        <v>41030</v>
      </c>
      <c r="D18" s="68" t="s">
        <v>227</v>
      </c>
      <c r="E18" s="68" t="s">
        <v>232</v>
      </c>
      <c r="F18" s="70">
        <v>27.11</v>
      </c>
    </row>
    <row r="19" spans="1:7" x14ac:dyDescent="0.25">
      <c r="A19" s="68" t="s">
        <v>220</v>
      </c>
      <c r="B19" s="68" t="s">
        <v>233</v>
      </c>
      <c r="C19" s="69">
        <f t="shared" si="0"/>
        <v>41030</v>
      </c>
      <c r="D19" s="68" t="s">
        <v>227</v>
      </c>
      <c r="E19" s="68" t="s">
        <v>234</v>
      </c>
      <c r="F19" s="70">
        <v>30.11</v>
      </c>
    </row>
    <row r="20" spans="1:7" x14ac:dyDescent="0.25">
      <c r="A20" s="68" t="s">
        <v>220</v>
      </c>
      <c r="B20" s="68" t="s">
        <v>233</v>
      </c>
      <c r="C20" s="69">
        <f t="shared" si="0"/>
        <v>41030</v>
      </c>
      <c r="D20" s="68" t="s">
        <v>227</v>
      </c>
      <c r="E20" s="68" t="s">
        <v>235</v>
      </c>
      <c r="F20" s="70">
        <v>40.409999999999997</v>
      </c>
    </row>
    <row r="21" spans="1:7" x14ac:dyDescent="0.25">
      <c r="A21" s="68" t="s">
        <v>220</v>
      </c>
      <c r="B21" s="68" t="s">
        <v>233</v>
      </c>
      <c r="C21" s="69">
        <f t="shared" si="0"/>
        <v>41030</v>
      </c>
      <c r="D21" s="68" t="s">
        <v>227</v>
      </c>
      <c r="E21" s="68" t="s">
        <v>236</v>
      </c>
      <c r="F21" s="70">
        <v>28.96</v>
      </c>
    </row>
    <row r="22" spans="1:7" x14ac:dyDescent="0.25">
      <c r="A22" s="68" t="s">
        <v>220</v>
      </c>
      <c r="B22" s="68" t="s">
        <v>233</v>
      </c>
      <c r="C22" s="69">
        <f t="shared" si="0"/>
        <v>41030</v>
      </c>
      <c r="D22" s="68" t="s">
        <v>227</v>
      </c>
      <c r="E22" s="68" t="s">
        <v>237</v>
      </c>
      <c r="F22" s="70">
        <v>42.32</v>
      </c>
    </row>
    <row r="23" spans="1:7" x14ac:dyDescent="0.25">
      <c r="A23" s="68" t="s">
        <v>220</v>
      </c>
      <c r="B23" s="68" t="s">
        <v>233</v>
      </c>
      <c r="C23" s="69">
        <f t="shared" si="0"/>
        <v>41030</v>
      </c>
      <c r="D23" s="68" t="s">
        <v>227</v>
      </c>
      <c r="E23" s="68" t="s">
        <v>238</v>
      </c>
      <c r="F23" s="70">
        <v>31.54</v>
      </c>
    </row>
    <row r="24" spans="1:7" x14ac:dyDescent="0.25">
      <c r="A24" s="68" t="s">
        <v>220</v>
      </c>
      <c r="B24" s="68" t="s">
        <v>233</v>
      </c>
      <c r="C24" s="69">
        <f t="shared" si="0"/>
        <v>41030</v>
      </c>
      <c r="D24" s="68" t="s">
        <v>227</v>
      </c>
      <c r="E24" s="68" t="s">
        <v>239</v>
      </c>
      <c r="F24" s="70">
        <v>41.67</v>
      </c>
    </row>
    <row r="25" spans="1:7" x14ac:dyDescent="0.25">
      <c r="A25" s="68" t="s">
        <v>220</v>
      </c>
      <c r="B25" s="68" t="s">
        <v>233</v>
      </c>
      <c r="C25" s="69">
        <f t="shared" si="0"/>
        <v>41030</v>
      </c>
      <c r="D25" s="68" t="s">
        <v>227</v>
      </c>
      <c r="E25" s="68" t="s">
        <v>240</v>
      </c>
      <c r="F25" s="70">
        <v>32.520000000000003</v>
      </c>
    </row>
    <row r="26" spans="1:7" x14ac:dyDescent="0.25">
      <c r="A26" s="68" t="s">
        <v>220</v>
      </c>
      <c r="B26" s="68" t="s">
        <v>233</v>
      </c>
      <c r="C26" s="69">
        <f t="shared" si="0"/>
        <v>41030</v>
      </c>
      <c r="D26" s="68" t="s">
        <v>227</v>
      </c>
      <c r="E26" s="68" t="s">
        <v>241</v>
      </c>
      <c r="F26" s="70">
        <v>42.31</v>
      </c>
    </row>
    <row r="27" spans="1:7" x14ac:dyDescent="0.25">
      <c r="A27" s="3"/>
    </row>
    <row r="28" spans="1:7" x14ac:dyDescent="0.25">
      <c r="A28" s="3"/>
    </row>
    <row r="29" spans="1:7" x14ac:dyDescent="0.25">
      <c r="A29" s="51" t="s">
        <v>243</v>
      </c>
    </row>
    <row r="30" spans="1:7" x14ac:dyDescent="0.25">
      <c r="A30" s="3"/>
    </row>
    <row r="31" spans="1:7" x14ac:dyDescent="0.25">
      <c r="A31" s="22">
        <v>35.6</v>
      </c>
      <c r="B31" s="68" t="s">
        <v>244</v>
      </c>
      <c r="C31" s="68" t="s">
        <v>245</v>
      </c>
      <c r="D31" s="69">
        <f>DATE(2012,5,22)</f>
        <v>41051</v>
      </c>
      <c r="E31" s="68" t="s">
        <v>246</v>
      </c>
      <c r="F31" s="68" t="s">
        <v>247</v>
      </c>
      <c r="G31" s="70">
        <v>27.86</v>
      </c>
    </row>
    <row r="32" spans="1:7" x14ac:dyDescent="0.25">
      <c r="A32" s="22">
        <v>35.6</v>
      </c>
      <c r="B32" s="68" t="s">
        <v>244</v>
      </c>
      <c r="C32" s="68" t="s">
        <v>248</v>
      </c>
      <c r="D32" s="69">
        <f>DATE(2012,5,22)</f>
        <v>41051</v>
      </c>
      <c r="E32" s="68" t="s">
        <v>246</v>
      </c>
      <c r="F32" s="68" t="s">
        <v>247</v>
      </c>
      <c r="G32" s="70">
        <v>7.74</v>
      </c>
    </row>
    <row r="33" spans="1:7" x14ac:dyDescent="0.25">
      <c r="A33" s="22">
        <v>65.28</v>
      </c>
      <c r="B33" s="68" t="s">
        <v>249</v>
      </c>
      <c r="C33" s="68" t="s">
        <v>250</v>
      </c>
      <c r="D33" s="69">
        <f>DATE(2012,5,29)</f>
        <v>41058</v>
      </c>
      <c r="E33" s="68" t="s">
        <v>251</v>
      </c>
      <c r="F33" s="68" t="s">
        <v>252</v>
      </c>
      <c r="G33" s="70">
        <v>65.28</v>
      </c>
    </row>
    <row r="34" spans="1:7" x14ac:dyDescent="0.25">
      <c r="A34" s="22">
        <v>1277.4100000000003</v>
      </c>
      <c r="B34" s="68" t="s">
        <v>253</v>
      </c>
      <c r="C34" s="68" t="s">
        <v>254</v>
      </c>
      <c r="D34" s="69">
        <f t="shared" ref="D34:D48" si="1">DATE(2012,5,18)</f>
        <v>41047</v>
      </c>
      <c r="E34" s="68" t="s">
        <v>255</v>
      </c>
      <c r="F34" s="68" t="s">
        <v>256</v>
      </c>
      <c r="G34" s="70">
        <v>15.05</v>
      </c>
    </row>
    <row r="35" spans="1:7" x14ac:dyDescent="0.25">
      <c r="A35" s="22">
        <v>1277.4100000000003</v>
      </c>
      <c r="B35" s="68" t="s">
        <v>253</v>
      </c>
      <c r="C35" s="68" t="s">
        <v>254</v>
      </c>
      <c r="D35" s="69">
        <f t="shared" si="1"/>
        <v>41047</v>
      </c>
      <c r="E35" s="68" t="s">
        <v>255</v>
      </c>
      <c r="F35" s="68" t="s">
        <v>257</v>
      </c>
      <c r="G35" s="70">
        <v>44.31</v>
      </c>
    </row>
    <row r="36" spans="1:7" x14ac:dyDescent="0.25">
      <c r="A36" s="22">
        <v>1277.4100000000003</v>
      </c>
      <c r="B36" s="68" t="s">
        <v>253</v>
      </c>
      <c r="C36" s="68" t="s">
        <v>254</v>
      </c>
      <c r="D36" s="69">
        <f t="shared" si="1"/>
        <v>41047</v>
      </c>
      <c r="E36" s="68" t="s">
        <v>255</v>
      </c>
      <c r="F36" s="68" t="s">
        <v>258</v>
      </c>
      <c r="G36" s="70">
        <v>29.45</v>
      </c>
    </row>
    <row r="37" spans="1:7" x14ac:dyDescent="0.25">
      <c r="A37" s="22">
        <v>1277.4100000000003</v>
      </c>
      <c r="B37" s="68" t="s">
        <v>253</v>
      </c>
      <c r="C37" s="68" t="s">
        <v>254</v>
      </c>
      <c r="D37" s="69">
        <f t="shared" si="1"/>
        <v>41047</v>
      </c>
      <c r="E37" s="68" t="s">
        <v>255</v>
      </c>
      <c r="F37" s="68" t="s">
        <v>259</v>
      </c>
      <c r="G37" s="70">
        <v>40.630000000000003</v>
      </c>
    </row>
    <row r="38" spans="1:7" x14ac:dyDescent="0.25">
      <c r="A38" s="22">
        <v>1277.4100000000003</v>
      </c>
      <c r="B38" s="68" t="s">
        <v>253</v>
      </c>
      <c r="C38" s="68" t="s">
        <v>254</v>
      </c>
      <c r="D38" s="69">
        <f t="shared" si="1"/>
        <v>41047</v>
      </c>
      <c r="E38" s="68" t="s">
        <v>255</v>
      </c>
      <c r="F38" s="68" t="s">
        <v>260</v>
      </c>
      <c r="G38" s="70">
        <v>41.68</v>
      </c>
    </row>
    <row r="39" spans="1:7" x14ac:dyDescent="0.25">
      <c r="A39" s="22">
        <v>1277.4100000000003</v>
      </c>
      <c r="B39" s="68" t="s">
        <v>253</v>
      </c>
      <c r="C39" s="68" t="s">
        <v>254</v>
      </c>
      <c r="D39" s="69">
        <f t="shared" si="1"/>
        <v>41047</v>
      </c>
      <c r="E39" s="68" t="s">
        <v>255</v>
      </c>
      <c r="F39" s="68" t="s">
        <v>261</v>
      </c>
      <c r="G39" s="70">
        <v>67.81</v>
      </c>
    </row>
    <row r="40" spans="1:7" x14ac:dyDescent="0.25">
      <c r="A40" s="22">
        <v>1277.4100000000003</v>
      </c>
      <c r="B40" s="68" t="s">
        <v>253</v>
      </c>
      <c r="C40" s="68" t="s">
        <v>254</v>
      </c>
      <c r="D40" s="69">
        <f t="shared" si="1"/>
        <v>41047</v>
      </c>
      <c r="E40" s="68" t="s">
        <v>255</v>
      </c>
      <c r="F40" s="68" t="s">
        <v>262</v>
      </c>
      <c r="G40" s="70">
        <v>84.32</v>
      </c>
    </row>
    <row r="41" spans="1:7" x14ac:dyDescent="0.25">
      <c r="A41" s="22">
        <v>1277.4100000000003</v>
      </c>
      <c r="B41" s="68" t="s">
        <v>253</v>
      </c>
      <c r="C41" s="68" t="s">
        <v>254</v>
      </c>
      <c r="D41" s="69">
        <f t="shared" si="1"/>
        <v>41047</v>
      </c>
      <c r="E41" s="68" t="s">
        <v>255</v>
      </c>
      <c r="F41" s="68" t="s">
        <v>263</v>
      </c>
      <c r="G41" s="70">
        <v>90.68</v>
      </c>
    </row>
    <row r="42" spans="1:7" x14ac:dyDescent="0.25">
      <c r="A42" s="22">
        <v>1277.4100000000003</v>
      </c>
      <c r="B42" s="68" t="s">
        <v>253</v>
      </c>
      <c r="C42" s="68" t="s">
        <v>254</v>
      </c>
      <c r="D42" s="69">
        <f t="shared" si="1"/>
        <v>41047</v>
      </c>
      <c r="E42" s="68" t="s">
        <v>255</v>
      </c>
      <c r="F42" s="68" t="s">
        <v>264</v>
      </c>
      <c r="G42" s="70">
        <v>86.16</v>
      </c>
    </row>
    <row r="43" spans="1:7" x14ac:dyDescent="0.25">
      <c r="A43" s="22">
        <v>1277.4100000000003</v>
      </c>
      <c r="B43" s="68" t="s">
        <v>253</v>
      </c>
      <c r="C43" s="68" t="s">
        <v>254</v>
      </c>
      <c r="D43" s="69">
        <f t="shared" si="1"/>
        <v>41047</v>
      </c>
      <c r="E43" s="68" t="s">
        <v>255</v>
      </c>
      <c r="F43" s="68" t="s">
        <v>265</v>
      </c>
      <c r="G43" s="70">
        <v>131.87</v>
      </c>
    </row>
    <row r="44" spans="1:7" x14ac:dyDescent="0.25">
      <c r="A44" s="22">
        <v>1277.4100000000003</v>
      </c>
      <c r="B44" s="68" t="s">
        <v>253</v>
      </c>
      <c r="C44" s="68" t="s">
        <v>254</v>
      </c>
      <c r="D44" s="69">
        <f t="shared" si="1"/>
        <v>41047</v>
      </c>
      <c r="E44" s="68" t="s">
        <v>255</v>
      </c>
      <c r="F44" s="68" t="s">
        <v>266</v>
      </c>
      <c r="G44" s="70">
        <v>156.35</v>
      </c>
    </row>
    <row r="45" spans="1:7" x14ac:dyDescent="0.25">
      <c r="A45" s="22">
        <v>1277.4100000000003</v>
      </c>
      <c r="B45" s="68" t="s">
        <v>253</v>
      </c>
      <c r="C45" s="68" t="s">
        <v>254</v>
      </c>
      <c r="D45" s="69">
        <f t="shared" si="1"/>
        <v>41047</v>
      </c>
      <c r="E45" s="68" t="s">
        <v>255</v>
      </c>
      <c r="F45" s="68" t="s">
        <v>267</v>
      </c>
      <c r="G45" s="70">
        <v>101.97</v>
      </c>
    </row>
    <row r="46" spans="1:7" x14ac:dyDescent="0.25">
      <c r="A46" s="22">
        <v>1277.4100000000003</v>
      </c>
      <c r="B46" s="68" t="s">
        <v>253</v>
      </c>
      <c r="C46" s="68" t="s">
        <v>254</v>
      </c>
      <c r="D46" s="69">
        <f t="shared" si="1"/>
        <v>41047</v>
      </c>
      <c r="E46" s="68" t="s">
        <v>255</v>
      </c>
      <c r="F46" s="68" t="s">
        <v>268</v>
      </c>
      <c r="G46" s="70">
        <v>114.85</v>
      </c>
    </row>
    <row r="47" spans="1:7" x14ac:dyDescent="0.25">
      <c r="A47" s="22">
        <v>1277.4100000000003</v>
      </c>
      <c r="B47" s="68" t="s">
        <v>253</v>
      </c>
      <c r="C47" s="68" t="s">
        <v>254</v>
      </c>
      <c r="D47" s="69">
        <f t="shared" si="1"/>
        <v>41047</v>
      </c>
      <c r="E47" s="68" t="s">
        <v>255</v>
      </c>
      <c r="F47" s="68" t="s">
        <v>269</v>
      </c>
      <c r="G47" s="70">
        <v>137.66999999999999</v>
      </c>
    </row>
    <row r="48" spans="1:7" x14ac:dyDescent="0.25">
      <c r="A48" s="22">
        <v>1277.4100000000003</v>
      </c>
      <c r="B48" s="68" t="s">
        <v>253</v>
      </c>
      <c r="C48" s="68" t="s">
        <v>254</v>
      </c>
      <c r="D48" s="69">
        <f t="shared" si="1"/>
        <v>41047</v>
      </c>
      <c r="E48" s="68" t="s">
        <v>255</v>
      </c>
      <c r="F48" s="68" t="s">
        <v>270</v>
      </c>
      <c r="G48" s="70">
        <v>134.61000000000001</v>
      </c>
    </row>
    <row r="49" spans="1:7" x14ac:dyDescent="0.25">
      <c r="A49" s="22">
        <v>25.91</v>
      </c>
      <c r="B49" s="68" t="s">
        <v>271</v>
      </c>
      <c r="C49" s="68" t="s">
        <v>272</v>
      </c>
      <c r="D49" s="69">
        <f>DATE(2012,5,7)</f>
        <v>41036</v>
      </c>
      <c r="E49" s="68" t="s">
        <v>273</v>
      </c>
      <c r="F49" s="68" t="s">
        <v>274</v>
      </c>
      <c r="G49" s="70">
        <v>25.91</v>
      </c>
    </row>
    <row r="50" spans="1:7" x14ac:dyDescent="0.25">
      <c r="A50" s="3"/>
    </row>
    <row r="51" spans="1:7" x14ac:dyDescent="0.25">
      <c r="A51" s="3" t="s">
        <v>275</v>
      </c>
    </row>
    <row r="52" spans="1:7" x14ac:dyDescent="0.25">
      <c r="A52" s="3" t="s">
        <v>276</v>
      </c>
    </row>
    <row r="53" spans="1:7" x14ac:dyDescent="0.25">
      <c r="A53" s="3" t="s">
        <v>277</v>
      </c>
    </row>
    <row r="54" spans="1:7" x14ac:dyDescent="0.25">
      <c r="A54" s="3" t="s">
        <v>278</v>
      </c>
    </row>
    <row r="55" spans="1:7" x14ac:dyDescent="0.25">
      <c r="A55" s="3"/>
    </row>
    <row r="56" spans="1:7" x14ac:dyDescent="0.25">
      <c r="A56" s="3" t="s">
        <v>279</v>
      </c>
    </row>
    <row r="57" spans="1:7" x14ac:dyDescent="0.25">
      <c r="A57" s="3"/>
    </row>
    <row r="59" spans="1:7" x14ac:dyDescent="0.25">
      <c r="A59" s="3" t="s">
        <v>200</v>
      </c>
    </row>
    <row r="60" spans="1:7" x14ac:dyDescent="0.25">
      <c r="A60" s="3" t="s">
        <v>201</v>
      </c>
    </row>
    <row r="62" spans="1:7" x14ac:dyDescent="0.25">
      <c r="B62" s="3" t="s">
        <v>202</v>
      </c>
    </row>
    <row r="63" spans="1:7" x14ac:dyDescent="0.25">
      <c r="B63" s="3" t="s">
        <v>205</v>
      </c>
    </row>
    <row r="65" spans="1:2" x14ac:dyDescent="0.25">
      <c r="A65" s="3" t="s">
        <v>203</v>
      </c>
    </row>
    <row r="66" spans="1:2" x14ac:dyDescent="0.25">
      <c r="A66" s="3" t="s">
        <v>204</v>
      </c>
    </row>
    <row r="69" spans="1:2" x14ac:dyDescent="0.25">
      <c r="B69" s="3" t="s">
        <v>206</v>
      </c>
    </row>
    <row r="70" spans="1:2" x14ac:dyDescent="0.25">
      <c r="B70" s="3" t="s">
        <v>207</v>
      </c>
    </row>
    <row r="71" spans="1:2" x14ac:dyDescent="0.25">
      <c r="B71" s="3" t="s">
        <v>208</v>
      </c>
    </row>
    <row r="72" spans="1:2" x14ac:dyDescent="0.25">
      <c r="B72" s="3" t="s">
        <v>280</v>
      </c>
    </row>
    <row r="73" spans="1:2" x14ac:dyDescent="0.25">
      <c r="B73" s="3" t="s">
        <v>281</v>
      </c>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tabColor rgb="FFFFC000"/>
  </sheetPr>
  <dimension ref="A1:F34"/>
  <sheetViews>
    <sheetView showGridLines="0" workbookViewId="0">
      <selection activeCell="C18" sqref="C18"/>
    </sheetView>
  </sheetViews>
  <sheetFormatPr defaultRowHeight="12.5" x14ac:dyDescent="0.25"/>
  <cols>
    <col min="1" max="1" width="21.54296875" customWidth="1"/>
    <col min="2" max="2" width="5" bestFit="1" customWidth="1"/>
    <col min="3" max="3" width="46.453125" bestFit="1" customWidth="1"/>
    <col min="4" max="4" width="10.54296875" bestFit="1" customWidth="1"/>
    <col min="5" max="5" width="9.7265625" bestFit="1" customWidth="1"/>
    <col min="6" max="6" width="9.54296875" bestFit="1" customWidth="1"/>
  </cols>
  <sheetData>
    <row r="1" spans="1:1" ht="18" x14ac:dyDescent="0.4">
      <c r="A1" s="41" t="s">
        <v>282</v>
      </c>
    </row>
    <row r="3" spans="1:1" x14ac:dyDescent="0.25">
      <c r="A3" s="3" t="s">
        <v>283</v>
      </c>
    </row>
    <row r="5" spans="1:1" x14ac:dyDescent="0.25">
      <c r="A5" s="3" t="s">
        <v>284</v>
      </c>
    </row>
    <row r="6" spans="1:1" x14ac:dyDescent="0.25">
      <c r="A6" s="3"/>
    </row>
    <row r="7" spans="1:1" s="66" customFormat="1" ht="13" x14ac:dyDescent="0.3"/>
    <row r="10" spans="1:1" x14ac:dyDescent="0.25">
      <c r="A10" s="3" t="s">
        <v>285</v>
      </c>
    </row>
    <row r="11" spans="1:1" x14ac:dyDescent="0.25">
      <c r="A11" s="3" t="s">
        <v>286</v>
      </c>
    </row>
    <row r="12" spans="1:1" x14ac:dyDescent="0.25">
      <c r="A12" s="3" t="s">
        <v>287</v>
      </c>
    </row>
    <row r="13" spans="1:1" x14ac:dyDescent="0.25">
      <c r="A13" s="3" t="s">
        <v>304</v>
      </c>
    </row>
    <row r="14" spans="1:1" x14ac:dyDescent="0.25">
      <c r="A14" s="3"/>
    </row>
    <row r="15" spans="1:1" x14ac:dyDescent="0.25">
      <c r="A15" s="3" t="s">
        <v>305</v>
      </c>
    </row>
    <row r="16" spans="1:1" x14ac:dyDescent="0.25">
      <c r="A16" s="3" t="s">
        <v>306</v>
      </c>
    </row>
    <row r="17" spans="1:6" x14ac:dyDescent="0.25">
      <c r="A17" s="3" t="s">
        <v>307</v>
      </c>
    </row>
    <row r="18" spans="1:6" s="44" customFormat="1" ht="13" x14ac:dyDescent="0.3">
      <c r="A18" s="44" t="s">
        <v>402</v>
      </c>
    </row>
    <row r="19" spans="1:6" x14ac:dyDescent="0.25">
      <c r="A19" s="3" t="s">
        <v>303</v>
      </c>
    </row>
    <row r="21" spans="1:6" ht="14.5" x14ac:dyDescent="0.35">
      <c r="A21" s="52" t="s">
        <v>288</v>
      </c>
      <c r="B21" s="53" t="s">
        <v>289</v>
      </c>
      <c r="C21" s="54" t="s">
        <v>290</v>
      </c>
      <c r="D21" s="55" t="s">
        <v>291</v>
      </c>
      <c r="E21" s="56" t="s">
        <v>87</v>
      </c>
      <c r="F21" s="56" t="s">
        <v>88</v>
      </c>
    </row>
    <row r="22" spans="1:6" ht="14.5" x14ac:dyDescent="0.35">
      <c r="A22" s="57" t="s">
        <v>15</v>
      </c>
      <c r="B22" s="58">
        <v>4</v>
      </c>
      <c r="C22" s="59" t="s">
        <v>292</v>
      </c>
      <c r="D22" s="60">
        <v>23</v>
      </c>
      <c r="E22" s="61">
        <v>5.0000000000000001E-3</v>
      </c>
      <c r="F22" s="61">
        <v>4.4999999999999997E-3</v>
      </c>
    </row>
    <row r="23" spans="1:6" ht="14.5" x14ac:dyDescent="0.35">
      <c r="A23" s="62" t="s">
        <v>15</v>
      </c>
      <c r="B23" s="63">
        <v>37</v>
      </c>
      <c r="C23" t="s">
        <v>293</v>
      </c>
      <c r="D23" s="64">
        <v>2</v>
      </c>
      <c r="E23" s="65">
        <v>5.0000000000000001E-3</v>
      </c>
      <c r="F23" s="65">
        <v>4.4999999999999997E-3</v>
      </c>
    </row>
    <row r="24" spans="1:6" ht="14.5" x14ac:dyDescent="0.35">
      <c r="A24" s="62" t="s">
        <v>15</v>
      </c>
      <c r="B24" s="63">
        <v>188</v>
      </c>
      <c r="C24" t="s">
        <v>294</v>
      </c>
      <c r="D24" s="64">
        <v>1</v>
      </c>
      <c r="E24" s="65">
        <v>5.0000000000000001E-3</v>
      </c>
      <c r="F24" s="65">
        <v>4.4999999999999997E-3</v>
      </c>
    </row>
    <row r="25" spans="1:6" ht="14.5" x14ac:dyDescent="0.35">
      <c r="A25" s="62" t="s">
        <v>15</v>
      </c>
      <c r="B25" s="63">
        <v>211</v>
      </c>
      <c r="C25" t="s">
        <v>295</v>
      </c>
      <c r="D25" s="64">
        <v>8</v>
      </c>
      <c r="E25" s="65">
        <v>5.0000000000000001E-3</v>
      </c>
      <c r="F25" s="65">
        <v>4.4999999999999997E-3</v>
      </c>
    </row>
    <row r="26" spans="1:6" ht="14.5" x14ac:dyDescent="0.35">
      <c r="A26" s="57" t="s">
        <v>15</v>
      </c>
      <c r="B26" s="58">
        <v>222</v>
      </c>
      <c r="C26" s="59" t="s">
        <v>296</v>
      </c>
      <c r="D26" s="60">
        <v>395783</v>
      </c>
      <c r="E26" s="61">
        <v>5.0000000000000001E-3</v>
      </c>
      <c r="F26" s="61">
        <v>4.4999999999999997E-3</v>
      </c>
    </row>
    <row r="27" spans="1:6" ht="14.5" x14ac:dyDescent="0.35">
      <c r="A27" s="62" t="s">
        <v>15</v>
      </c>
      <c r="B27" s="63">
        <v>223</v>
      </c>
      <c r="C27" t="s">
        <v>297</v>
      </c>
      <c r="D27" s="64">
        <v>151</v>
      </c>
      <c r="E27" s="65">
        <v>5.0000000000000001E-3</v>
      </c>
      <c r="F27" s="65">
        <v>4.4999999999999997E-3</v>
      </c>
    </row>
    <row r="28" spans="1:6" ht="14.5" x14ac:dyDescent="0.35">
      <c r="A28" s="62" t="s">
        <v>15</v>
      </c>
      <c r="B28" s="63">
        <v>231</v>
      </c>
      <c r="C28" t="s">
        <v>298</v>
      </c>
      <c r="D28" s="64">
        <v>1</v>
      </c>
      <c r="E28" s="65">
        <v>5.0000000000000001E-3</v>
      </c>
      <c r="F28" s="65">
        <v>4.4999999999999997E-3</v>
      </c>
    </row>
    <row r="29" spans="1:6" ht="14.5" x14ac:dyDescent="0.35">
      <c r="A29" s="57" t="s">
        <v>15</v>
      </c>
      <c r="B29" s="58">
        <v>288</v>
      </c>
      <c r="C29" s="59" t="s">
        <v>299</v>
      </c>
      <c r="D29" s="60">
        <v>1064028</v>
      </c>
      <c r="E29" s="61">
        <v>2.3E-3</v>
      </c>
      <c r="F29" s="61">
        <v>2.1919999999999999E-3</v>
      </c>
    </row>
    <row r="30" spans="1:6" ht="14.5" x14ac:dyDescent="0.35">
      <c r="A30" s="57" t="s">
        <v>15</v>
      </c>
      <c r="B30" s="58">
        <v>333</v>
      </c>
      <c r="C30" s="59" t="s">
        <v>300</v>
      </c>
      <c r="D30" s="60">
        <v>134938</v>
      </c>
      <c r="E30" s="61">
        <v>5.0000000000000001E-3</v>
      </c>
      <c r="F30" s="61">
        <v>4.4999999999999997E-3</v>
      </c>
    </row>
    <row r="31" spans="1:6" ht="14.5" x14ac:dyDescent="0.35">
      <c r="A31" s="62" t="s">
        <v>15</v>
      </c>
      <c r="B31" s="63">
        <v>348</v>
      </c>
      <c r="C31" t="s">
        <v>301</v>
      </c>
      <c r="D31" s="64">
        <v>4</v>
      </c>
      <c r="E31" s="65">
        <v>5.0000000000000001E-3</v>
      </c>
      <c r="F31" s="65">
        <v>4.4999999999999997E-3</v>
      </c>
    </row>
    <row r="32" spans="1:6" ht="14.5" x14ac:dyDescent="0.35">
      <c r="A32" s="62" t="s">
        <v>15</v>
      </c>
      <c r="B32" s="63">
        <v>366</v>
      </c>
      <c r="C32" t="s">
        <v>302</v>
      </c>
      <c r="D32" s="64">
        <v>17</v>
      </c>
      <c r="E32" s="65">
        <v>5.0000000000000001E-3</v>
      </c>
      <c r="F32" s="65">
        <v>4.4999999999999997E-3</v>
      </c>
    </row>
    <row r="34" spans="1:1" x14ac:dyDescent="0.25">
      <c r="A34" s="3" t="s">
        <v>308</v>
      </c>
    </row>
  </sheetData>
  <pageMargins left="0.7" right="0.7" top="0.75" bottom="0.75" header="0.3" footer="0.3"/>
  <pageSetup orientation="portrait" r:id="rId1"/>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dimension ref="A1:D21"/>
  <sheetViews>
    <sheetView workbookViewId="0">
      <selection activeCell="B21" sqref="B21"/>
    </sheetView>
  </sheetViews>
  <sheetFormatPr defaultRowHeight="12.5" x14ac:dyDescent="0.25"/>
  <cols>
    <col min="1" max="1" width="24.54296875" bestFit="1" customWidth="1"/>
    <col min="2" max="2" width="15.453125" bestFit="1" customWidth="1"/>
  </cols>
  <sheetData>
    <row r="1" spans="1:4" x14ac:dyDescent="0.25">
      <c r="A1" s="3" t="s">
        <v>322</v>
      </c>
    </row>
    <row r="3" spans="1:4" x14ac:dyDescent="0.25">
      <c r="A3" s="3" t="s">
        <v>323</v>
      </c>
    </row>
    <row r="4" spans="1:4" x14ac:dyDescent="0.25">
      <c r="A4" s="3" t="s">
        <v>324</v>
      </c>
    </row>
    <row r="7" spans="1:4" x14ac:dyDescent="0.25">
      <c r="A7" t="s">
        <v>309</v>
      </c>
      <c r="B7" s="71">
        <v>41065</v>
      </c>
      <c r="C7" s="3" t="s">
        <v>325</v>
      </c>
      <c r="D7" s="3" t="s">
        <v>327</v>
      </c>
    </row>
    <row r="8" spans="1:4" x14ac:dyDescent="0.25">
      <c r="A8" t="s">
        <v>310</v>
      </c>
      <c r="B8" s="72">
        <f>SUM((B9+B11)-(B10))</f>
        <v>1856374424.4035995</v>
      </c>
      <c r="C8" s="3" t="s">
        <v>326</v>
      </c>
    </row>
    <row r="9" spans="1:4" ht="14.5" x14ac:dyDescent="0.35">
      <c r="A9" t="s">
        <v>311</v>
      </c>
      <c r="B9" s="73">
        <v>1455270983.2253001</v>
      </c>
      <c r="C9" s="3" t="s">
        <v>325</v>
      </c>
      <c r="D9" s="3" t="s">
        <v>328</v>
      </c>
    </row>
    <row r="10" spans="1:4" ht="14.5" x14ac:dyDescent="0.35">
      <c r="A10" s="74" t="s">
        <v>312</v>
      </c>
      <c r="B10" s="75">
        <v>4607897.6238999907</v>
      </c>
      <c r="C10" s="3" t="s">
        <v>325</v>
      </c>
      <c r="D10" s="3" t="s">
        <v>328</v>
      </c>
    </row>
    <row r="11" spans="1:4" ht="14.5" x14ac:dyDescent="0.35">
      <c r="A11" t="s">
        <v>313</v>
      </c>
      <c r="B11" s="76">
        <v>405711338.80219942</v>
      </c>
      <c r="C11" s="3" t="s">
        <v>325</v>
      </c>
      <c r="D11" s="3" t="s">
        <v>328</v>
      </c>
    </row>
    <row r="12" spans="1:4" x14ac:dyDescent="0.25">
      <c r="A12" t="s">
        <v>314</v>
      </c>
      <c r="B12" s="77">
        <v>1852187067</v>
      </c>
      <c r="C12" s="3" t="s">
        <v>325</v>
      </c>
      <c r="D12" s="3" t="s">
        <v>369</v>
      </c>
    </row>
    <row r="13" spans="1:4" x14ac:dyDescent="0.25">
      <c r="A13" t="s">
        <v>315</v>
      </c>
      <c r="B13" s="45">
        <v>9852232</v>
      </c>
      <c r="C13" s="3" t="s">
        <v>325</v>
      </c>
      <c r="D13" s="3" t="s">
        <v>329</v>
      </c>
    </row>
    <row r="14" spans="1:4" x14ac:dyDescent="0.25">
      <c r="A14" t="s">
        <v>316</v>
      </c>
      <c r="B14" s="45">
        <v>7020</v>
      </c>
      <c r="C14" s="3" t="s">
        <v>325</v>
      </c>
      <c r="D14" s="3" t="s">
        <v>330</v>
      </c>
    </row>
    <row r="15" spans="1:4" ht="14.5" x14ac:dyDescent="0.35">
      <c r="A15" s="74" t="s">
        <v>317</v>
      </c>
      <c r="B15" s="78">
        <v>1535838</v>
      </c>
      <c r="C15" s="3" t="s">
        <v>325</v>
      </c>
      <c r="D15" s="3" t="s">
        <v>331</v>
      </c>
    </row>
    <row r="16" spans="1:4" ht="14.5" x14ac:dyDescent="0.35">
      <c r="A16" s="74" t="s">
        <v>318</v>
      </c>
      <c r="B16" s="45">
        <v>0</v>
      </c>
      <c r="C16" s="3" t="s">
        <v>325</v>
      </c>
      <c r="D16" s="3" t="s">
        <v>332</v>
      </c>
    </row>
    <row r="17" spans="1:4" ht="14.5" x14ac:dyDescent="0.35">
      <c r="A17" s="74" t="s">
        <v>319</v>
      </c>
      <c r="B17" s="78">
        <v>2354589</v>
      </c>
      <c r="C17" s="3" t="s">
        <v>325</v>
      </c>
      <c r="D17" s="3" t="s">
        <v>333</v>
      </c>
    </row>
    <row r="18" spans="1:4" x14ac:dyDescent="0.25">
      <c r="B18" s="45"/>
      <c r="C18" s="3" t="s">
        <v>325</v>
      </c>
    </row>
    <row r="19" spans="1:4" x14ac:dyDescent="0.25">
      <c r="A19" t="s">
        <v>320</v>
      </c>
      <c r="B19" s="45">
        <f>SUM(B12+B13+B14+B15+B16-B17)</f>
        <v>1861227568</v>
      </c>
      <c r="C19" s="3" t="s">
        <v>326</v>
      </c>
    </row>
    <row r="21" spans="1:4" ht="14.5" x14ac:dyDescent="0.35">
      <c r="A21" t="s">
        <v>321</v>
      </c>
      <c r="B21" s="79">
        <f>SUM(B8-B19)/B8</f>
        <v>-2.6143128953953765E-3</v>
      </c>
      <c r="C21" s="3" t="s">
        <v>326</v>
      </c>
    </row>
  </sheetData>
  <pageMargins left="0.7" right="0.7" top="0.75" bottom="0.75" header="0.3" footer="0.3"/>
  <pageSetup orientation="portrait" r:id="rId1"/>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tabColor rgb="FFFF0000"/>
  </sheetPr>
  <dimension ref="A1:D39"/>
  <sheetViews>
    <sheetView workbookViewId="0"/>
  </sheetViews>
  <sheetFormatPr defaultRowHeight="12.5" x14ac:dyDescent="0.25"/>
  <cols>
    <col min="1" max="1" width="29.7265625" customWidth="1"/>
    <col min="2" max="2" width="44.54296875" customWidth="1"/>
    <col min="3" max="3" width="28.1796875" bestFit="1" customWidth="1"/>
    <col min="4" max="4" width="63.26953125" style="46" customWidth="1"/>
  </cols>
  <sheetData>
    <row r="1" spans="1:4" ht="13" x14ac:dyDescent="0.3">
      <c r="A1" s="48" t="s">
        <v>548</v>
      </c>
      <c r="B1" s="3" t="s">
        <v>341</v>
      </c>
      <c r="C1" s="3" t="s">
        <v>340</v>
      </c>
    </row>
    <row r="2" spans="1:4" ht="37.5" x14ac:dyDescent="0.25">
      <c r="A2" s="3" t="s">
        <v>339</v>
      </c>
      <c r="B2" s="3" t="s">
        <v>349</v>
      </c>
      <c r="C2" s="3" t="s">
        <v>350</v>
      </c>
      <c r="D2" s="47" t="s">
        <v>351</v>
      </c>
    </row>
    <row r="3" spans="1:4" x14ac:dyDescent="0.25">
      <c r="A3" s="3" t="s">
        <v>334</v>
      </c>
      <c r="B3" s="3" t="s">
        <v>344</v>
      </c>
      <c r="C3" s="3" t="s">
        <v>342</v>
      </c>
    </row>
    <row r="4" spans="1:4" x14ac:dyDescent="0.25">
      <c r="A4" s="3" t="s">
        <v>337</v>
      </c>
      <c r="B4" s="3" t="s">
        <v>345</v>
      </c>
      <c r="C4" s="3" t="s">
        <v>342</v>
      </c>
    </row>
    <row r="5" spans="1:4" x14ac:dyDescent="0.25">
      <c r="A5" s="3" t="s">
        <v>338</v>
      </c>
      <c r="B5" s="3" t="s">
        <v>346</v>
      </c>
      <c r="C5" s="3" t="s">
        <v>342</v>
      </c>
    </row>
    <row r="6" spans="1:4" x14ac:dyDescent="0.25">
      <c r="A6" s="3" t="s">
        <v>336</v>
      </c>
      <c r="B6" s="3" t="s">
        <v>348</v>
      </c>
      <c r="C6" s="3" t="s">
        <v>342</v>
      </c>
    </row>
    <row r="7" spans="1:4" x14ac:dyDescent="0.25">
      <c r="A7" s="3" t="s">
        <v>422</v>
      </c>
      <c r="B7" t="s">
        <v>423</v>
      </c>
      <c r="C7" s="3" t="s">
        <v>342</v>
      </c>
    </row>
    <row r="8" spans="1:4" x14ac:dyDescent="0.25">
      <c r="A8" s="3" t="s">
        <v>335</v>
      </c>
      <c r="B8" s="3" t="s">
        <v>347</v>
      </c>
      <c r="C8" s="3" t="s">
        <v>342</v>
      </c>
    </row>
    <row r="9" spans="1:4" x14ac:dyDescent="0.25">
      <c r="A9" s="3" t="s">
        <v>543</v>
      </c>
      <c r="B9" s="3" t="s">
        <v>343</v>
      </c>
      <c r="C9" s="3" t="s">
        <v>542</v>
      </c>
    </row>
    <row r="10" spans="1:4" x14ac:dyDescent="0.25">
      <c r="B10" t="s">
        <v>545</v>
      </c>
      <c r="C10" t="s">
        <v>342</v>
      </c>
    </row>
    <row r="11" spans="1:4" x14ac:dyDescent="0.25">
      <c r="A11" t="s">
        <v>547</v>
      </c>
      <c r="B11" t="s">
        <v>546</v>
      </c>
      <c r="C11" t="s">
        <v>342</v>
      </c>
    </row>
    <row r="13" spans="1:4" ht="13" x14ac:dyDescent="0.3">
      <c r="A13" s="48" t="s">
        <v>424</v>
      </c>
    </row>
    <row r="14" spans="1:4" x14ac:dyDescent="0.25">
      <c r="A14" s="3" t="s">
        <v>425</v>
      </c>
      <c r="B14" t="s">
        <v>544</v>
      </c>
      <c r="C14" s="3" t="s">
        <v>342</v>
      </c>
    </row>
    <row r="17" spans="2:2" x14ac:dyDescent="0.25">
      <c r="B17" t="s">
        <v>519</v>
      </c>
    </row>
    <row r="18" spans="2:2" x14ac:dyDescent="0.25">
      <c r="B18" t="s">
        <v>520</v>
      </c>
    </row>
    <row r="19" spans="2:2" x14ac:dyDescent="0.25">
      <c r="B19" t="s">
        <v>521</v>
      </c>
    </row>
    <row r="20" spans="2:2" x14ac:dyDescent="0.25">
      <c r="B20" t="s">
        <v>522</v>
      </c>
    </row>
    <row r="21" spans="2:2" x14ac:dyDescent="0.25">
      <c r="B21" t="s">
        <v>523</v>
      </c>
    </row>
    <row r="22" spans="2:2" x14ac:dyDescent="0.25">
      <c r="B22" t="s">
        <v>524</v>
      </c>
    </row>
    <row r="23" spans="2:2" x14ac:dyDescent="0.25">
      <c r="B23" t="s">
        <v>525</v>
      </c>
    </row>
    <row r="24" spans="2:2" x14ac:dyDescent="0.25">
      <c r="B24" t="s">
        <v>526</v>
      </c>
    </row>
    <row r="25" spans="2:2" x14ac:dyDescent="0.25">
      <c r="B25" t="s">
        <v>527</v>
      </c>
    </row>
    <row r="26" spans="2:2" x14ac:dyDescent="0.25">
      <c r="B26" t="s">
        <v>528</v>
      </c>
    </row>
    <row r="27" spans="2:2" x14ac:dyDescent="0.25">
      <c r="B27" t="s">
        <v>529</v>
      </c>
    </row>
    <row r="28" spans="2:2" x14ac:dyDescent="0.25">
      <c r="B28" t="s">
        <v>530</v>
      </c>
    </row>
    <row r="29" spans="2:2" x14ac:dyDescent="0.25">
      <c r="B29" t="s">
        <v>531</v>
      </c>
    </row>
    <row r="30" spans="2:2" x14ac:dyDescent="0.25">
      <c r="B30" t="s">
        <v>532</v>
      </c>
    </row>
    <row r="31" spans="2:2" x14ac:dyDescent="0.25">
      <c r="B31" t="s">
        <v>533</v>
      </c>
    </row>
    <row r="32" spans="2:2" x14ac:dyDescent="0.25">
      <c r="B32" t="s">
        <v>534</v>
      </c>
    </row>
    <row r="33" spans="2:2" x14ac:dyDescent="0.25">
      <c r="B33" t="s">
        <v>535</v>
      </c>
    </row>
    <row r="34" spans="2:2" x14ac:dyDescent="0.25">
      <c r="B34" t="s">
        <v>536</v>
      </c>
    </row>
    <row r="35" spans="2:2" x14ac:dyDescent="0.25">
      <c r="B35" t="s">
        <v>537</v>
      </c>
    </row>
    <row r="36" spans="2:2" x14ac:dyDescent="0.25">
      <c r="B36" t="s">
        <v>538</v>
      </c>
    </row>
    <row r="37" spans="2:2" x14ac:dyDescent="0.25">
      <c r="B37" t="s">
        <v>539</v>
      </c>
    </row>
    <row r="38" spans="2:2" x14ac:dyDescent="0.25">
      <c r="B38" t="s">
        <v>540</v>
      </c>
    </row>
    <row r="39" spans="2:2" x14ac:dyDescent="0.25">
      <c r="B39" t="s">
        <v>541</v>
      </c>
    </row>
  </sheetData>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tabColor rgb="FF0070C0"/>
  </sheetPr>
  <dimension ref="A1:I62"/>
  <sheetViews>
    <sheetView zoomScale="75" zoomScaleNormal="75" workbookViewId="0">
      <selection activeCell="L5" sqref="L5"/>
    </sheetView>
  </sheetViews>
  <sheetFormatPr defaultRowHeight="12.5" x14ac:dyDescent="0.25"/>
  <cols>
    <col min="1" max="1" width="19.1796875" customWidth="1"/>
    <col min="2" max="2" width="10" bestFit="1" customWidth="1"/>
    <col min="3" max="3" width="11.54296875" customWidth="1"/>
    <col min="4" max="4" width="6.81640625" customWidth="1"/>
    <col min="6" max="6" width="24" customWidth="1"/>
    <col min="7" max="7" width="10" bestFit="1" customWidth="1"/>
    <col min="8" max="8" width="12.81640625" bestFit="1" customWidth="1"/>
    <col min="9" max="9" width="5.81640625" bestFit="1" customWidth="1"/>
  </cols>
  <sheetData>
    <row r="1" spans="1:9" x14ac:dyDescent="0.25">
      <c r="A1" s="132" t="s">
        <v>373</v>
      </c>
      <c r="B1" s="133"/>
      <c r="C1" s="133"/>
      <c r="D1" s="133"/>
      <c r="E1" s="133"/>
      <c r="F1" s="133"/>
      <c r="G1" s="133"/>
      <c r="H1" s="133"/>
      <c r="I1" s="133"/>
    </row>
    <row r="2" spans="1:9" x14ac:dyDescent="0.25">
      <c r="A2" s="133"/>
      <c r="B2" s="133"/>
      <c r="C2" s="133"/>
      <c r="D2" s="133"/>
      <c r="E2" s="133"/>
      <c r="F2" s="133"/>
      <c r="G2" s="133"/>
      <c r="H2" s="133"/>
      <c r="I2" s="133"/>
    </row>
    <row r="3" spans="1:9" ht="18.5" x14ac:dyDescent="0.45">
      <c r="A3" s="83" t="s">
        <v>374</v>
      </c>
      <c r="F3" s="83" t="s">
        <v>375</v>
      </c>
    </row>
    <row r="4" spans="1:9" ht="14.5" x14ac:dyDescent="0.35">
      <c r="B4" s="84" t="s">
        <v>87</v>
      </c>
      <c r="C4" s="84" t="s">
        <v>88</v>
      </c>
      <c r="D4" s="84" t="s">
        <v>89</v>
      </c>
      <c r="G4" s="84" t="s">
        <v>87</v>
      </c>
      <c r="H4" s="84" t="s">
        <v>88</v>
      </c>
      <c r="I4" s="84" t="s">
        <v>89</v>
      </c>
    </row>
    <row r="5" spans="1:9" ht="13" x14ac:dyDescent="0.3">
      <c r="B5" s="85" t="s">
        <v>143</v>
      </c>
      <c r="C5" s="85" t="s">
        <v>143</v>
      </c>
      <c r="D5" s="85" t="s">
        <v>376</v>
      </c>
      <c r="G5" s="85" t="s">
        <v>81</v>
      </c>
      <c r="H5" s="85" t="s">
        <v>81</v>
      </c>
      <c r="I5" s="85" t="s">
        <v>376</v>
      </c>
    </row>
    <row r="6" spans="1:9" ht="13" x14ac:dyDescent="0.3">
      <c r="B6" s="85" t="s">
        <v>76</v>
      </c>
      <c r="C6" s="85" t="s">
        <v>76</v>
      </c>
      <c r="D6" s="85"/>
      <c r="G6" s="85" t="s">
        <v>146</v>
      </c>
      <c r="H6" s="85" t="s">
        <v>146</v>
      </c>
      <c r="I6" s="85"/>
    </row>
    <row r="7" spans="1:9" ht="13" x14ac:dyDescent="0.3">
      <c r="B7" s="85" t="s">
        <v>153</v>
      </c>
      <c r="C7" s="85" t="s">
        <v>153</v>
      </c>
      <c r="D7" s="85"/>
    </row>
    <row r="8" spans="1:9" ht="13" x14ac:dyDescent="0.3">
      <c r="B8" s="85" t="s">
        <v>146</v>
      </c>
      <c r="C8" s="85" t="s">
        <v>146</v>
      </c>
      <c r="D8" s="85"/>
    </row>
    <row r="9" spans="1:9" ht="13.5" thickBot="1" x14ac:dyDescent="0.35">
      <c r="B9" s="85"/>
      <c r="C9" s="85"/>
      <c r="D9" s="85"/>
    </row>
    <row r="10" spans="1:9" ht="14.5" x14ac:dyDescent="0.35">
      <c r="A10" s="99" t="s">
        <v>377</v>
      </c>
      <c r="B10" s="86"/>
      <c r="C10" s="86"/>
      <c r="D10" s="86"/>
      <c r="E10" s="27"/>
      <c r="F10" s="27"/>
      <c r="G10" s="27"/>
      <c r="H10" s="27"/>
      <c r="I10" s="28"/>
    </row>
    <row r="11" spans="1:9" ht="14.5" x14ac:dyDescent="0.35">
      <c r="A11" s="87" t="s">
        <v>378</v>
      </c>
      <c r="B11" s="88" t="s">
        <v>87</v>
      </c>
      <c r="C11" s="88" t="s">
        <v>88</v>
      </c>
      <c r="D11" s="88" t="s">
        <v>89</v>
      </c>
      <c r="E11" s="30"/>
      <c r="F11" s="30"/>
      <c r="G11" s="88" t="s">
        <v>87</v>
      </c>
      <c r="H11" s="88" t="s">
        <v>88</v>
      </c>
      <c r="I11" s="89" t="s">
        <v>89</v>
      </c>
    </row>
    <row r="12" spans="1:9" ht="13" x14ac:dyDescent="0.3">
      <c r="A12" s="37"/>
      <c r="B12" s="90" t="s">
        <v>143</v>
      </c>
      <c r="C12" s="91" t="s">
        <v>379</v>
      </c>
      <c r="D12" s="90" t="s">
        <v>376</v>
      </c>
      <c r="E12" s="30"/>
      <c r="F12" s="30"/>
      <c r="G12" s="90" t="s">
        <v>81</v>
      </c>
      <c r="H12" s="91" t="s">
        <v>380</v>
      </c>
      <c r="I12" s="92" t="s">
        <v>376</v>
      </c>
    </row>
    <row r="13" spans="1:9" ht="13" x14ac:dyDescent="0.3">
      <c r="A13" s="37"/>
      <c r="B13" s="90" t="s">
        <v>76</v>
      </c>
      <c r="C13" s="90" t="s">
        <v>76</v>
      </c>
      <c r="D13" s="90"/>
      <c r="E13" s="30"/>
      <c r="F13" s="30"/>
      <c r="G13" s="90" t="s">
        <v>146</v>
      </c>
      <c r="H13" s="91" t="s">
        <v>381</v>
      </c>
      <c r="I13" s="31"/>
    </row>
    <row r="14" spans="1:9" ht="13" x14ac:dyDescent="0.3">
      <c r="A14" s="37"/>
      <c r="B14" s="90" t="s">
        <v>153</v>
      </c>
      <c r="C14" s="90" t="s">
        <v>153</v>
      </c>
      <c r="D14" s="90"/>
      <c r="E14" s="30"/>
      <c r="F14" s="30"/>
      <c r="G14" s="30"/>
      <c r="H14" s="90" t="s">
        <v>146</v>
      </c>
      <c r="I14" s="31"/>
    </row>
    <row r="15" spans="1:9" ht="13" x14ac:dyDescent="0.3">
      <c r="A15" s="37"/>
      <c r="B15" s="90" t="s">
        <v>146</v>
      </c>
      <c r="C15" s="90" t="s">
        <v>146</v>
      </c>
      <c r="D15" s="90"/>
      <c r="E15" s="30"/>
      <c r="F15" s="30"/>
      <c r="G15" s="30"/>
      <c r="H15" s="30"/>
      <c r="I15" s="31"/>
    </row>
    <row r="16" spans="1:9" ht="13" x14ac:dyDescent="0.3">
      <c r="A16" s="37"/>
      <c r="B16" s="90"/>
      <c r="C16" s="90"/>
      <c r="D16" s="90"/>
      <c r="E16" s="30"/>
      <c r="F16" s="30"/>
      <c r="G16" s="30"/>
      <c r="H16" s="30"/>
      <c r="I16" s="31"/>
    </row>
    <row r="17" spans="1:9" ht="14.5" x14ac:dyDescent="0.35">
      <c r="A17" s="87" t="s">
        <v>382</v>
      </c>
      <c r="B17" s="88" t="s">
        <v>87</v>
      </c>
      <c r="C17" s="88" t="s">
        <v>88</v>
      </c>
      <c r="D17" s="88" t="s">
        <v>89</v>
      </c>
      <c r="E17" s="30"/>
      <c r="F17" s="30"/>
      <c r="G17" s="88" t="s">
        <v>87</v>
      </c>
      <c r="H17" s="88" t="s">
        <v>88</v>
      </c>
      <c r="I17" s="89" t="s">
        <v>89</v>
      </c>
    </row>
    <row r="18" spans="1:9" ht="13" x14ac:dyDescent="0.3">
      <c r="A18" s="37"/>
      <c r="B18" s="90" t="s">
        <v>143</v>
      </c>
      <c r="C18" s="90" t="s">
        <v>143</v>
      </c>
      <c r="D18" s="90" t="s">
        <v>376</v>
      </c>
      <c r="E18" s="30"/>
      <c r="F18" s="30"/>
      <c r="G18" s="90" t="s">
        <v>81</v>
      </c>
      <c r="H18" s="91" t="s">
        <v>154</v>
      </c>
      <c r="I18" s="92" t="s">
        <v>376</v>
      </c>
    </row>
    <row r="19" spans="1:9" ht="13" x14ac:dyDescent="0.3">
      <c r="A19" s="37"/>
      <c r="B19" s="90" t="s">
        <v>76</v>
      </c>
      <c r="C19" s="90" t="s">
        <v>76</v>
      </c>
      <c r="D19" s="90"/>
      <c r="E19" s="30"/>
      <c r="F19" s="30"/>
      <c r="G19" s="90" t="s">
        <v>146</v>
      </c>
      <c r="H19" s="91" t="s">
        <v>155</v>
      </c>
      <c r="I19" s="31"/>
    </row>
    <row r="20" spans="1:9" ht="13" x14ac:dyDescent="0.3">
      <c r="A20" s="37"/>
      <c r="B20" s="90" t="s">
        <v>153</v>
      </c>
      <c r="C20" s="90" t="s">
        <v>153</v>
      </c>
      <c r="D20" s="90"/>
      <c r="E20" s="30"/>
      <c r="F20" s="30"/>
      <c r="G20" s="30"/>
      <c r="H20" s="90" t="s">
        <v>146</v>
      </c>
      <c r="I20" s="31"/>
    </row>
    <row r="21" spans="1:9" ht="13" x14ac:dyDescent="0.3">
      <c r="A21" s="37"/>
      <c r="B21" s="90" t="s">
        <v>146</v>
      </c>
      <c r="C21" s="90" t="s">
        <v>146</v>
      </c>
      <c r="D21" s="90"/>
      <c r="E21" s="30"/>
      <c r="F21" s="30"/>
      <c r="G21" s="30"/>
      <c r="H21" s="30"/>
      <c r="I21" s="31"/>
    </row>
    <row r="22" spans="1:9" ht="13" x14ac:dyDescent="0.3">
      <c r="A22" s="37"/>
      <c r="B22" s="90"/>
      <c r="C22" s="90"/>
      <c r="D22" s="90"/>
      <c r="E22" s="30"/>
      <c r="F22" s="30"/>
      <c r="G22" s="30"/>
      <c r="H22" s="30"/>
      <c r="I22" s="31"/>
    </row>
    <row r="23" spans="1:9" ht="14.5" x14ac:dyDescent="0.35">
      <c r="A23" s="87" t="s">
        <v>383</v>
      </c>
      <c r="B23" s="88" t="s">
        <v>87</v>
      </c>
      <c r="C23" s="88" t="s">
        <v>88</v>
      </c>
      <c r="D23" s="88" t="s">
        <v>89</v>
      </c>
      <c r="E23" s="30"/>
      <c r="F23" s="30"/>
      <c r="G23" s="88" t="s">
        <v>87</v>
      </c>
      <c r="H23" s="88" t="s">
        <v>88</v>
      </c>
      <c r="I23" s="89" t="s">
        <v>89</v>
      </c>
    </row>
    <row r="24" spans="1:9" ht="13" x14ac:dyDescent="0.3">
      <c r="A24" s="37"/>
      <c r="B24" s="90" t="s">
        <v>143</v>
      </c>
      <c r="C24" s="90" t="s">
        <v>143</v>
      </c>
      <c r="D24" s="90" t="s">
        <v>376</v>
      </c>
      <c r="E24" s="30"/>
      <c r="F24" s="30"/>
      <c r="G24" s="90" t="s">
        <v>81</v>
      </c>
      <c r="H24" s="90" t="s">
        <v>81</v>
      </c>
      <c r="I24" s="92" t="s">
        <v>376</v>
      </c>
    </row>
    <row r="25" spans="1:9" ht="13" x14ac:dyDescent="0.3">
      <c r="A25" s="37"/>
      <c r="B25" s="90" t="s">
        <v>76</v>
      </c>
      <c r="C25" s="90" t="s">
        <v>76</v>
      </c>
      <c r="D25" s="90"/>
      <c r="E25" s="30"/>
      <c r="F25" s="30"/>
      <c r="G25" s="91" t="s">
        <v>146</v>
      </c>
      <c r="H25" s="91" t="s">
        <v>384</v>
      </c>
      <c r="I25" s="92"/>
    </row>
    <row r="26" spans="1:9" ht="13" x14ac:dyDescent="0.3">
      <c r="A26" s="37"/>
      <c r="B26" s="90" t="s">
        <v>153</v>
      </c>
      <c r="C26" s="90" t="s">
        <v>153</v>
      </c>
      <c r="D26" s="90"/>
      <c r="E26" s="30"/>
      <c r="F26" s="30"/>
      <c r="G26" s="30"/>
      <c r="H26" s="30"/>
      <c r="I26" s="31"/>
    </row>
    <row r="27" spans="1:9" ht="13" x14ac:dyDescent="0.3">
      <c r="A27" s="37"/>
      <c r="B27" s="91" t="s">
        <v>146</v>
      </c>
      <c r="C27" s="91" t="s">
        <v>385</v>
      </c>
      <c r="D27" s="90"/>
      <c r="E27" s="30"/>
      <c r="F27" s="30"/>
      <c r="G27" s="30"/>
      <c r="H27" s="30"/>
      <c r="I27" s="31"/>
    </row>
    <row r="28" spans="1:9" ht="13" x14ac:dyDescent="0.3">
      <c r="A28" s="37"/>
      <c r="B28" s="93"/>
      <c r="C28" s="93"/>
      <c r="D28" s="90"/>
      <c r="E28" s="30"/>
      <c r="F28" s="30"/>
      <c r="G28" s="30"/>
      <c r="H28" s="30"/>
      <c r="I28" s="31"/>
    </row>
    <row r="29" spans="1:9" ht="14.5" x14ac:dyDescent="0.35">
      <c r="A29" s="87" t="s">
        <v>386</v>
      </c>
      <c r="B29" s="88" t="s">
        <v>87</v>
      </c>
      <c r="C29" s="88" t="s">
        <v>88</v>
      </c>
      <c r="D29" s="88" t="s">
        <v>89</v>
      </c>
      <c r="E29" s="30"/>
      <c r="F29" s="30"/>
      <c r="G29" s="88" t="s">
        <v>87</v>
      </c>
      <c r="H29" s="88" t="s">
        <v>88</v>
      </c>
      <c r="I29" s="89" t="s">
        <v>89</v>
      </c>
    </row>
    <row r="30" spans="1:9" ht="13" x14ac:dyDescent="0.3">
      <c r="A30" s="37"/>
      <c r="B30" s="90" t="s">
        <v>143</v>
      </c>
      <c r="C30" s="91" t="s">
        <v>387</v>
      </c>
      <c r="D30" s="90" t="s">
        <v>376</v>
      </c>
      <c r="E30" s="30"/>
      <c r="F30" s="30"/>
      <c r="G30" s="90" t="s">
        <v>81</v>
      </c>
      <c r="H30" s="91" t="s">
        <v>388</v>
      </c>
      <c r="I30" s="92" t="s">
        <v>376</v>
      </c>
    </row>
    <row r="31" spans="1:9" ht="13" x14ac:dyDescent="0.3">
      <c r="A31" s="37"/>
      <c r="B31" s="90" t="s">
        <v>76</v>
      </c>
      <c r="C31" s="91" t="s">
        <v>389</v>
      </c>
      <c r="D31" s="90"/>
      <c r="E31" s="30"/>
      <c r="F31" s="30"/>
      <c r="G31" s="90" t="s">
        <v>146</v>
      </c>
      <c r="H31" s="91" t="s">
        <v>390</v>
      </c>
      <c r="I31" s="92"/>
    </row>
    <row r="32" spans="1:9" ht="13" x14ac:dyDescent="0.3">
      <c r="A32" s="37"/>
      <c r="B32" s="90" t="s">
        <v>153</v>
      </c>
      <c r="C32" s="90" t="s">
        <v>153</v>
      </c>
      <c r="D32" s="90"/>
      <c r="E32" s="30"/>
      <c r="F32" s="30"/>
      <c r="G32" s="30"/>
      <c r="H32" s="91" t="s">
        <v>391</v>
      </c>
      <c r="I32" s="31"/>
    </row>
    <row r="33" spans="1:9" ht="13" x14ac:dyDescent="0.3">
      <c r="A33" s="37"/>
      <c r="B33" s="90" t="s">
        <v>146</v>
      </c>
      <c r="C33" s="91" t="s">
        <v>391</v>
      </c>
      <c r="D33" s="90"/>
      <c r="E33" s="30"/>
      <c r="F33" s="30"/>
      <c r="G33" s="30"/>
      <c r="H33" s="91" t="s">
        <v>392</v>
      </c>
      <c r="I33" s="31"/>
    </row>
    <row r="34" spans="1:9" ht="13" x14ac:dyDescent="0.3">
      <c r="A34" s="37"/>
      <c r="B34" s="93"/>
      <c r="C34" s="91" t="s">
        <v>392</v>
      </c>
      <c r="D34" s="90"/>
      <c r="E34" s="30"/>
      <c r="F34" s="30"/>
      <c r="G34" s="30"/>
      <c r="H34" s="30"/>
      <c r="I34" s="31"/>
    </row>
    <row r="35" spans="1:9" ht="13.5" thickBot="1" x14ac:dyDescent="0.35">
      <c r="A35" s="34"/>
      <c r="B35" s="94"/>
      <c r="C35" s="94"/>
      <c r="D35" s="95"/>
      <c r="E35" s="35"/>
      <c r="F35" s="35"/>
      <c r="G35" s="35"/>
      <c r="H35" s="35"/>
      <c r="I35" s="36"/>
    </row>
    <row r="36" spans="1:9" ht="13" x14ac:dyDescent="0.3">
      <c r="B36" s="85"/>
      <c r="C36" s="85"/>
      <c r="D36" s="85"/>
    </row>
    <row r="37" spans="1:9" x14ac:dyDescent="0.25">
      <c r="A37" s="96"/>
      <c r="B37" s="96"/>
      <c r="C37" s="96"/>
      <c r="D37" s="96" t="s">
        <v>393</v>
      </c>
      <c r="E37" s="96"/>
      <c r="F37" s="96"/>
      <c r="G37" s="96"/>
      <c r="H37" s="96"/>
      <c r="I37" s="96"/>
    </row>
    <row r="38" spans="1:9" ht="18.5" x14ac:dyDescent="0.45">
      <c r="A38" s="83" t="s">
        <v>394</v>
      </c>
      <c r="F38" s="83" t="s">
        <v>395</v>
      </c>
    </row>
    <row r="39" spans="1:9" ht="14.5" x14ac:dyDescent="0.35">
      <c r="B39" s="84" t="s">
        <v>87</v>
      </c>
      <c r="C39" s="84" t="s">
        <v>88</v>
      </c>
      <c r="D39" s="84" t="s">
        <v>89</v>
      </c>
      <c r="G39" s="84" t="s">
        <v>87</v>
      </c>
      <c r="H39" s="84" t="s">
        <v>88</v>
      </c>
      <c r="I39" s="84" t="s">
        <v>89</v>
      </c>
    </row>
    <row r="40" spans="1:9" ht="13" x14ac:dyDescent="0.3">
      <c r="B40" s="85" t="s">
        <v>76</v>
      </c>
      <c r="C40" s="85" t="s">
        <v>76</v>
      </c>
      <c r="D40" s="85" t="s">
        <v>376</v>
      </c>
      <c r="G40" s="85" t="s">
        <v>376</v>
      </c>
      <c r="H40" s="85" t="s">
        <v>376</v>
      </c>
      <c r="I40" s="85" t="s">
        <v>376</v>
      </c>
    </row>
    <row r="41" spans="1:9" ht="13" thickBot="1" x14ac:dyDescent="0.3"/>
    <row r="42" spans="1:9" ht="14.5" x14ac:dyDescent="0.35">
      <c r="A42" s="99" t="s">
        <v>399</v>
      </c>
      <c r="B42" s="27"/>
      <c r="C42" s="27"/>
      <c r="D42" s="27"/>
      <c r="E42" s="27"/>
      <c r="F42" s="27"/>
      <c r="G42" s="27"/>
      <c r="H42" s="27"/>
      <c r="I42" s="28"/>
    </row>
    <row r="43" spans="1:9" ht="14.5" x14ac:dyDescent="0.35">
      <c r="A43" s="87" t="s">
        <v>386</v>
      </c>
      <c r="B43" s="88" t="s">
        <v>87</v>
      </c>
      <c r="C43" s="88" t="s">
        <v>88</v>
      </c>
      <c r="D43" s="88" t="s">
        <v>89</v>
      </c>
      <c r="E43" s="30"/>
      <c r="F43" s="30"/>
      <c r="G43" s="88" t="s">
        <v>87</v>
      </c>
      <c r="H43" s="88" t="s">
        <v>88</v>
      </c>
      <c r="I43" s="89" t="s">
        <v>89</v>
      </c>
    </row>
    <row r="44" spans="1:9" ht="13" x14ac:dyDescent="0.3">
      <c r="A44" s="37"/>
      <c r="B44" s="90" t="s">
        <v>76</v>
      </c>
      <c r="C44" s="91" t="s">
        <v>389</v>
      </c>
      <c r="D44" s="90" t="s">
        <v>376</v>
      </c>
      <c r="E44" s="30"/>
      <c r="F44" s="30"/>
      <c r="G44" s="90" t="s">
        <v>376</v>
      </c>
      <c r="H44" s="90" t="s">
        <v>376</v>
      </c>
      <c r="I44" s="92" t="s">
        <v>376</v>
      </c>
    </row>
    <row r="45" spans="1:9" ht="13" thickBot="1" x14ac:dyDescent="0.3">
      <c r="A45" s="34"/>
      <c r="B45" s="35"/>
      <c r="C45" s="35"/>
      <c r="D45" s="35"/>
      <c r="E45" s="35"/>
      <c r="F45" s="35"/>
      <c r="G45" s="35"/>
      <c r="H45" s="35"/>
      <c r="I45" s="36"/>
    </row>
    <row r="47" spans="1:9" ht="14.5" x14ac:dyDescent="0.35">
      <c r="A47" s="97"/>
      <c r="B47" s="97"/>
      <c r="C47" s="98" t="s">
        <v>396</v>
      </c>
      <c r="D47" s="97"/>
      <c r="E47" s="97"/>
      <c r="F47" s="97"/>
      <c r="G47" s="97"/>
      <c r="H47" s="97"/>
      <c r="I47" s="97"/>
    </row>
    <row r="49" spans="1:9" x14ac:dyDescent="0.25">
      <c r="A49" s="134" t="s">
        <v>397</v>
      </c>
      <c r="B49" s="133"/>
      <c r="C49" s="133"/>
      <c r="D49" s="133"/>
      <c r="E49" s="133"/>
      <c r="F49" s="133"/>
      <c r="G49" s="133"/>
      <c r="H49" s="133"/>
      <c r="I49" s="133"/>
    </row>
    <row r="50" spans="1:9" x14ac:dyDescent="0.25">
      <c r="A50" s="133"/>
      <c r="B50" s="133"/>
      <c r="C50" s="133"/>
      <c r="D50" s="133"/>
      <c r="E50" s="133"/>
      <c r="F50" s="133"/>
      <c r="G50" s="133"/>
      <c r="H50" s="133"/>
      <c r="I50" s="133"/>
    </row>
    <row r="51" spans="1:9" x14ac:dyDescent="0.25">
      <c r="A51" s="133"/>
      <c r="B51" s="133"/>
      <c r="C51" s="133"/>
      <c r="D51" s="133"/>
      <c r="E51" s="133"/>
      <c r="F51" s="133"/>
      <c r="G51" s="133"/>
      <c r="H51" s="133"/>
      <c r="I51" s="133"/>
    </row>
    <row r="52" spans="1:9" x14ac:dyDescent="0.25">
      <c r="A52" s="135" t="s">
        <v>426</v>
      </c>
      <c r="B52" s="133"/>
      <c r="C52" s="133"/>
      <c r="D52" s="133"/>
      <c r="E52" s="133"/>
      <c r="F52" s="133"/>
      <c r="G52" s="133"/>
      <c r="H52" s="133"/>
      <c r="I52" s="133"/>
    </row>
    <row r="53" spans="1:9" x14ac:dyDescent="0.25">
      <c r="A53" s="133"/>
      <c r="B53" s="133"/>
      <c r="C53" s="133"/>
      <c r="D53" s="133"/>
      <c r="E53" s="133"/>
      <c r="F53" s="133"/>
      <c r="G53" s="133"/>
      <c r="H53" s="133"/>
      <c r="I53" s="133"/>
    </row>
    <row r="54" spans="1:9" x14ac:dyDescent="0.25">
      <c r="A54" s="133"/>
      <c r="B54" s="133"/>
      <c r="C54" s="133"/>
      <c r="D54" s="133"/>
      <c r="E54" s="133"/>
      <c r="F54" s="133"/>
      <c r="G54" s="133"/>
      <c r="H54" s="133"/>
      <c r="I54" s="133"/>
    </row>
    <row r="55" spans="1:9" x14ac:dyDescent="0.25">
      <c r="A55" s="133"/>
      <c r="B55" s="133"/>
      <c r="C55" s="133"/>
      <c r="D55" s="133"/>
      <c r="E55" s="133"/>
      <c r="F55" s="133"/>
      <c r="G55" s="133"/>
      <c r="H55" s="133"/>
      <c r="I55" s="133"/>
    </row>
    <row r="56" spans="1:9" x14ac:dyDescent="0.25">
      <c r="A56" s="133"/>
      <c r="B56" s="133"/>
      <c r="C56" s="133"/>
      <c r="D56" s="133"/>
      <c r="E56" s="133"/>
      <c r="F56" s="133"/>
      <c r="G56" s="133"/>
      <c r="H56" s="133"/>
      <c r="I56" s="133"/>
    </row>
    <row r="57" spans="1:9" x14ac:dyDescent="0.25">
      <c r="A57" s="133" t="s">
        <v>398</v>
      </c>
      <c r="B57" s="133"/>
      <c r="C57" s="133"/>
      <c r="D57" s="133"/>
      <c r="E57" s="133"/>
      <c r="F57" s="133"/>
      <c r="G57" s="133"/>
      <c r="H57" s="133"/>
      <c r="I57" s="133"/>
    </row>
    <row r="58" spans="1:9" x14ac:dyDescent="0.25">
      <c r="A58" s="133"/>
      <c r="B58" s="133"/>
      <c r="C58" s="133"/>
      <c r="D58" s="133"/>
      <c r="E58" s="133"/>
      <c r="F58" s="133"/>
      <c r="G58" s="133"/>
      <c r="H58" s="133"/>
      <c r="I58" s="133"/>
    </row>
    <row r="60" spans="1:9" ht="25.5" customHeight="1" x14ac:dyDescent="0.25">
      <c r="A60" s="133" t="s">
        <v>427</v>
      </c>
      <c r="B60" s="133"/>
      <c r="C60" s="133"/>
      <c r="D60" s="133"/>
      <c r="E60" s="133"/>
      <c r="F60" s="133"/>
      <c r="G60" s="133"/>
      <c r="H60" s="133"/>
      <c r="I60" s="133"/>
    </row>
    <row r="62" spans="1:9" x14ac:dyDescent="0.25">
      <c r="A62" t="s">
        <v>421</v>
      </c>
    </row>
  </sheetData>
  <mergeCells count="5">
    <mergeCell ref="A1:I2"/>
    <mergeCell ref="A49:I51"/>
    <mergeCell ref="A52:I56"/>
    <mergeCell ref="A57:I58"/>
    <mergeCell ref="A60:I60"/>
  </mergeCells>
  <pageMargins left="0.7" right="0.7" top="0.75" bottom="0.75" header="0.3" footer="0.3"/>
  <pageSetup orientation="portrait" r:id="rId1"/>
  <legacy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0">
    <tabColor rgb="FFFF0000"/>
  </sheetPr>
  <dimension ref="A1:A18"/>
  <sheetViews>
    <sheetView workbookViewId="0"/>
  </sheetViews>
  <sheetFormatPr defaultRowHeight="12.5" x14ac:dyDescent="0.25"/>
  <cols>
    <col min="1" max="1" width="145.81640625" customWidth="1"/>
  </cols>
  <sheetData>
    <row r="1" spans="1:1" x14ac:dyDescent="0.25">
      <c r="A1" t="s">
        <v>403</v>
      </c>
    </row>
    <row r="2" spans="1:1" x14ac:dyDescent="0.25">
      <c r="A2" t="s">
        <v>404</v>
      </c>
    </row>
    <row r="3" spans="1:1" x14ac:dyDescent="0.25">
      <c r="A3" t="s">
        <v>405</v>
      </c>
    </row>
    <row r="4" spans="1:1" x14ac:dyDescent="0.25">
      <c r="A4" t="s">
        <v>406</v>
      </c>
    </row>
    <row r="5" spans="1:1" x14ac:dyDescent="0.25">
      <c r="A5" t="s">
        <v>407</v>
      </c>
    </row>
    <row r="6" spans="1:1" x14ac:dyDescent="0.25">
      <c r="A6" s="3" t="s">
        <v>552</v>
      </c>
    </row>
    <row r="7" spans="1:1" x14ac:dyDescent="0.25">
      <c r="A7" t="s">
        <v>408</v>
      </c>
    </row>
    <row r="8" spans="1:1" x14ac:dyDescent="0.25">
      <c r="A8" t="s">
        <v>409</v>
      </c>
    </row>
    <row r="9" spans="1:1" x14ac:dyDescent="0.25">
      <c r="A9" s="3" t="s">
        <v>551</v>
      </c>
    </row>
    <row r="10" spans="1:1" x14ac:dyDescent="0.25">
      <c r="A10" t="s">
        <v>410</v>
      </c>
    </row>
    <row r="11" spans="1:1" x14ac:dyDescent="0.25">
      <c r="A11" t="s">
        <v>411</v>
      </c>
    </row>
    <row r="12" spans="1:1" x14ac:dyDescent="0.25">
      <c r="A12" t="s">
        <v>412</v>
      </c>
    </row>
    <row r="13" spans="1:1" x14ac:dyDescent="0.25">
      <c r="A13" t="s">
        <v>413</v>
      </c>
    </row>
    <row r="14" spans="1:1" x14ac:dyDescent="0.25">
      <c r="A14" t="s">
        <v>414</v>
      </c>
    </row>
    <row r="15" spans="1:1" x14ac:dyDescent="0.25">
      <c r="A15" t="s">
        <v>415</v>
      </c>
    </row>
    <row r="16" spans="1:1" x14ac:dyDescent="0.25">
      <c r="A16" t="s">
        <v>416</v>
      </c>
    </row>
    <row r="17" spans="1:1" x14ac:dyDescent="0.25">
      <c r="A17" t="s">
        <v>417</v>
      </c>
    </row>
    <row r="18" spans="1:1" x14ac:dyDescent="0.25">
      <c r="A18" t="s">
        <v>418</v>
      </c>
    </row>
  </sheetData>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tabColor rgb="FFFF0000"/>
  </sheetPr>
  <dimension ref="A1:I37"/>
  <sheetViews>
    <sheetView workbookViewId="0"/>
  </sheetViews>
  <sheetFormatPr defaultRowHeight="12.5" x14ac:dyDescent="0.25"/>
  <cols>
    <col min="1" max="1" width="32.7265625" bestFit="1" customWidth="1"/>
    <col min="2" max="2" width="43.453125" bestFit="1" customWidth="1"/>
    <col min="3" max="3" width="13" bestFit="1" customWidth="1"/>
    <col min="4" max="5" width="9.26953125" style="62" customWidth="1"/>
    <col min="6" max="8" width="9.1796875" style="62" customWidth="1"/>
    <col min="9" max="9" width="30.26953125" bestFit="1" customWidth="1"/>
  </cols>
  <sheetData>
    <row r="1" spans="1:9" s="46" customFormat="1" ht="29" x14ac:dyDescent="0.35">
      <c r="A1" s="123" t="s">
        <v>615</v>
      </c>
      <c r="B1" s="123" t="s">
        <v>616</v>
      </c>
      <c r="C1" s="123" t="s">
        <v>340</v>
      </c>
      <c r="D1" s="123" t="s">
        <v>617</v>
      </c>
      <c r="E1" s="123" t="s">
        <v>618</v>
      </c>
      <c r="F1" s="123" t="s">
        <v>619</v>
      </c>
      <c r="G1" s="123" t="s">
        <v>684</v>
      </c>
      <c r="H1" s="123" t="s">
        <v>685</v>
      </c>
      <c r="I1" s="124" t="s">
        <v>620</v>
      </c>
    </row>
    <row r="2" spans="1:9" x14ac:dyDescent="0.25">
      <c r="A2" t="s">
        <v>623</v>
      </c>
      <c r="B2" t="s">
        <v>650</v>
      </c>
      <c r="C2" s="3" t="s">
        <v>678</v>
      </c>
      <c r="D2" s="62" t="s">
        <v>648</v>
      </c>
    </row>
    <row r="3" spans="1:9" x14ac:dyDescent="0.25">
      <c r="A3" t="s">
        <v>624</v>
      </c>
      <c r="B3" t="s">
        <v>654</v>
      </c>
      <c r="C3" s="3" t="s">
        <v>678</v>
      </c>
      <c r="E3" s="62" t="s">
        <v>648</v>
      </c>
      <c r="F3" s="62" t="s">
        <v>646</v>
      </c>
    </row>
    <row r="4" spans="1:9" x14ac:dyDescent="0.25">
      <c r="A4" t="s">
        <v>625</v>
      </c>
      <c r="B4" s="3" t="s">
        <v>679</v>
      </c>
      <c r="C4" s="3" t="s">
        <v>678</v>
      </c>
    </row>
    <row r="5" spans="1:9" x14ac:dyDescent="0.25">
      <c r="A5" t="s">
        <v>626</v>
      </c>
      <c r="B5" s="3" t="s">
        <v>376</v>
      </c>
      <c r="C5" s="3" t="s">
        <v>622</v>
      </c>
      <c r="E5" s="62" t="s">
        <v>648</v>
      </c>
      <c r="F5" s="62" t="s">
        <v>646</v>
      </c>
    </row>
    <row r="6" spans="1:9" x14ac:dyDescent="0.25">
      <c r="A6" t="s">
        <v>627</v>
      </c>
      <c r="B6" t="s">
        <v>667</v>
      </c>
      <c r="C6" s="3" t="s">
        <v>678</v>
      </c>
      <c r="E6" s="62" t="s">
        <v>648</v>
      </c>
    </row>
    <row r="7" spans="1:9" x14ac:dyDescent="0.25">
      <c r="A7" t="s">
        <v>628</v>
      </c>
      <c r="B7" t="s">
        <v>655</v>
      </c>
      <c r="C7" s="3" t="s">
        <v>678</v>
      </c>
      <c r="D7" s="62" t="s">
        <v>648</v>
      </c>
    </row>
    <row r="8" spans="1:9" x14ac:dyDescent="0.25">
      <c r="A8" t="s">
        <v>629</v>
      </c>
      <c r="B8" t="s">
        <v>656</v>
      </c>
      <c r="C8" s="3" t="s">
        <v>678</v>
      </c>
      <c r="F8" s="62" t="s">
        <v>646</v>
      </c>
    </row>
    <row r="9" spans="1:9" x14ac:dyDescent="0.25">
      <c r="A9" t="s">
        <v>344</v>
      </c>
      <c r="B9" s="3" t="s">
        <v>687</v>
      </c>
      <c r="C9" s="3" t="s">
        <v>678</v>
      </c>
      <c r="E9" s="62" t="s">
        <v>648</v>
      </c>
      <c r="F9" s="62" t="s">
        <v>646</v>
      </c>
    </row>
    <row r="10" spans="1:9" x14ac:dyDescent="0.25">
      <c r="A10" t="s">
        <v>546</v>
      </c>
      <c r="B10" s="3" t="s">
        <v>376</v>
      </c>
      <c r="C10" s="3" t="s">
        <v>622</v>
      </c>
      <c r="E10" s="62" t="s">
        <v>648</v>
      </c>
      <c r="F10" s="62" t="s">
        <v>646</v>
      </c>
    </row>
    <row r="11" spans="1:9" x14ac:dyDescent="0.25">
      <c r="A11" t="s">
        <v>630</v>
      </c>
      <c r="B11" t="s">
        <v>661</v>
      </c>
      <c r="C11" s="3" t="s">
        <v>678</v>
      </c>
      <c r="E11" s="15" t="s">
        <v>648</v>
      </c>
    </row>
    <row r="12" spans="1:9" x14ac:dyDescent="0.25">
      <c r="A12" t="s">
        <v>631</v>
      </c>
      <c r="B12" t="s">
        <v>662</v>
      </c>
      <c r="C12" s="3" t="s">
        <v>678</v>
      </c>
      <c r="E12" s="15" t="s">
        <v>648</v>
      </c>
    </row>
    <row r="13" spans="1:9" x14ac:dyDescent="0.25">
      <c r="A13" t="s">
        <v>632</v>
      </c>
      <c r="B13" t="s">
        <v>664</v>
      </c>
      <c r="C13" s="3" t="s">
        <v>678</v>
      </c>
      <c r="D13" s="15" t="s">
        <v>648</v>
      </c>
    </row>
    <row r="14" spans="1:9" x14ac:dyDescent="0.25">
      <c r="A14" t="s">
        <v>633</v>
      </c>
      <c r="B14" t="s">
        <v>666</v>
      </c>
      <c r="C14" s="3" t="s">
        <v>678</v>
      </c>
      <c r="E14" s="15" t="s">
        <v>648</v>
      </c>
    </row>
    <row r="15" spans="1:9" x14ac:dyDescent="0.25">
      <c r="A15" t="s">
        <v>634</v>
      </c>
      <c r="B15" t="s">
        <v>665</v>
      </c>
      <c r="C15" s="3" t="s">
        <v>678</v>
      </c>
      <c r="D15" s="15" t="s">
        <v>648</v>
      </c>
    </row>
    <row r="16" spans="1:9" x14ac:dyDescent="0.25">
      <c r="A16" t="s">
        <v>635</v>
      </c>
      <c r="B16" t="s">
        <v>649</v>
      </c>
      <c r="C16" s="3" t="s">
        <v>678</v>
      </c>
      <c r="F16" s="62" t="s">
        <v>646</v>
      </c>
    </row>
    <row r="17" spans="1:9" x14ac:dyDescent="0.25">
      <c r="A17" t="s">
        <v>636</v>
      </c>
      <c r="B17" t="s">
        <v>669</v>
      </c>
      <c r="C17" s="3" t="s">
        <v>678</v>
      </c>
      <c r="D17" s="15" t="s">
        <v>648</v>
      </c>
      <c r="E17" s="15" t="s">
        <v>648</v>
      </c>
      <c r="F17" s="62" t="s">
        <v>646</v>
      </c>
    </row>
    <row r="18" spans="1:9" x14ac:dyDescent="0.25">
      <c r="A18" t="s">
        <v>346</v>
      </c>
      <c r="B18" t="s">
        <v>338</v>
      </c>
      <c r="C18" s="3" t="s">
        <v>678</v>
      </c>
      <c r="E18" s="62" t="s">
        <v>648</v>
      </c>
      <c r="F18" s="62" t="s">
        <v>646</v>
      </c>
    </row>
    <row r="19" spans="1:9" x14ac:dyDescent="0.25">
      <c r="A19" t="s">
        <v>637</v>
      </c>
      <c r="B19" t="s">
        <v>668</v>
      </c>
      <c r="C19" s="3" t="s">
        <v>678</v>
      </c>
      <c r="D19" s="15" t="s">
        <v>648</v>
      </c>
    </row>
    <row r="20" spans="1:9" x14ac:dyDescent="0.25">
      <c r="A20" t="s">
        <v>647</v>
      </c>
      <c r="B20" t="s">
        <v>686</v>
      </c>
      <c r="C20" s="3" t="s">
        <v>678</v>
      </c>
      <c r="E20" s="62" t="s">
        <v>648</v>
      </c>
      <c r="F20" s="62" t="s">
        <v>646</v>
      </c>
    </row>
    <row r="21" spans="1:9" x14ac:dyDescent="0.25">
      <c r="A21" t="s">
        <v>638</v>
      </c>
      <c r="B21" t="s">
        <v>670</v>
      </c>
      <c r="C21" s="3" t="s">
        <v>678</v>
      </c>
      <c r="D21" s="15" t="s">
        <v>648</v>
      </c>
      <c r="E21" s="15" t="s">
        <v>648</v>
      </c>
    </row>
    <row r="22" spans="1:9" x14ac:dyDescent="0.25">
      <c r="A22" t="s">
        <v>348</v>
      </c>
      <c r="B22" s="3" t="s">
        <v>688</v>
      </c>
      <c r="C22" s="3" t="s">
        <v>678</v>
      </c>
    </row>
    <row r="23" spans="1:9" x14ac:dyDescent="0.25">
      <c r="A23" t="s">
        <v>639</v>
      </c>
      <c r="B23" t="s">
        <v>680</v>
      </c>
      <c r="C23" s="3" t="s">
        <v>678</v>
      </c>
    </row>
    <row r="24" spans="1:9" x14ac:dyDescent="0.25">
      <c r="A24" t="s">
        <v>640</v>
      </c>
      <c r="B24" t="s">
        <v>422</v>
      </c>
      <c r="C24" s="3" t="s">
        <v>678</v>
      </c>
      <c r="F24" s="62" t="s">
        <v>646</v>
      </c>
    </row>
    <row r="25" spans="1:9" x14ac:dyDescent="0.25">
      <c r="A25" s="3" t="s">
        <v>347</v>
      </c>
      <c r="B25" t="s">
        <v>335</v>
      </c>
      <c r="C25" s="3" t="s">
        <v>678</v>
      </c>
      <c r="F25" s="62" t="s">
        <v>646</v>
      </c>
      <c r="H25" s="62" t="s">
        <v>648</v>
      </c>
      <c r="I25" s="3" t="s">
        <v>621</v>
      </c>
    </row>
    <row r="26" spans="1:9" x14ac:dyDescent="0.25">
      <c r="A26" t="s">
        <v>641</v>
      </c>
      <c r="B26" t="s">
        <v>663</v>
      </c>
      <c r="C26" s="3" t="s">
        <v>678</v>
      </c>
      <c r="D26" s="15" t="s">
        <v>648</v>
      </c>
      <c r="E26" s="15" t="s">
        <v>648</v>
      </c>
      <c r="F26" s="62" t="s">
        <v>646</v>
      </c>
    </row>
    <row r="27" spans="1:9" x14ac:dyDescent="0.25">
      <c r="A27" s="51" t="s">
        <v>652</v>
      </c>
      <c r="B27" t="s">
        <v>653</v>
      </c>
      <c r="C27" s="3" t="s">
        <v>681</v>
      </c>
      <c r="D27" s="15" t="s">
        <v>648</v>
      </c>
    </row>
    <row r="28" spans="1:9" x14ac:dyDescent="0.25">
      <c r="A28" t="s">
        <v>642</v>
      </c>
      <c r="B28" t="s">
        <v>651</v>
      </c>
      <c r="C28" s="3" t="s">
        <v>678</v>
      </c>
      <c r="F28" s="62" t="s">
        <v>646</v>
      </c>
    </row>
    <row r="29" spans="1:9" x14ac:dyDescent="0.25">
      <c r="A29" s="3" t="s">
        <v>683</v>
      </c>
      <c r="B29" s="3" t="s">
        <v>682</v>
      </c>
      <c r="C29" s="3" t="s">
        <v>681</v>
      </c>
    </row>
    <row r="30" spans="1:9" x14ac:dyDescent="0.25">
      <c r="A30" s="125" t="s">
        <v>675</v>
      </c>
      <c r="B30" t="s">
        <v>676</v>
      </c>
      <c r="C30" s="3" t="s">
        <v>681</v>
      </c>
      <c r="D30" s="15" t="s">
        <v>648</v>
      </c>
    </row>
    <row r="31" spans="1:9" x14ac:dyDescent="0.25">
      <c r="A31" s="51" t="s">
        <v>657</v>
      </c>
      <c r="B31" t="s">
        <v>658</v>
      </c>
      <c r="C31" s="3" t="s">
        <v>681</v>
      </c>
      <c r="D31" s="15" t="s">
        <v>648</v>
      </c>
    </row>
    <row r="32" spans="1:9" x14ac:dyDescent="0.25">
      <c r="A32" s="3" t="s">
        <v>659</v>
      </c>
      <c r="B32" t="s">
        <v>660</v>
      </c>
      <c r="C32" s="3" t="s">
        <v>681</v>
      </c>
      <c r="D32" s="15" t="s">
        <v>648</v>
      </c>
    </row>
    <row r="33" spans="1:6" x14ac:dyDescent="0.25">
      <c r="A33" s="125" t="s">
        <v>674</v>
      </c>
      <c r="B33" t="s">
        <v>543</v>
      </c>
      <c r="C33" s="3" t="s">
        <v>681</v>
      </c>
      <c r="D33" s="15" t="s">
        <v>648</v>
      </c>
      <c r="E33" s="15"/>
    </row>
    <row r="34" spans="1:6" x14ac:dyDescent="0.25">
      <c r="A34" t="s">
        <v>643</v>
      </c>
      <c r="B34" t="s">
        <v>671</v>
      </c>
      <c r="C34" s="3" t="s">
        <v>678</v>
      </c>
      <c r="D34" s="15" t="s">
        <v>648</v>
      </c>
    </row>
    <row r="35" spans="1:6" x14ac:dyDescent="0.25">
      <c r="A35" t="s">
        <v>544</v>
      </c>
      <c r="B35" t="s">
        <v>672</v>
      </c>
      <c r="C35" s="3" t="s">
        <v>678</v>
      </c>
      <c r="E35" s="15" t="s">
        <v>648</v>
      </c>
    </row>
    <row r="36" spans="1:6" x14ac:dyDescent="0.25">
      <c r="A36" t="s">
        <v>644</v>
      </c>
      <c r="B36" t="s">
        <v>673</v>
      </c>
      <c r="C36" s="3" t="s">
        <v>678</v>
      </c>
      <c r="D36" s="62" t="s">
        <v>648</v>
      </c>
      <c r="E36" s="62" t="s">
        <v>648</v>
      </c>
      <c r="F36" s="62" t="s">
        <v>646</v>
      </c>
    </row>
    <row r="37" spans="1:6" x14ac:dyDescent="0.25">
      <c r="A37" t="s">
        <v>645</v>
      </c>
      <c r="B37" t="s">
        <v>677</v>
      </c>
      <c r="C37" s="3" t="s">
        <v>678</v>
      </c>
      <c r="D37" s="62" t="s">
        <v>648</v>
      </c>
      <c r="E37" s="62" t="s">
        <v>648</v>
      </c>
      <c r="F37" s="62" t="s">
        <v>646</v>
      </c>
    </row>
  </sheetData>
  <autoFilter ref="A1:I37" xr:uid="{00000000-0009-0000-0000-00000B000000}">
    <sortState xmlns:xlrd2="http://schemas.microsoft.com/office/spreadsheetml/2017/richdata2" ref="A3:K40">
      <sortCondition ref="A2:A40"/>
    </sortState>
  </autoFilter>
  <conditionalFormatting sqref="A1:A1048576">
    <cfRule type="duplicateValues" dxfId="1" priority="1" stopIfTrue="1"/>
  </conditionalFormatting>
  <conditionalFormatting sqref="A1">
    <cfRule type="duplicateValues" dxfId="0" priority="3" stopIfTrue="1"/>
  </conditionalFormatting>
  <pageMargins left="0.7" right="0.7" top="0.75" bottom="0.75" header="0.3" footer="0.3"/>
  <pageSetup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1</vt:i4>
      </vt:variant>
    </vt:vector>
  </HeadingPairs>
  <TitlesOfParts>
    <vt:vector size="14" baseType="lpstr">
      <vt:lpstr>Peerless</vt:lpstr>
      <vt:lpstr>Sheet1</vt:lpstr>
      <vt:lpstr>States</vt:lpstr>
      <vt:lpstr>BAN Error Reporting</vt:lpstr>
      <vt:lpstr>Setting Up BANs</vt:lpstr>
      <vt:lpstr>Adjustments</vt:lpstr>
      <vt:lpstr>Payments</vt:lpstr>
      <vt:lpstr>Per Call Charges</vt:lpstr>
      <vt:lpstr>Preliminary MOU Balancing</vt:lpstr>
      <vt:lpstr>Special Reporting</vt:lpstr>
      <vt:lpstr>Rates</vt:lpstr>
      <vt:lpstr>Thresholding steps</vt:lpstr>
      <vt:lpstr>Reports</vt:lpstr>
      <vt:lpstr>Peerless!Print_Area</vt:lpstr>
    </vt:vector>
  </TitlesOfParts>
  <Company>Intec Telecom Systems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scott.blackburn</dc:creator>
  <cp:lastModifiedBy>Nicolas Lopez</cp:lastModifiedBy>
  <dcterms:created xsi:type="dcterms:W3CDTF">2007-10-08T14:53:44Z</dcterms:created>
  <dcterms:modified xsi:type="dcterms:W3CDTF">2022-03-24T15:36:51Z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49378a34-61cb-4d5e-a70c-1712827e012a_Enabled">
    <vt:lpwstr>True</vt:lpwstr>
  </property>
  <property fmtid="{D5CDD505-2E9C-101B-9397-08002B2CF9AE}" pid="3" name="MSIP_Label_49378a34-61cb-4d5e-a70c-1712827e012a_SiteId">
    <vt:lpwstr>194a267b-82ba-4fa6-b6b9-f95966ab3815</vt:lpwstr>
  </property>
  <property fmtid="{D5CDD505-2E9C-101B-9397-08002B2CF9AE}" pid="4" name="MSIP_Label_49378a34-61cb-4d5e-a70c-1712827e012a_Owner">
    <vt:lpwstr>Sara.Smith@csgi.com</vt:lpwstr>
  </property>
  <property fmtid="{D5CDD505-2E9C-101B-9397-08002B2CF9AE}" pid="5" name="MSIP_Label_49378a34-61cb-4d5e-a70c-1712827e012a_SetDate">
    <vt:lpwstr>2019-12-30T23:53:44.8557226Z</vt:lpwstr>
  </property>
  <property fmtid="{D5CDD505-2E9C-101B-9397-08002B2CF9AE}" pid="6" name="MSIP_Label_49378a34-61cb-4d5e-a70c-1712827e012a_Name">
    <vt:lpwstr>Medium Impact</vt:lpwstr>
  </property>
  <property fmtid="{D5CDD505-2E9C-101B-9397-08002B2CF9AE}" pid="7" name="MSIP_Label_49378a34-61cb-4d5e-a70c-1712827e012a_Application">
    <vt:lpwstr>Microsoft Azure Information Protection</vt:lpwstr>
  </property>
  <property fmtid="{D5CDD505-2E9C-101B-9397-08002B2CF9AE}" pid="8" name="MSIP_Label_49378a34-61cb-4d5e-a70c-1712827e012a_ActionId">
    <vt:lpwstr>d65e947b-da80-4dfa-be76-8a567ce4d701</vt:lpwstr>
  </property>
  <property fmtid="{D5CDD505-2E9C-101B-9397-08002B2CF9AE}" pid="9" name="MSIP_Label_49378a34-61cb-4d5e-a70c-1712827e012a_Extended_MSFT_Method">
    <vt:lpwstr>Automatic</vt:lpwstr>
  </property>
  <property fmtid="{D5CDD505-2E9C-101B-9397-08002B2CF9AE}" pid="10" name="Sensitivity">
    <vt:lpwstr>Medium Impact</vt:lpwstr>
  </property>
</Properties>
</file>